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6.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8.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E:\CareManagementTool\templates\forms\"/>
    </mc:Choice>
  </mc:AlternateContent>
  <xr:revisionPtr revIDLastSave="0" documentId="13_ncr:1_{C837C87E-EC59-4B41-9A1D-85CD944EC463}" xr6:coauthVersionLast="47" xr6:coauthVersionMax="47" xr10:uidLastSave="{00000000-0000-0000-0000-000000000000}"/>
  <bookViews>
    <workbookView xWindow="-120" yWindow="-120" windowWidth="29040" windowHeight="15720" xr2:uid="{00000000-000D-0000-FFFF-FFFF00000000}"/>
  </bookViews>
  <sheets>
    <sheet name="救急医療情報" sheetId="22" r:id="rId1"/>
    <sheet name="チェックシート" sheetId="16" r:id="rId2"/>
    <sheet name="HOME" sheetId="3" r:id="rId3"/>
    <sheet name="（最新）アセスメントシート" sheetId="4" r:id="rId4"/>
    <sheet name="居宅届" sheetId="18" r:id="rId5"/>
    <sheet name="居宅届 (予防)" sheetId="19" r:id="rId6"/>
    <sheet name="フェースシート" sheetId="10" r:id="rId7"/>
    <sheet name="医療・介護連携シート" sheetId="5" r:id="rId8"/>
    <sheet name="(貼付作成)入院時情報提供" sheetId="20" r:id="rId9"/>
    <sheet name="(手入力)入院時情報提供" sheetId="21" r:id="rId10"/>
    <sheet name="モニタリングシート" sheetId="14" r:id="rId11"/>
    <sheet name="担会案内" sheetId="8" r:id="rId12"/>
    <sheet name="更新・新規申請書" sheetId="6" r:id="rId13"/>
    <sheet name="区分変更申請書 " sheetId="9" r:id="rId14"/>
    <sheet name="資料提供申請書" sheetId="7" r:id="rId15"/>
    <sheet name="確認書（原本）" sheetId="15" r:id="rId16"/>
    <sheet name="入退去連絡" sheetId="23" r:id="rId17"/>
    <sheet name="リスト" sheetId="2" r:id="rId18"/>
    <sheet name="確認書（ヘルパー）" sheetId="11" r:id="rId19"/>
    <sheet name="確認書（デイ）" sheetId="13" r:id="rId20"/>
    <sheet name="確認書（福祉用具）" sheetId="12" r:id="rId21"/>
  </sheets>
  <externalReferences>
    <externalReference r:id="rId22"/>
    <externalReference r:id="rId23"/>
  </externalReferences>
  <definedNames>
    <definedName name="_xlnm.Print_Area" localSheetId="3">'（最新）アセスメントシート'!$A$1:$AK$111</definedName>
    <definedName name="_xlnm.Print_Area" localSheetId="9">'(手入力)入院時情報提供'!$A$1:$W$75</definedName>
    <definedName name="_xlnm.Print_Area" localSheetId="8">'(貼付作成)入院時情報提供'!$A$1:$W$75</definedName>
    <definedName name="_xlnm.Print_Area" localSheetId="6">フェースシート!$A$1:$AJ$229</definedName>
    <definedName name="_xlnm.Print_Area" localSheetId="10">モニタリングシート!$A$1:$X$108</definedName>
    <definedName name="_xlnm.Print_Area" localSheetId="19">'確認書（デイ）'!$A$1:$H$48</definedName>
    <definedName name="_xlnm.Print_Area" localSheetId="18">'確認書（ヘルパー）'!$A$1:$H$48</definedName>
    <definedName name="_xlnm.Print_Area" localSheetId="20">'確認書（福祉用具）'!$A$1:$H$48</definedName>
    <definedName name="_xlnm.Print_Area" localSheetId="0">救急医療情報!$A$1:$Y$103</definedName>
    <definedName name="_xlnm.Print_Area" localSheetId="4">居宅届!$A$1:$AO$45</definedName>
    <definedName name="_xlnm.Print_Area" localSheetId="5">'居宅届 (予防)'!$A$1:$AO$48</definedName>
    <definedName name="_xlnm.Print_Area" localSheetId="13">'区分変更申請書 '!$A$1:$AF$52</definedName>
    <definedName name="_xlnm.Print_Area" localSheetId="12">更新・新規申請書!$A$1:$AF$52</definedName>
    <definedName name="_xlnm.Print_Area" localSheetId="14">資料提供申請書!$A$1:$F$42</definedName>
    <definedName name="_xlnm.Print_Area" localSheetId="11">担会案内!$A$1:$AK$73</definedName>
    <definedName name="年齢">#REF!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 i="22" l="1"/>
  <c r="T49" i="21"/>
  <c r="P49" i="21"/>
  <c r="J49" i="21"/>
  <c r="A49" i="21"/>
  <c r="V52" i="21"/>
  <c r="F52" i="21"/>
  <c r="K45" i="21"/>
  <c r="D45" i="21"/>
  <c r="P44" i="21"/>
  <c r="D44" i="21"/>
  <c r="U42" i="21"/>
  <c r="P42" i="21"/>
  <c r="D42" i="21"/>
  <c r="D41" i="21"/>
  <c r="P39" i="21"/>
  <c r="L39" i="21"/>
  <c r="D40" i="21"/>
  <c r="I72" i="20"/>
  <c r="I71" i="20"/>
  <c r="I70" i="20"/>
  <c r="I69" i="20"/>
  <c r="I68" i="20"/>
  <c r="I67" i="20"/>
  <c r="S66" i="20"/>
  <c r="K66" i="20"/>
  <c r="I65" i="20"/>
  <c r="S64" i="20"/>
  <c r="K64" i="20"/>
  <c r="I63" i="20"/>
  <c r="I62" i="20"/>
  <c r="U61" i="20"/>
  <c r="P61" i="20"/>
  <c r="K61" i="20"/>
  <c r="I60" i="20"/>
  <c r="S57" i="20"/>
  <c r="N57" i="20"/>
  <c r="I57" i="20"/>
  <c r="I55" i="20"/>
  <c r="I54" i="20"/>
  <c r="P52" i="20"/>
  <c r="V52" i="20"/>
  <c r="Q52" i="20"/>
  <c r="F52" i="20"/>
  <c r="T49" i="20"/>
  <c r="P49" i="20"/>
  <c r="J49" i="20"/>
  <c r="A49" i="20"/>
  <c r="K45" i="20"/>
  <c r="P44" i="20"/>
  <c r="U42" i="20"/>
  <c r="P42" i="20"/>
  <c r="D45" i="20"/>
  <c r="D44" i="20"/>
  <c r="D42" i="20"/>
  <c r="D41" i="20"/>
  <c r="P39" i="20"/>
  <c r="L39" i="20"/>
  <c r="D40" i="20"/>
  <c r="N39" i="5"/>
  <c r="B22" i="5"/>
  <c r="Q19" i="5"/>
  <c r="J19" i="5"/>
  <c r="P21" i="5"/>
  <c r="J21" i="5"/>
  <c r="D21" i="5"/>
  <c r="C18" i="5"/>
  <c r="C19" i="5"/>
  <c r="M8" i="5"/>
  <c r="AD200" i="10"/>
  <c r="W200" i="10"/>
  <c r="P200" i="10"/>
  <c r="I200" i="10"/>
  <c r="AD196" i="10"/>
  <c r="W196" i="10"/>
  <c r="P196" i="10"/>
  <c r="I196" i="10"/>
  <c r="K185" i="10"/>
  <c r="L185" i="10"/>
  <c r="G185" i="10"/>
  <c r="N183" i="10"/>
  <c r="E183" i="10"/>
  <c r="A181" i="10"/>
  <c r="A179" i="10"/>
  <c r="A177" i="10"/>
  <c r="A175" i="10"/>
  <c r="A173" i="10"/>
  <c r="A171" i="10"/>
  <c r="R78" i="10"/>
  <c r="R76" i="10"/>
  <c r="O78" i="10"/>
  <c r="O76" i="10"/>
  <c r="K78" i="10"/>
  <c r="K76" i="10"/>
  <c r="C78" i="10"/>
  <c r="C76" i="10"/>
  <c r="K52" i="10"/>
  <c r="K50" i="10"/>
  <c r="F45" i="10"/>
  <c r="Z43" i="10"/>
  <c r="AD41" i="10"/>
  <c r="V41" i="10"/>
  <c r="L41" i="10"/>
  <c r="P24" i="10"/>
  <c r="A33" i="10"/>
  <c r="A25" i="10"/>
  <c r="AD14" i="10"/>
  <c r="I15" i="10"/>
  <c r="W14" i="10"/>
  <c r="I14" i="10"/>
  <c r="I12" i="10"/>
  <c r="W11" i="10"/>
  <c r="I11" i="10"/>
  <c r="F9" i="10"/>
  <c r="AG6" i="10"/>
  <c r="X6" i="10"/>
  <c r="Q6" i="10"/>
  <c r="F6" i="10"/>
  <c r="J35" i="19"/>
  <c r="U20" i="19"/>
  <c r="O10" i="19"/>
  <c r="A6" i="19"/>
  <c r="J33" i="18"/>
  <c r="U15" i="18"/>
  <c r="O10" i="18"/>
  <c r="D39" i="21"/>
  <c r="D39" i="20"/>
  <c r="A6" i="18" l="1"/>
  <c r="D44" i="12" l="1"/>
  <c r="F36" i="12"/>
  <c r="D34" i="12"/>
  <c r="C42" i="12" s="1"/>
  <c r="H11" i="12"/>
  <c r="D44" i="13"/>
  <c r="C42" i="13"/>
  <c r="F36" i="13"/>
  <c r="D34" i="13"/>
  <c r="H11" i="13"/>
  <c r="D44" i="11"/>
  <c r="F36" i="11"/>
  <c r="D34" i="11"/>
  <c r="C42" i="11" s="1"/>
  <c r="H11" i="11"/>
  <c r="F5" i="23"/>
  <c r="I2" i="23"/>
  <c r="D2" i="23"/>
  <c r="F21" i="7"/>
  <c r="C21" i="7"/>
  <c r="C20" i="7"/>
  <c r="C18" i="7"/>
  <c r="F1" i="7"/>
  <c r="I33" i="9"/>
  <c r="T22" i="9"/>
  <c r="J22" i="9"/>
  <c r="J21" i="9"/>
  <c r="G19" i="9"/>
  <c r="U17" i="9"/>
  <c r="G17" i="9"/>
  <c r="U16" i="9"/>
  <c r="G16" i="9"/>
  <c r="G15" i="9"/>
  <c r="G13" i="9"/>
  <c r="X22" i="6"/>
  <c r="N22" i="6"/>
  <c r="N21" i="6"/>
  <c r="G19" i="6"/>
  <c r="U17" i="6"/>
  <c r="G17" i="6"/>
  <c r="U16" i="6"/>
  <c r="G16" i="6"/>
  <c r="G15" i="6"/>
  <c r="I25" i="8"/>
  <c r="AD6" i="8"/>
  <c r="AC2" i="8"/>
  <c r="U93" i="14"/>
  <c r="B93" i="14" s="1"/>
  <c r="W99" i="14" s="1"/>
  <c r="U75" i="14"/>
  <c r="B75" i="14"/>
  <c r="W81" i="14" s="1"/>
  <c r="U57" i="14"/>
  <c r="B57" i="14"/>
  <c r="W63" i="14" s="1"/>
  <c r="U39" i="14"/>
  <c r="B39" i="14"/>
  <c r="W45" i="14" s="1"/>
  <c r="U21" i="14"/>
  <c r="B21" i="14" s="1"/>
  <c r="W27" i="14" s="1"/>
  <c r="U3" i="14"/>
  <c r="B3" i="14"/>
  <c r="W9" i="14" s="1"/>
  <c r="U1" i="14"/>
  <c r="U55" i="14" s="1"/>
  <c r="M1" i="14"/>
  <c r="M55" i="14" s="1"/>
  <c r="P52" i="21"/>
  <c r="S35" i="21"/>
  <c r="J26" i="21"/>
  <c r="P20" i="21"/>
  <c r="O17" i="21"/>
  <c r="F16" i="21"/>
  <c r="F15" i="21"/>
  <c r="A13" i="21"/>
  <c r="S35" i="20"/>
  <c r="J26" i="20"/>
  <c r="P20" i="20"/>
  <c r="O17" i="20"/>
  <c r="F16" i="20"/>
  <c r="F15" i="20"/>
  <c r="A13" i="20"/>
  <c r="N3" i="5"/>
  <c r="AD220" i="10"/>
  <c r="AD216" i="10"/>
  <c r="S154" i="10"/>
  <c r="K153" i="10"/>
  <c r="I153" i="10"/>
  <c r="J152" i="10"/>
  <c r="S151" i="10"/>
  <c r="J151" i="10"/>
  <c r="J150" i="10"/>
  <c r="Q149" i="10"/>
  <c r="I149" i="10"/>
  <c r="I148" i="10"/>
  <c r="I147" i="10"/>
  <c r="I146" i="10"/>
  <c r="I145" i="10"/>
  <c r="I144" i="10"/>
  <c r="M143" i="10"/>
  <c r="I143" i="10"/>
  <c r="I142" i="10"/>
  <c r="AB54" i="10"/>
  <c r="S53" i="10"/>
  <c r="AD11" i="10"/>
  <c r="AE4" i="10"/>
  <c r="N5" i="19"/>
  <c r="N5" i="18"/>
  <c r="B1" i="16"/>
  <c r="B1" i="3"/>
  <c r="D5" i="18"/>
  <c r="D5" i="19"/>
  <c r="H15" i="19" l="1"/>
  <c r="J15" i="19"/>
  <c r="I15" i="19"/>
  <c r="AD12" i="19"/>
  <c r="X14" i="19"/>
  <c r="L13" i="19"/>
  <c r="I111" i="4" l="1" a="1"/>
  <c r="I111" i="4" s="1"/>
</calcChain>
</file>

<file path=xl/sharedStrings.xml><?xml version="1.0" encoding="utf-8"?>
<sst xmlns="http://schemas.openxmlformats.org/spreadsheetml/2006/main" count="2009" uniqueCount="1259">
  <si>
    <t>以下の情報は、利用者及び家族の同意に基づき提供しています。</t>
    <rPh sb="0" eb="2">
      <t>イカ</t>
    </rPh>
    <rPh sb="3" eb="5">
      <t>ジョウホウ</t>
    </rPh>
    <rPh sb="7" eb="10">
      <t>リヨウシャ</t>
    </rPh>
    <rPh sb="10" eb="11">
      <t>オヨ</t>
    </rPh>
    <rPh sb="12" eb="14">
      <t>カゾク</t>
    </rPh>
    <rPh sb="15" eb="17">
      <t>ドウイ</t>
    </rPh>
    <rPh sb="18" eb="19">
      <t>モト</t>
    </rPh>
    <rPh sb="21" eb="23">
      <t>テイキョウ</t>
    </rPh>
    <phoneticPr fontId="1"/>
  </si>
  <si>
    <t>基本情報</t>
    <rPh sb="0" eb="2">
      <t>キホン</t>
    </rPh>
    <rPh sb="2" eb="4">
      <t>ジョウホウ</t>
    </rPh>
    <phoneticPr fontId="1"/>
  </si>
  <si>
    <t>性別</t>
    <rPh sb="0" eb="2">
      <t>セイベツ</t>
    </rPh>
    <phoneticPr fontId="1"/>
  </si>
  <si>
    <t>生年月日</t>
    <rPh sb="0" eb="2">
      <t>セイネン</t>
    </rPh>
    <rPh sb="2" eb="4">
      <t>ガッピ</t>
    </rPh>
    <phoneticPr fontId="1"/>
  </si>
  <si>
    <t>住所</t>
    <rPh sb="0" eb="2">
      <t>ジュウショ</t>
    </rPh>
    <phoneticPr fontId="1"/>
  </si>
  <si>
    <t>電話</t>
    <rPh sb="0" eb="2">
      <t>デンワ</t>
    </rPh>
    <phoneticPr fontId="1"/>
  </si>
  <si>
    <t>家族氏名</t>
    <rPh sb="0" eb="2">
      <t>カゾク</t>
    </rPh>
    <rPh sb="2" eb="4">
      <t>シメイ</t>
    </rPh>
    <phoneticPr fontId="1"/>
  </si>
  <si>
    <t>続柄</t>
    <rPh sb="0" eb="2">
      <t>ゾクガラ</t>
    </rPh>
    <phoneticPr fontId="1"/>
  </si>
  <si>
    <t>同居の有無</t>
    <rPh sb="0" eb="2">
      <t>ドウキョ</t>
    </rPh>
    <rPh sb="3" eb="5">
      <t>ユウム</t>
    </rPh>
    <phoneticPr fontId="1"/>
  </si>
  <si>
    <t>住環境等</t>
    <rPh sb="0" eb="3">
      <t>ジュウカンキョウ</t>
    </rPh>
    <rPh sb="3" eb="4">
      <t>トウ</t>
    </rPh>
    <phoneticPr fontId="1"/>
  </si>
  <si>
    <t>家族構成</t>
    <rPh sb="0" eb="2">
      <t>カゾク</t>
    </rPh>
    <rPh sb="2" eb="4">
      <t>コウセイ</t>
    </rPh>
    <phoneticPr fontId="1"/>
  </si>
  <si>
    <t>ﾌﾘｶﾞﾅ</t>
    <phoneticPr fontId="1"/>
  </si>
  <si>
    <t>氏　名</t>
    <rPh sb="0" eb="1">
      <t>シ</t>
    </rPh>
    <rPh sb="2" eb="3">
      <t>ナ</t>
    </rPh>
    <phoneticPr fontId="1"/>
  </si>
  <si>
    <t>　</t>
    <phoneticPr fontId="1"/>
  </si>
  <si>
    <t>住　所</t>
    <rPh sb="0" eb="1">
      <t>ジュウ</t>
    </rPh>
    <rPh sb="2" eb="3">
      <t>ショ</t>
    </rPh>
    <phoneticPr fontId="1"/>
  </si>
  <si>
    <t>介護保険等情報</t>
    <rPh sb="0" eb="2">
      <t>カイゴ</t>
    </rPh>
    <rPh sb="2" eb="4">
      <t>ホケン</t>
    </rPh>
    <rPh sb="4" eb="5">
      <t>トウ</t>
    </rPh>
    <rPh sb="5" eb="7">
      <t>ジョウホウ</t>
    </rPh>
    <phoneticPr fontId="1"/>
  </si>
  <si>
    <t>要介護度</t>
    <rPh sb="0" eb="3">
      <t>ヨウカイゴ</t>
    </rPh>
    <rPh sb="3" eb="4">
      <t>ド</t>
    </rPh>
    <phoneticPr fontId="1"/>
  </si>
  <si>
    <t>被保険者番号</t>
    <rPh sb="0" eb="6">
      <t>ヒホケンシャバンゴウ</t>
    </rPh>
    <phoneticPr fontId="1"/>
  </si>
  <si>
    <t>障害等認定</t>
    <rPh sb="0" eb="2">
      <t>ショウガイ</t>
    </rPh>
    <rPh sb="2" eb="3">
      <t>トウ</t>
    </rPh>
    <rPh sb="3" eb="5">
      <t>ニンテイ</t>
    </rPh>
    <phoneticPr fontId="1"/>
  </si>
  <si>
    <t>疾患及びADL情報</t>
    <rPh sb="0" eb="2">
      <t>シッカン</t>
    </rPh>
    <rPh sb="2" eb="3">
      <t>オヨ</t>
    </rPh>
    <rPh sb="7" eb="9">
      <t>ジョウホウ</t>
    </rPh>
    <phoneticPr fontId="1"/>
  </si>
  <si>
    <t>障害高齢者の日常生活自立度</t>
    <rPh sb="0" eb="2">
      <t>ショウガイ</t>
    </rPh>
    <rPh sb="2" eb="5">
      <t>コウレイシャ</t>
    </rPh>
    <rPh sb="6" eb="8">
      <t>ニチジョウ</t>
    </rPh>
    <rPh sb="8" eb="10">
      <t>セイカツ</t>
    </rPh>
    <rPh sb="10" eb="13">
      <t>ジリツド</t>
    </rPh>
    <phoneticPr fontId="1"/>
  </si>
  <si>
    <t>認知症高齢者の日常生活自立度</t>
    <rPh sb="0" eb="3">
      <t>ニンチショウ</t>
    </rPh>
    <rPh sb="3" eb="6">
      <t>コウレイシャ</t>
    </rPh>
    <rPh sb="7" eb="9">
      <t>ニチジョウ</t>
    </rPh>
    <rPh sb="9" eb="11">
      <t>セイカツ</t>
    </rPh>
    <rPh sb="11" eb="14">
      <t>ジリツド</t>
    </rPh>
    <phoneticPr fontId="1"/>
  </si>
  <si>
    <t>かかりつけ医</t>
    <rPh sb="5" eb="6">
      <t>イ</t>
    </rPh>
    <phoneticPr fontId="1"/>
  </si>
  <si>
    <t>現病歴・既往歴</t>
    <rPh sb="0" eb="3">
      <t>ゲンビョウレキ</t>
    </rPh>
    <rPh sb="4" eb="6">
      <t>キオウ</t>
    </rPh>
    <rPh sb="6" eb="7">
      <t>レキ</t>
    </rPh>
    <phoneticPr fontId="1"/>
  </si>
  <si>
    <t>服薬の有無</t>
    <rPh sb="0" eb="2">
      <t>フクヤク</t>
    </rPh>
    <rPh sb="3" eb="5">
      <t>ユウム</t>
    </rPh>
    <phoneticPr fontId="1"/>
  </si>
  <si>
    <t>服薬管理者</t>
    <rPh sb="0" eb="2">
      <t>フクヤク</t>
    </rPh>
    <rPh sb="2" eb="5">
      <t>カンリシャ</t>
    </rPh>
    <phoneticPr fontId="1"/>
  </si>
  <si>
    <t>ＡＤＬ等状況</t>
    <rPh sb="3" eb="4">
      <t>トウ</t>
    </rPh>
    <rPh sb="4" eb="6">
      <t>ジョウキョウ</t>
    </rPh>
    <phoneticPr fontId="1"/>
  </si>
  <si>
    <t>食事</t>
    <rPh sb="0" eb="2">
      <t>ショクジ</t>
    </rPh>
    <phoneticPr fontId="1"/>
  </si>
  <si>
    <t>形態</t>
    <rPh sb="0" eb="2">
      <t>ケイタイ</t>
    </rPh>
    <phoneticPr fontId="1"/>
  </si>
  <si>
    <t>失禁</t>
    <rPh sb="0" eb="2">
      <t>シッキン</t>
    </rPh>
    <phoneticPr fontId="1"/>
  </si>
  <si>
    <t>方法</t>
    <rPh sb="0" eb="2">
      <t>ホウホウ</t>
    </rPh>
    <phoneticPr fontId="1"/>
  </si>
  <si>
    <t>着脱</t>
    <rPh sb="0" eb="2">
      <t>チャクダツ</t>
    </rPh>
    <phoneticPr fontId="1"/>
  </si>
  <si>
    <t>上着の着脱</t>
    <rPh sb="0" eb="2">
      <t>ウワギ</t>
    </rPh>
    <rPh sb="3" eb="5">
      <t>チャクダツ</t>
    </rPh>
    <phoneticPr fontId="1"/>
  </si>
  <si>
    <t>ｽﾞﾎﾞﾝ・ﾊﾟﾝﾂ着脱</t>
    <rPh sb="10" eb="12">
      <t>チャクダツ</t>
    </rPh>
    <phoneticPr fontId="1"/>
  </si>
  <si>
    <t>移動</t>
    <rPh sb="0" eb="2">
      <t>イドウ</t>
    </rPh>
    <phoneticPr fontId="1"/>
  </si>
  <si>
    <t>移乗</t>
    <rPh sb="0" eb="2">
      <t>イジョウ</t>
    </rPh>
    <phoneticPr fontId="1"/>
  </si>
  <si>
    <t>方法（屋内）</t>
    <rPh sb="0" eb="2">
      <t>ホウホウ</t>
    </rPh>
    <rPh sb="3" eb="5">
      <t>オクナイ</t>
    </rPh>
    <phoneticPr fontId="1"/>
  </si>
  <si>
    <t>認知症の症状</t>
    <rPh sb="0" eb="3">
      <t>ニンチショウ</t>
    </rPh>
    <rPh sb="4" eb="6">
      <t>ショウジョウ</t>
    </rPh>
    <phoneticPr fontId="1"/>
  </si>
  <si>
    <t>特記事項</t>
    <rPh sb="0" eb="2">
      <t>トッキ</t>
    </rPh>
    <rPh sb="2" eb="4">
      <t>ジコウ</t>
    </rPh>
    <phoneticPr fontId="1"/>
  </si>
  <si>
    <t>サービス利用状況（頻度）</t>
    <rPh sb="4" eb="6">
      <t>リヨウ</t>
    </rPh>
    <rPh sb="6" eb="8">
      <t>ジョウキョウ</t>
    </rPh>
    <rPh sb="9" eb="11">
      <t>ヒンド</t>
    </rPh>
    <phoneticPr fontId="1"/>
  </si>
  <si>
    <t>排泄</t>
    <rPh sb="0" eb="2">
      <t>ハイセツ</t>
    </rPh>
    <phoneticPr fontId="1"/>
  </si>
  <si>
    <r>
      <rPr>
        <b/>
        <sz val="18"/>
        <color theme="1"/>
        <rFont val="HGPｺﾞｼｯｸM"/>
        <family val="3"/>
        <charset val="128"/>
      </rPr>
      <t>入院時情報提供書</t>
    </r>
    <r>
      <rPr>
        <sz val="11"/>
        <color theme="1"/>
        <rFont val="HGPｺﾞｼｯｸM"/>
        <family val="3"/>
        <charset val="128"/>
      </rPr>
      <t>　　（居宅介護支援事業所→病院・診療所）</t>
    </r>
    <rPh sb="0" eb="2">
      <t>ニュウイン</t>
    </rPh>
    <rPh sb="2" eb="3">
      <t>ジ</t>
    </rPh>
    <rPh sb="3" eb="5">
      <t>ジョウホウ</t>
    </rPh>
    <rPh sb="5" eb="7">
      <t>テイキョウ</t>
    </rPh>
    <rPh sb="7" eb="8">
      <t>ショ</t>
    </rPh>
    <rPh sb="11" eb="13">
      <t>キョタク</t>
    </rPh>
    <rPh sb="13" eb="15">
      <t>カイゴ</t>
    </rPh>
    <rPh sb="15" eb="17">
      <t>シエン</t>
    </rPh>
    <rPh sb="17" eb="20">
      <t>ジギョウショ</t>
    </rPh>
    <rPh sb="21" eb="23">
      <t>ビョウイン</t>
    </rPh>
    <rPh sb="24" eb="27">
      <t>シンリョウショ</t>
    </rPh>
    <phoneticPr fontId="1"/>
  </si>
  <si>
    <t>生活状況</t>
    <phoneticPr fontId="1"/>
  </si>
  <si>
    <t>～</t>
    <phoneticPr fontId="1"/>
  </si>
  <si>
    <t>有効期間</t>
    <phoneticPr fontId="1"/>
  </si>
  <si>
    <t>主食</t>
    <rPh sb="0" eb="2">
      <t>シュショク</t>
    </rPh>
    <phoneticPr fontId="1"/>
  </si>
  <si>
    <t>副食</t>
    <rPh sb="0" eb="2">
      <t>フクショク</t>
    </rPh>
    <phoneticPr fontId="1"/>
  </si>
  <si>
    <t>日中</t>
    <rPh sb="0" eb="2">
      <t>ニッチュウ</t>
    </rPh>
    <phoneticPr fontId="1"/>
  </si>
  <si>
    <t>夜間</t>
    <rPh sb="0" eb="2">
      <t>ヤカン</t>
    </rPh>
    <phoneticPr fontId="1"/>
  </si>
  <si>
    <t>介助</t>
    <rPh sb="0" eb="2">
      <t>カイジョ</t>
    </rPh>
    <phoneticPr fontId="1"/>
  </si>
  <si>
    <t>排尿</t>
    <rPh sb="0" eb="2">
      <t>ハイニョウ</t>
    </rPh>
    <phoneticPr fontId="1"/>
  </si>
  <si>
    <t>排便</t>
    <rPh sb="0" eb="2">
      <t>ハイベン</t>
    </rPh>
    <phoneticPr fontId="1"/>
  </si>
  <si>
    <t>動作</t>
    <rPh sb="0" eb="2">
      <t>ドウサ</t>
    </rPh>
    <phoneticPr fontId="1"/>
  </si>
  <si>
    <t>TEL：059-253-6599</t>
  </si>
  <si>
    <t>ＦＡＸ 送信のご案内　</t>
    <phoneticPr fontId="1"/>
  </si>
  <si>
    <t>株式会社　アールビーサポート</t>
  </si>
  <si>
    <t>居宅介護支援事業所　安濃津ろまん</t>
  </si>
  <si>
    <t>〒514-0824</t>
  </si>
  <si>
    <t>津市神戸154-9</t>
  </si>
  <si>
    <t>FAX：059-213-4160</t>
    <phoneticPr fontId="1"/>
  </si>
  <si>
    <t>■　送　信　先　■</t>
  </si>
  <si>
    <t>■　送　信　者　■</t>
    <phoneticPr fontId="1"/>
  </si>
  <si>
    <t>居宅介護支援事業所　安濃津ろまん</t>
    <rPh sb="0" eb="9">
      <t>キョタクカイゴシエンジギョウショ</t>
    </rPh>
    <rPh sb="10" eb="12">
      <t>アノウ</t>
    </rPh>
    <rPh sb="12" eb="13">
      <t>ツ</t>
    </rPh>
    <phoneticPr fontId="1"/>
  </si>
  <si>
    <t>■　送　信　枚　数　■</t>
    <phoneticPr fontId="1"/>
  </si>
  <si>
    <t>2　枚</t>
    <phoneticPr fontId="1"/>
  </si>
  <si>
    <t>（本票を含む）</t>
    <phoneticPr fontId="1"/>
  </si>
  <si>
    <t>　いつもお世話になっております。</t>
    <phoneticPr fontId="1"/>
  </si>
  <si>
    <t>　今回、入院となられました</t>
    <phoneticPr fontId="1"/>
  </si>
  <si>
    <t>様の件について、入院時情報提供書</t>
    <phoneticPr fontId="1"/>
  </si>
  <si>
    <t>以上</t>
    <rPh sb="0" eb="2">
      <t>イジョウ</t>
    </rPh>
    <phoneticPr fontId="1"/>
  </si>
  <si>
    <t>こころの医療センター　地域支援室</t>
    <phoneticPr fontId="1"/>
  </si>
  <si>
    <t>永井病院　医療相談室</t>
    <phoneticPr fontId="1"/>
  </si>
  <si>
    <t>遠山病院　患者サポートセンター</t>
    <phoneticPr fontId="1"/>
  </si>
  <si>
    <t>久居病院　地域連携福祉室</t>
    <phoneticPr fontId="1"/>
  </si>
  <si>
    <t>榊原温泉病院　医療相談室</t>
    <phoneticPr fontId="1"/>
  </si>
  <si>
    <t>三重中央医療センター　地域連携室</t>
    <phoneticPr fontId="1"/>
  </si>
  <si>
    <t>三重病院</t>
    <phoneticPr fontId="1"/>
  </si>
  <si>
    <t>七栗記念病院　地域支援室</t>
    <phoneticPr fontId="1"/>
  </si>
  <si>
    <t>若葉病院　医療相談室</t>
    <phoneticPr fontId="1"/>
  </si>
  <si>
    <t>大門病院　地域連携室</t>
    <phoneticPr fontId="1"/>
  </si>
  <si>
    <t>津生協病院　地域連携室</t>
    <phoneticPr fontId="1"/>
  </si>
  <si>
    <t>武内病院　地域連携室</t>
    <phoneticPr fontId="1"/>
  </si>
  <si>
    <t>鈴鹿回生病院　医療相談室</t>
    <phoneticPr fontId="1"/>
  </si>
  <si>
    <t>三重大学医学部附属病院病院　総合サポートセンター</t>
    <rPh sb="14" eb="16">
      <t>ソウゴウ</t>
    </rPh>
    <phoneticPr fontId="1"/>
  </si>
  <si>
    <t>ご担当者様　</t>
    <rPh sb="1" eb="4">
      <t>タントウシャ</t>
    </rPh>
    <rPh sb="4" eb="5">
      <t>サマ</t>
    </rPh>
    <phoneticPr fontId="1"/>
  </si>
  <si>
    <t>TEL:</t>
    <phoneticPr fontId="1"/>
  </si>
  <si>
    <t>榊原病院　地域医療連携室</t>
    <phoneticPr fontId="1"/>
  </si>
  <si>
    <t>FAX:</t>
    <phoneticPr fontId="1"/>
  </si>
  <si>
    <t>担当者様</t>
    <rPh sb="0" eb="3">
      <t>タントウシャ</t>
    </rPh>
    <rPh sb="3" eb="4">
      <t>サマ</t>
    </rPh>
    <phoneticPr fontId="1"/>
  </si>
  <si>
    <t>作成日</t>
  </si>
  <si>
    <t>入院日</t>
  </si>
  <si>
    <t>津生協病院　地域連携室</t>
  </si>
  <si>
    <t>アセスメントシート</t>
  </si>
  <si>
    <t>作成年月日：</t>
  </si>
  <si>
    <t>アセスメントの理由</t>
  </si>
  <si>
    <t>面談場所</t>
  </si>
  <si>
    <t>作成者</t>
  </si>
  <si>
    <t>基本事項</t>
  </si>
  <si>
    <t>ふりがな</t>
  </si>
  <si>
    <t>性別</t>
  </si>
  <si>
    <t>生年月日</t>
  </si>
  <si>
    <t>氏名</t>
  </si>
  <si>
    <t>様</t>
  </si>
  <si>
    <t>歳</t>
  </si>
  <si>
    <t>住所</t>
  </si>
  <si>
    <t>連絡先</t>
  </si>
  <si>
    <t>保険情報</t>
  </si>
  <si>
    <t>介護保険</t>
  </si>
  <si>
    <t>被保険者番号</t>
  </si>
  <si>
    <t>要介護度</t>
  </si>
  <si>
    <t>認定日</t>
  </si>
  <si>
    <t>認定期間</t>
  </si>
  <si>
    <t>負担割合</t>
  </si>
  <si>
    <t>～</t>
  </si>
  <si>
    <t>医療保険</t>
  </si>
  <si>
    <t>身体障害者手帳</t>
  </si>
  <si>
    <t>難病申請</t>
  </si>
  <si>
    <t>生活保護</t>
  </si>
  <si>
    <t>障害者日常生活自立度</t>
  </si>
  <si>
    <t>認知症日常生活自立度</t>
  </si>
  <si>
    <t>家族状況</t>
  </si>
  <si>
    <t>家族氏名</t>
  </si>
  <si>
    <t>続柄</t>
  </si>
  <si>
    <t>同居有無</t>
  </si>
  <si>
    <t>介護</t>
  </si>
  <si>
    <t>就労</t>
  </si>
  <si>
    <t>備考（KP等）</t>
  </si>
  <si>
    <t>①</t>
  </si>
  <si>
    <t>②</t>
  </si>
  <si>
    <t>住居状況</t>
  </si>
  <si>
    <t>●家庭環境</t>
  </si>
  <si>
    <t>●冷暖房</t>
  </si>
  <si>
    <t>●居室段差</t>
  </si>
  <si>
    <t>●住居形態</t>
  </si>
  <si>
    <t>●トイレ</t>
  </si>
  <si>
    <t>●住宅改修</t>
  </si>
  <si>
    <t>●浴室</t>
  </si>
  <si>
    <t>●専有居室</t>
  </si>
  <si>
    <t>●就寝</t>
  </si>
  <si>
    <t>●特別な状況</t>
  </si>
  <si>
    <t>健康状態</t>
  </si>
  <si>
    <t>疾患名</t>
  </si>
  <si>
    <t>発症日</t>
  </si>
  <si>
    <t>既往</t>
  </si>
  <si>
    <t>福祉用具</t>
  </si>
  <si>
    <t>その他</t>
  </si>
  <si>
    <t>社会との
関わり</t>
  </si>
  <si>
    <t>本人の希望</t>
  </si>
  <si>
    <t>家族の希望</t>
  </si>
  <si>
    <t>生活歴</t>
  </si>
  <si>
    <t>特記・備考</t>
  </si>
  <si>
    <t>◆ 現在の状況 ◆</t>
  </si>
  <si>
    <t>◆ 課題分析 ◆</t>
  </si>
  <si>
    <t>身体状況</t>
  </si>
  <si>
    <t>皮膚疾患</t>
  </si>
  <si>
    <t>感染症</t>
  </si>
  <si>
    <t>特別な医療処置</t>
  </si>
  <si>
    <t>麻痺</t>
  </si>
  <si>
    <t>痛み</t>
  </si>
  <si>
    <t>身長</t>
  </si>
  <si>
    <t>cm</t>
  </si>
  <si>
    <t>体重</t>
  </si>
  <si>
    <t>ｋｇ</t>
  </si>
  <si>
    <t>視力</t>
  </si>
  <si>
    <t>眼鏡等</t>
  </si>
  <si>
    <t>聴力</t>
  </si>
  <si>
    <t>補聴器等</t>
  </si>
  <si>
    <t>基 本 動 作</t>
  </si>
  <si>
    <t>寝返り</t>
  </si>
  <si>
    <t>起き上がり</t>
  </si>
  <si>
    <t>座位</t>
  </si>
  <si>
    <t>立ち上がり</t>
  </si>
  <si>
    <t>立位</t>
  </si>
  <si>
    <t>移乗</t>
  </si>
  <si>
    <t>屋内移動</t>
  </si>
  <si>
    <t>使用用具（屋内）</t>
  </si>
  <si>
    <t>屋外移動</t>
  </si>
  <si>
    <t>使用用具（屋外）</t>
  </si>
  <si>
    <t>食事</t>
  </si>
  <si>
    <t>食事方法</t>
  </si>
  <si>
    <t>食事動作</t>
  </si>
  <si>
    <t>嚥下</t>
  </si>
  <si>
    <t>形態</t>
  </si>
  <si>
    <t>主食</t>
  </si>
  <si>
    <t>副食</t>
  </si>
  <si>
    <t>食事制限</t>
  </si>
  <si>
    <t>道具・用具</t>
  </si>
  <si>
    <t>口腔</t>
  </si>
  <si>
    <t>義歯</t>
  </si>
  <si>
    <t>有無・種類</t>
  </si>
  <si>
    <t>場所</t>
  </si>
  <si>
    <t>入浴</t>
  </si>
  <si>
    <t>入浴動作</t>
  </si>
  <si>
    <t>入浴の制限</t>
  </si>
  <si>
    <t>更衣</t>
  </si>
  <si>
    <t>上衣</t>
  </si>
  <si>
    <t>下衣</t>
  </si>
  <si>
    <t>排泄</t>
  </si>
  <si>
    <t>排泄動作</t>
  </si>
  <si>
    <t>排尿</t>
  </si>
  <si>
    <t>尿意</t>
  </si>
  <si>
    <t>失禁</t>
  </si>
  <si>
    <t>排便</t>
  </si>
  <si>
    <t>便意</t>
  </si>
  <si>
    <t>日中</t>
  </si>
  <si>
    <t>夜間</t>
  </si>
  <si>
    <t>排泄用品</t>
  </si>
  <si>
    <t>IADL</t>
  </si>
  <si>
    <t>調理</t>
  </si>
  <si>
    <t>掃除</t>
  </si>
  <si>
    <t>洗濯</t>
  </si>
  <si>
    <t>買い物</t>
  </si>
  <si>
    <t>金銭管理</t>
  </si>
  <si>
    <t>認知</t>
  </si>
  <si>
    <t>認知症の有無・程度</t>
  </si>
  <si>
    <t>BPSD</t>
  </si>
  <si>
    <t>医療・介護連携シート</t>
    <rPh sb="0" eb="2">
      <t>イリョウ</t>
    </rPh>
    <rPh sb="3" eb="5">
      <t>カイゴ</t>
    </rPh>
    <rPh sb="5" eb="7">
      <t>レンケイ</t>
    </rPh>
    <phoneticPr fontId="15"/>
  </si>
  <si>
    <t>主治医・介護支援専門員連絡票</t>
    <rPh sb="0" eb="3">
      <t>シュジイ</t>
    </rPh>
    <rPh sb="4" eb="6">
      <t>カイゴ</t>
    </rPh>
    <rPh sb="6" eb="8">
      <t>シエン</t>
    </rPh>
    <rPh sb="8" eb="11">
      <t>センモンイン</t>
    </rPh>
    <rPh sb="11" eb="13">
      <t>レンラク</t>
    </rPh>
    <rPh sb="13" eb="14">
      <t>ヒョウ</t>
    </rPh>
    <phoneticPr fontId="15"/>
  </si>
  <si>
    <t>作成日</t>
    <rPh sb="0" eb="3">
      <t>サクセイビ</t>
    </rPh>
    <phoneticPr fontId="15"/>
  </si>
  <si>
    <t>医療機関名</t>
    <rPh sb="0" eb="2">
      <t>イリョウ</t>
    </rPh>
    <rPh sb="2" eb="4">
      <t>キカン</t>
    </rPh>
    <rPh sb="4" eb="5">
      <t>メイ</t>
    </rPh>
    <phoneticPr fontId="15"/>
  </si>
  <si>
    <t>介護支援事業所名</t>
    <rPh sb="0" eb="2">
      <t>カイゴ</t>
    </rPh>
    <rPh sb="2" eb="4">
      <t>シエン</t>
    </rPh>
    <rPh sb="4" eb="7">
      <t>ジギョウショ</t>
    </rPh>
    <rPh sb="7" eb="8">
      <t>メイ</t>
    </rPh>
    <phoneticPr fontId="15"/>
  </si>
  <si>
    <t>居宅介護支援事業所　安濃津ろまん</t>
    <rPh sb="0" eb="16">
      <t>キ</t>
    </rPh>
    <phoneticPr fontId="15"/>
  </si>
  <si>
    <t>加藤医院</t>
    <rPh sb="0" eb="2">
      <t>カトウ</t>
    </rPh>
    <rPh sb="2" eb="4">
      <t>イイン</t>
    </rPh>
    <phoneticPr fontId="15"/>
  </si>
  <si>
    <t>事業所番号</t>
    <rPh sb="0" eb="3">
      <t>ジギョウショ</t>
    </rPh>
    <rPh sb="3" eb="5">
      <t>バンゴウ</t>
    </rPh>
    <phoneticPr fontId="15"/>
  </si>
  <si>
    <t>TEL</t>
    <phoneticPr fontId="15"/>
  </si>
  <si>
    <t>221-5001</t>
    <phoneticPr fontId="15"/>
  </si>
  <si>
    <t>住所</t>
    <rPh sb="0" eb="2">
      <t>ジュウショ</t>
    </rPh>
    <phoneticPr fontId="15"/>
  </si>
  <si>
    <t>津市神戸154-9</t>
    <rPh sb="0" eb="2">
      <t>ツシ</t>
    </rPh>
    <rPh sb="2" eb="4">
      <t>カンベ</t>
    </rPh>
    <phoneticPr fontId="15"/>
  </si>
  <si>
    <t>FAX</t>
    <phoneticPr fontId="15"/>
  </si>
  <si>
    <t>221-5070</t>
    <phoneticPr fontId="15"/>
  </si>
  <si>
    <t>253-6599</t>
    <phoneticPr fontId="15"/>
  </si>
  <si>
    <t>213-4160</t>
    <phoneticPr fontId="15"/>
  </si>
  <si>
    <t>医師名</t>
    <rPh sb="0" eb="2">
      <t>イシ</t>
    </rPh>
    <rPh sb="2" eb="3">
      <t>メイ</t>
    </rPh>
    <phoneticPr fontId="15"/>
  </si>
  <si>
    <t>加藤裕也</t>
    <rPh sb="0" eb="2">
      <t>カトウ</t>
    </rPh>
    <rPh sb="2" eb="4">
      <t>ユウヤ</t>
    </rPh>
    <phoneticPr fontId="15"/>
  </si>
  <si>
    <t>担当者名</t>
    <rPh sb="0" eb="2">
      <t>タントウ</t>
    </rPh>
    <rPh sb="2" eb="3">
      <t>シャ</t>
    </rPh>
    <rPh sb="3" eb="4">
      <t>メイ</t>
    </rPh>
    <phoneticPr fontId="15"/>
  </si>
  <si>
    <t>送付文書(本誌含む)</t>
    <rPh sb="0" eb="2">
      <t>ソウフ</t>
    </rPh>
    <rPh sb="2" eb="4">
      <t>ブンショ</t>
    </rPh>
    <rPh sb="5" eb="7">
      <t>ホンシ</t>
    </rPh>
    <rPh sb="7" eb="8">
      <t>フク</t>
    </rPh>
    <phoneticPr fontId="15"/>
  </si>
  <si>
    <t>枚</t>
    <rPh sb="0" eb="1">
      <t>マイ</t>
    </rPh>
    <phoneticPr fontId="15"/>
  </si>
  <si>
    <t>先生充て</t>
    <rPh sb="0" eb="2">
      <t>センセイ</t>
    </rPh>
    <rPh sb="2" eb="3">
      <t>ア</t>
    </rPh>
    <phoneticPr fontId="15"/>
  </si>
  <si>
    <t>日頃は大変お世話になっております。下記のご利用者様について先生からのご指示を承りたく連絡をさせて</t>
    <rPh sb="0" eb="1">
      <t>ヒ</t>
    </rPh>
    <rPh sb="1" eb="2">
      <t>ゴロ</t>
    </rPh>
    <rPh sb="3" eb="5">
      <t>タイヘン</t>
    </rPh>
    <rPh sb="6" eb="8">
      <t>セワ</t>
    </rPh>
    <rPh sb="17" eb="19">
      <t>カキ</t>
    </rPh>
    <rPh sb="21" eb="23">
      <t>リヨウ</t>
    </rPh>
    <rPh sb="23" eb="24">
      <t>シャ</t>
    </rPh>
    <rPh sb="24" eb="25">
      <t>サマ</t>
    </rPh>
    <rPh sb="29" eb="31">
      <t>センセイ</t>
    </rPh>
    <rPh sb="35" eb="37">
      <t>シジ</t>
    </rPh>
    <rPh sb="38" eb="39">
      <t>ウケタマワ</t>
    </rPh>
    <rPh sb="42" eb="44">
      <t>レンラク</t>
    </rPh>
    <phoneticPr fontId="15"/>
  </si>
  <si>
    <t>いただきます。</t>
    <phoneticPr fontId="15"/>
  </si>
  <si>
    <t>お忙しいところ申し訳ございませんが、ご都合のよろしい方法でご回答をお願いいたします。</t>
    <rPh sb="1" eb="2">
      <t>イソガ</t>
    </rPh>
    <rPh sb="7" eb="8">
      <t>モウ</t>
    </rPh>
    <rPh sb="9" eb="10">
      <t>ワケ</t>
    </rPh>
    <rPh sb="19" eb="21">
      <t>ツゴウ</t>
    </rPh>
    <rPh sb="26" eb="28">
      <t>ホウホウ</t>
    </rPh>
    <rPh sb="30" eb="32">
      <t>カイトウ</t>
    </rPh>
    <rPh sb="34" eb="35">
      <t>ネガ</t>
    </rPh>
    <phoneticPr fontId="15"/>
  </si>
  <si>
    <t>今回ご本人・ご家族の同意を得て、ご都合のよろしい連絡方法でご回答をお願いいたします。</t>
    <rPh sb="0" eb="2">
      <t>コンカイ</t>
    </rPh>
    <rPh sb="3" eb="5">
      <t>ホンニン</t>
    </rPh>
    <rPh sb="7" eb="9">
      <t>カゾク</t>
    </rPh>
    <rPh sb="10" eb="12">
      <t>ドウイ</t>
    </rPh>
    <rPh sb="13" eb="14">
      <t>エ</t>
    </rPh>
    <rPh sb="17" eb="19">
      <t>ツゴウ</t>
    </rPh>
    <rPh sb="24" eb="26">
      <t>レンラク</t>
    </rPh>
    <rPh sb="26" eb="28">
      <t>ホウホウ</t>
    </rPh>
    <rPh sb="30" eb="32">
      <t>カイトウ</t>
    </rPh>
    <rPh sb="34" eb="35">
      <t>ネガ</t>
    </rPh>
    <phoneticPr fontId="15"/>
  </si>
  <si>
    <t>【同意日　令和  年  月  日】</t>
    <rPh sb="1" eb="3">
      <t>ドウイ</t>
    </rPh>
    <rPh sb="3" eb="4">
      <t>ビ</t>
    </rPh>
    <rPh sb="5" eb="7">
      <t>レイワ</t>
    </rPh>
    <rPh sb="9" eb="10">
      <t>ネン</t>
    </rPh>
    <rPh sb="12" eb="13">
      <t>ツキ</t>
    </rPh>
    <rPh sb="15" eb="16">
      <t>ヒ</t>
    </rPh>
    <phoneticPr fontId="15"/>
  </si>
  <si>
    <t>契約時の同意に基づき、介護支援に必要がありますので、ご連絡をさせていただきます。</t>
    <rPh sb="0" eb="2">
      <t>ケイヤク</t>
    </rPh>
    <rPh sb="2" eb="3">
      <t>ジ</t>
    </rPh>
    <rPh sb="4" eb="6">
      <t>ドウイ</t>
    </rPh>
    <rPh sb="7" eb="8">
      <t>モト</t>
    </rPh>
    <rPh sb="11" eb="13">
      <t>カイゴ</t>
    </rPh>
    <rPh sb="13" eb="15">
      <t>シエン</t>
    </rPh>
    <rPh sb="16" eb="18">
      <t>ヒツヨウ</t>
    </rPh>
    <rPh sb="27" eb="29">
      <t>レンラク</t>
    </rPh>
    <phoneticPr fontId="15"/>
  </si>
  <si>
    <t>利用者の情報</t>
    <rPh sb="0" eb="3">
      <t>リヨウシャ</t>
    </rPh>
    <rPh sb="4" eb="6">
      <t>ジョウホウ</t>
    </rPh>
    <phoneticPr fontId="15"/>
  </si>
  <si>
    <t>ふりがな</t>
    <phoneticPr fontId="15"/>
  </si>
  <si>
    <t>生年月日</t>
    <rPh sb="0" eb="2">
      <t>セイネン</t>
    </rPh>
    <rPh sb="2" eb="4">
      <t>ガッピ</t>
    </rPh>
    <phoneticPr fontId="15"/>
  </si>
  <si>
    <t>氏　名</t>
    <rPh sb="0" eb="1">
      <t>シ</t>
    </rPh>
    <rPh sb="2" eb="3">
      <t>メイ</t>
    </rPh>
    <phoneticPr fontId="15"/>
  </si>
  <si>
    <t>(</t>
    <phoneticPr fontId="15"/>
  </si>
  <si>
    <t>歳）</t>
    <rPh sb="0" eb="1">
      <t>サイ</t>
    </rPh>
    <phoneticPr fontId="15"/>
  </si>
  <si>
    <t>要介護度</t>
    <rPh sb="0" eb="1">
      <t>ヨウ</t>
    </rPh>
    <rPh sb="1" eb="3">
      <t>カイゴ</t>
    </rPh>
    <rPh sb="3" eb="4">
      <t>ド</t>
    </rPh>
    <phoneticPr fontId="15"/>
  </si>
  <si>
    <t>認定有効期間</t>
    <rPh sb="0" eb="2">
      <t>ニンテイ</t>
    </rPh>
    <rPh sb="2" eb="4">
      <t>ユウコウ</t>
    </rPh>
    <rPh sb="4" eb="6">
      <t>キカン</t>
    </rPh>
    <phoneticPr fontId="15"/>
  </si>
  <si>
    <t>～</t>
    <phoneticPr fontId="15"/>
  </si>
  <si>
    <t>電話</t>
    <rPh sb="0" eb="2">
      <t>デンワ</t>
    </rPh>
    <phoneticPr fontId="15"/>
  </si>
  <si>
    <t>介護支援専門員記載欄</t>
    <rPh sb="0" eb="2">
      <t>カイゴ</t>
    </rPh>
    <rPh sb="2" eb="4">
      <t>シエン</t>
    </rPh>
    <rPh sb="4" eb="7">
      <t>センモンイン</t>
    </rPh>
    <rPh sb="7" eb="9">
      <t>キサイ</t>
    </rPh>
    <rPh sb="9" eb="10">
      <t>ラン</t>
    </rPh>
    <phoneticPr fontId="15"/>
  </si>
  <si>
    <t>照会目的</t>
    <rPh sb="0" eb="2">
      <t>ショウカイ</t>
    </rPh>
    <rPh sb="2" eb="4">
      <t>モクテキ</t>
    </rPh>
    <phoneticPr fontId="15"/>
  </si>
  <si>
    <t>返信希望の有無</t>
    <rPh sb="0" eb="2">
      <t>ヘンシン</t>
    </rPh>
    <rPh sb="2" eb="4">
      <t>キボウ</t>
    </rPh>
    <rPh sb="5" eb="7">
      <t>ウム</t>
    </rPh>
    <phoneticPr fontId="15"/>
  </si>
  <si>
    <t>返信願います</t>
    <rPh sb="0" eb="2">
      <t>ヘンシン</t>
    </rPh>
    <rPh sb="2" eb="3">
      <t>ネガ</t>
    </rPh>
    <phoneticPr fontId="15"/>
  </si>
  <si>
    <t>返信不要です</t>
    <rPh sb="0" eb="2">
      <t>ヘンシン</t>
    </rPh>
    <rPh sb="2" eb="4">
      <t>フヨウ</t>
    </rPh>
    <phoneticPr fontId="15"/>
  </si>
  <si>
    <t>ケアプラン作成時の意見について</t>
    <rPh sb="5" eb="7">
      <t>サクセイ</t>
    </rPh>
    <rPh sb="7" eb="8">
      <t>ジ</t>
    </rPh>
    <rPh sb="9" eb="11">
      <t>イケン</t>
    </rPh>
    <phoneticPr fontId="15"/>
  </si>
  <si>
    <t>サービス担当者会議の開催及び意見等について</t>
    <rPh sb="4" eb="7">
      <t>タントウシャ</t>
    </rPh>
    <rPh sb="7" eb="9">
      <t>カイギ</t>
    </rPh>
    <rPh sb="10" eb="12">
      <t>カイサイ</t>
    </rPh>
    <rPh sb="12" eb="13">
      <t>オヨ</t>
    </rPh>
    <rPh sb="14" eb="16">
      <t>イケン</t>
    </rPh>
    <rPh sb="16" eb="17">
      <t>トウ</t>
    </rPh>
    <phoneticPr fontId="15"/>
  </si>
  <si>
    <t>医療系サービスの導入について</t>
    <rPh sb="0" eb="2">
      <t>イリョウ</t>
    </rPh>
    <rPh sb="2" eb="3">
      <t>ケイ</t>
    </rPh>
    <rPh sb="8" eb="10">
      <t>ドウニュウ</t>
    </rPh>
    <phoneticPr fontId="15"/>
  </si>
  <si>
    <t>利用者の心身状況の変化についての意見</t>
    <rPh sb="0" eb="3">
      <t>リヨウシャ</t>
    </rPh>
    <rPh sb="4" eb="6">
      <t>シンシン</t>
    </rPh>
    <rPh sb="6" eb="8">
      <t>ジョウキョウ</t>
    </rPh>
    <rPh sb="9" eb="11">
      <t>ヘンカ</t>
    </rPh>
    <rPh sb="16" eb="18">
      <t>イケン</t>
    </rPh>
    <phoneticPr fontId="15"/>
  </si>
  <si>
    <t>施設系サービスの利用について</t>
    <rPh sb="0" eb="2">
      <t>シセツ</t>
    </rPh>
    <rPh sb="2" eb="3">
      <t>ケイ</t>
    </rPh>
    <rPh sb="8" eb="10">
      <t>リヨウ</t>
    </rPh>
    <phoneticPr fontId="15"/>
  </si>
  <si>
    <t>福祉用具貸与(購入)における医学的意見</t>
    <rPh sb="0" eb="2">
      <t>フクシ</t>
    </rPh>
    <rPh sb="2" eb="4">
      <t>ヨウグ</t>
    </rPh>
    <rPh sb="4" eb="6">
      <t>タイヨ</t>
    </rPh>
    <rPh sb="7" eb="9">
      <t>コウニュウ</t>
    </rPh>
    <rPh sb="14" eb="17">
      <t>イガクテキ</t>
    </rPh>
    <rPh sb="17" eb="19">
      <t>イケン</t>
    </rPh>
    <phoneticPr fontId="15"/>
  </si>
  <si>
    <t>担当ケアマネージャーになった挨拶</t>
    <rPh sb="0" eb="2">
      <t>タントウ</t>
    </rPh>
    <rPh sb="14" eb="16">
      <t>アイサツ</t>
    </rPh>
    <phoneticPr fontId="15"/>
  </si>
  <si>
    <t>その他利用者に関する相談・報告等</t>
    <rPh sb="2" eb="3">
      <t>タ</t>
    </rPh>
    <rPh sb="3" eb="6">
      <t>リヨウシャ</t>
    </rPh>
    <rPh sb="7" eb="8">
      <t>カン</t>
    </rPh>
    <rPh sb="10" eb="12">
      <t>ソウダン</t>
    </rPh>
    <rPh sb="13" eb="15">
      <t>ホウコク</t>
    </rPh>
    <rPh sb="15" eb="16">
      <t>トウ</t>
    </rPh>
    <phoneticPr fontId="15"/>
  </si>
  <si>
    <t>相 談 内 容</t>
    <rPh sb="0" eb="1">
      <t>ソウ</t>
    </rPh>
    <rPh sb="2" eb="3">
      <t>ダン</t>
    </rPh>
    <rPh sb="4" eb="5">
      <t>ナイ</t>
    </rPh>
    <rPh sb="6" eb="7">
      <t>カタチ</t>
    </rPh>
    <phoneticPr fontId="15"/>
  </si>
  <si>
    <t>担当介護支援専門員</t>
    <rPh sb="0" eb="2">
      <t>タントウ</t>
    </rPh>
    <rPh sb="2" eb="4">
      <t>カイゴ</t>
    </rPh>
    <rPh sb="4" eb="6">
      <t>シエン</t>
    </rPh>
    <rPh sb="6" eb="9">
      <t>センモンイン</t>
    </rPh>
    <phoneticPr fontId="15"/>
  </si>
  <si>
    <t>主治医記載欄</t>
    <rPh sb="0" eb="3">
      <t>シュジイ</t>
    </rPh>
    <rPh sb="3" eb="5">
      <t>キサイ</t>
    </rPh>
    <rPh sb="5" eb="6">
      <t>ラン</t>
    </rPh>
    <phoneticPr fontId="15"/>
  </si>
  <si>
    <t>照会についての連絡方法</t>
    <rPh sb="0" eb="2">
      <t>ショウカイ</t>
    </rPh>
    <rPh sb="7" eb="9">
      <t>レンラク</t>
    </rPh>
    <rPh sb="9" eb="11">
      <t>ホウホウ</t>
    </rPh>
    <phoneticPr fontId="15"/>
  </si>
  <si>
    <t>電話を下さい　(      　   日　　　　　　時頃)</t>
    <rPh sb="0" eb="2">
      <t>デンワ</t>
    </rPh>
    <rPh sb="3" eb="4">
      <t>クダ</t>
    </rPh>
    <rPh sb="18" eb="19">
      <t>ヒ</t>
    </rPh>
    <rPh sb="25" eb="26">
      <t>ジ</t>
    </rPh>
    <rPh sb="26" eb="27">
      <t>コロ</t>
    </rPh>
    <phoneticPr fontId="15"/>
  </si>
  <si>
    <t>直接会ってお伝えします　(　　　　月　　　日　　　時に来院して下さい)</t>
    <rPh sb="0" eb="2">
      <t>チョクセツ</t>
    </rPh>
    <rPh sb="2" eb="3">
      <t>ア</t>
    </rPh>
    <rPh sb="6" eb="7">
      <t>ツタ</t>
    </rPh>
    <rPh sb="17" eb="18">
      <t>ツキ</t>
    </rPh>
    <rPh sb="21" eb="22">
      <t>ヒ</t>
    </rPh>
    <rPh sb="25" eb="26">
      <t>ジ</t>
    </rPh>
    <rPh sb="27" eb="29">
      <t>ライイン</t>
    </rPh>
    <rPh sb="31" eb="32">
      <t>クダ</t>
    </rPh>
    <phoneticPr fontId="15"/>
  </si>
  <si>
    <t>文章で回答をします</t>
    <rPh sb="0" eb="2">
      <t>ブンショウ</t>
    </rPh>
    <rPh sb="3" eb="5">
      <t>カイトウ</t>
    </rPh>
    <phoneticPr fontId="15"/>
  </si>
  <si>
    <t>サービス担当者会議に出席できませんので、文章にて回答します</t>
    <rPh sb="4" eb="7">
      <t>タントウシャ</t>
    </rPh>
    <rPh sb="7" eb="9">
      <t>カイギ</t>
    </rPh>
    <rPh sb="10" eb="12">
      <t>シュッセキ</t>
    </rPh>
    <rPh sb="20" eb="22">
      <t>ブンショウ</t>
    </rPh>
    <rPh sb="24" eb="26">
      <t>カイトウ</t>
    </rPh>
    <phoneticPr fontId="15"/>
  </si>
  <si>
    <t>回 答 内 容</t>
    <rPh sb="0" eb="1">
      <t>カイ</t>
    </rPh>
    <rPh sb="2" eb="3">
      <t>コタエ</t>
    </rPh>
    <rPh sb="4" eb="5">
      <t>ナイ</t>
    </rPh>
    <rPh sb="6" eb="7">
      <t>カタチ</t>
    </rPh>
    <phoneticPr fontId="15"/>
  </si>
  <si>
    <t>令和　　　年　　　月　　　日　　　主治医</t>
    <rPh sb="0" eb="1">
      <t>レイ</t>
    </rPh>
    <rPh sb="1" eb="2">
      <t>ワ</t>
    </rPh>
    <rPh sb="5" eb="6">
      <t>ネン</t>
    </rPh>
    <rPh sb="9" eb="10">
      <t>ツキ</t>
    </rPh>
    <rPh sb="13" eb="14">
      <t>ヒ</t>
    </rPh>
    <rPh sb="17" eb="20">
      <t>シュジイ</t>
    </rPh>
    <phoneticPr fontId="15"/>
  </si>
  <si>
    <t>津地区医師会・久居一志地区医師会・三重県介護支援専門員協会津支部　　共同作成</t>
    <rPh sb="0" eb="1">
      <t>ツ</t>
    </rPh>
    <rPh sb="1" eb="3">
      <t>チク</t>
    </rPh>
    <rPh sb="3" eb="6">
      <t>イシカイ</t>
    </rPh>
    <rPh sb="7" eb="9">
      <t>ヒサイ</t>
    </rPh>
    <rPh sb="9" eb="11">
      <t>イチシ</t>
    </rPh>
    <rPh sb="11" eb="13">
      <t>チク</t>
    </rPh>
    <rPh sb="13" eb="16">
      <t>イシカイ</t>
    </rPh>
    <rPh sb="17" eb="20">
      <t>ミエケン</t>
    </rPh>
    <rPh sb="20" eb="22">
      <t>カイゴ</t>
    </rPh>
    <rPh sb="22" eb="24">
      <t>シエン</t>
    </rPh>
    <rPh sb="24" eb="27">
      <t>センモンイン</t>
    </rPh>
    <rPh sb="27" eb="29">
      <t>キョウカイ</t>
    </rPh>
    <rPh sb="29" eb="30">
      <t>ツ</t>
    </rPh>
    <rPh sb="30" eb="32">
      <t>シブ</t>
    </rPh>
    <rPh sb="34" eb="36">
      <t>キョウドウ</t>
    </rPh>
    <rPh sb="36" eb="38">
      <t>サクセイ</t>
    </rPh>
    <phoneticPr fontId="15"/>
  </si>
  <si>
    <t>第27条･第28条･第32条･第33条･第36条関係</t>
    <rPh sb="0" eb="1">
      <t>ダイ</t>
    </rPh>
    <rPh sb="3" eb="4">
      <t>ジョウ</t>
    </rPh>
    <rPh sb="5" eb="6">
      <t>ダイ</t>
    </rPh>
    <rPh sb="8" eb="9">
      <t>ジョウ</t>
    </rPh>
    <rPh sb="24" eb="26">
      <t>カンケイ</t>
    </rPh>
    <phoneticPr fontId="15"/>
  </si>
  <si>
    <t>介護保険　要介護・要支援　（更新）認定申請書</t>
    <rPh sb="0" eb="2">
      <t>カイゴ</t>
    </rPh>
    <rPh sb="2" eb="4">
      <t>ホケン</t>
    </rPh>
    <rPh sb="5" eb="8">
      <t>ヨウカイゴ</t>
    </rPh>
    <rPh sb="9" eb="12">
      <t>ヨウシエン</t>
    </rPh>
    <rPh sb="14" eb="16">
      <t>コウシン</t>
    </rPh>
    <rPh sb="17" eb="19">
      <t>ニンテイ</t>
    </rPh>
    <rPh sb="19" eb="22">
      <t>シンセイショ</t>
    </rPh>
    <phoneticPr fontId="15"/>
  </si>
  <si>
    <t>受付処理日</t>
    <rPh sb="0" eb="2">
      <t>ウケツケ</t>
    </rPh>
    <rPh sb="2" eb="4">
      <t>ショリ</t>
    </rPh>
    <rPh sb="4" eb="5">
      <t>ビ</t>
    </rPh>
    <phoneticPr fontId="15"/>
  </si>
  <si>
    <t>（あて先）津市長</t>
  </si>
  <si>
    <t>次のとおり申請します</t>
  </si>
  <si>
    <t>申請年月日</t>
    <rPh sb="0" eb="2">
      <t>シンセイ</t>
    </rPh>
    <rPh sb="2" eb="5">
      <t>ネンガッピ</t>
    </rPh>
    <phoneticPr fontId="15"/>
  </si>
  <si>
    <t>①申請書
　提出者</t>
    <rPh sb="1" eb="4">
      <t>シンセイショ</t>
    </rPh>
    <rPh sb="6" eb="9">
      <t>テイシュツシャ</t>
    </rPh>
    <phoneticPr fontId="15"/>
  </si>
  <si>
    <t>フリガナ</t>
    <phoneticPr fontId="15"/>
  </si>
  <si>
    <t xml:space="preserve">  ｷｮﾀｸｶｲｺﾞｼｴﾝｼﾞｷﾞｮｳｼｮ ｱﾉﾂﾛﾏﾝ</t>
  </si>
  <si>
    <t>本人との関係</t>
    <rPh sb="0" eb="2">
      <t>ホンニン</t>
    </rPh>
    <rPh sb="4" eb="6">
      <t>カンケイ</t>
    </rPh>
    <phoneticPr fontId="15"/>
  </si>
  <si>
    <t>介護支援専門員</t>
    <rPh sb="0" eb="7">
      <t>カイゴシエンセンモンイン</t>
    </rPh>
    <phoneticPr fontId="15"/>
  </si>
  <si>
    <t>住　所</t>
    <rPh sb="0" eb="1">
      <t>ジュウ</t>
    </rPh>
    <rPh sb="2" eb="3">
      <t>ショ</t>
    </rPh>
    <phoneticPr fontId="15"/>
  </si>
  <si>
    <t>（〒　514　－　0824　）</t>
  </si>
  <si>
    <t>電話番号</t>
    <rPh sb="0" eb="2">
      <t>デンワ</t>
    </rPh>
    <rPh sb="2" eb="4">
      <t>バンゴウ</t>
    </rPh>
    <phoneticPr fontId="15"/>
  </si>
  <si>
    <t>申請書提出者該当に○</t>
    <rPh sb="0" eb="3">
      <t>シンセイショ</t>
    </rPh>
    <rPh sb="3" eb="6">
      <t>テイシュツシャ</t>
    </rPh>
    <rPh sb="6" eb="8">
      <t>ガイトウ</t>
    </rPh>
    <phoneticPr fontId="15"/>
  </si>
  <si>
    <t>地域包括支援センター・居宅介護支援事業所・指定介護老人福祉施設・介護老人保健施設・指定介護療養型医療施設・介護医療院・その他</t>
    <rPh sb="0" eb="2">
      <t>チイキ</t>
    </rPh>
    <rPh sb="2" eb="4">
      <t>ホウカツ</t>
    </rPh>
    <rPh sb="4" eb="6">
      <t>シエン</t>
    </rPh>
    <rPh sb="11" eb="13">
      <t>キョタク</t>
    </rPh>
    <rPh sb="13" eb="15">
      <t>カイゴ</t>
    </rPh>
    <rPh sb="15" eb="17">
      <t>シエン</t>
    </rPh>
    <rPh sb="17" eb="20">
      <t>ジギョウショ</t>
    </rPh>
    <rPh sb="21" eb="23">
      <t>シテイ</t>
    </rPh>
    <rPh sb="23" eb="25">
      <t>カイゴ</t>
    </rPh>
    <rPh sb="25" eb="27">
      <t>ロウジン</t>
    </rPh>
    <rPh sb="27" eb="29">
      <t>フクシ</t>
    </rPh>
    <rPh sb="29" eb="31">
      <t>シセツ</t>
    </rPh>
    <rPh sb="32" eb="34">
      <t>カイゴ</t>
    </rPh>
    <rPh sb="34" eb="36">
      <t>ロウジン</t>
    </rPh>
    <rPh sb="36" eb="38">
      <t>ホケン</t>
    </rPh>
    <rPh sb="38" eb="40">
      <t>シセツ</t>
    </rPh>
    <rPh sb="41" eb="43">
      <t>シテイ</t>
    </rPh>
    <rPh sb="43" eb="45">
      <t>カイゴ</t>
    </rPh>
    <rPh sb="45" eb="47">
      <t>リョウヨウ</t>
    </rPh>
    <rPh sb="47" eb="48">
      <t>ガタ</t>
    </rPh>
    <rPh sb="48" eb="50">
      <t>イリョウ</t>
    </rPh>
    <rPh sb="50" eb="52">
      <t>シセツ</t>
    </rPh>
    <rPh sb="53" eb="55">
      <t>カイゴ</t>
    </rPh>
    <rPh sb="55" eb="57">
      <t>イリョウ</t>
    </rPh>
    <rPh sb="57" eb="58">
      <t>イン</t>
    </rPh>
    <rPh sb="61" eb="62">
      <t>ホカ</t>
    </rPh>
    <phoneticPr fontId="15"/>
  </si>
  <si>
    <t>担当者氏名</t>
    <rPh sb="0" eb="3">
      <t>タントウシャ</t>
    </rPh>
    <rPh sb="3" eb="5">
      <t>シメイ</t>
    </rPh>
    <phoneticPr fontId="15"/>
  </si>
  <si>
    <t>中井　深春</t>
    <rPh sb="0" eb="2">
      <t>ナカイ</t>
    </rPh>
    <rPh sb="3" eb="4">
      <t>フカ</t>
    </rPh>
    <rPh sb="4" eb="5">
      <t>ハル</t>
    </rPh>
    <phoneticPr fontId="15"/>
  </si>
  <si>
    <t>②被保険者</t>
    <rPh sb="1" eb="5">
      <t>ヒホケンシャ</t>
    </rPh>
    <phoneticPr fontId="15"/>
  </si>
  <si>
    <t>被保険者番号</t>
    <rPh sb="0" eb="4">
      <t>ヒホケンシャ</t>
    </rPh>
    <rPh sb="4" eb="6">
      <t>バンゴウ</t>
    </rPh>
    <phoneticPr fontId="15"/>
  </si>
  <si>
    <t>個人番号</t>
    <rPh sb="0" eb="2">
      <t>コジン</t>
    </rPh>
    <rPh sb="2" eb="4">
      <t>バンゴウ</t>
    </rPh>
    <phoneticPr fontId="15"/>
  </si>
  <si>
    <t>性別</t>
    <phoneticPr fontId="15"/>
  </si>
  <si>
    <t>（〒514－0824）</t>
    <phoneticPr fontId="15"/>
  </si>
  <si>
    <t xml:space="preserve">※申請書提出者が被保険者本人の場合は、この欄は記入不要 </t>
    <rPh sb="4" eb="7">
      <t>テイシュツシャ</t>
    </rPh>
    <phoneticPr fontId="15"/>
  </si>
  <si>
    <t>津市神戸154番地9</t>
    <rPh sb="0" eb="2">
      <t>ツシ</t>
    </rPh>
    <rPh sb="2" eb="4">
      <t>カンベ</t>
    </rPh>
    <rPh sb="7" eb="9">
      <t>バンチ</t>
    </rPh>
    <phoneticPr fontId="15"/>
  </si>
  <si>
    <t>前回の認定</t>
    <rPh sb="0" eb="2">
      <t>ゼンカイ</t>
    </rPh>
    <rPh sb="3" eb="5">
      <t>ニンテイ</t>
    </rPh>
    <phoneticPr fontId="15"/>
  </si>
  <si>
    <t>※更新認定の
　場合のみ記入</t>
    <rPh sb="1" eb="3">
      <t>コウシン</t>
    </rPh>
    <rPh sb="3" eb="5">
      <t>ニンテイ</t>
    </rPh>
    <rPh sb="8" eb="10">
      <t>バアイ</t>
    </rPh>
    <rPh sb="12" eb="14">
      <t>キニュウ</t>
    </rPh>
    <phoneticPr fontId="15"/>
  </si>
  <si>
    <t>状態区分</t>
    <rPh sb="0" eb="2">
      <t>ジョウタイ</t>
    </rPh>
    <rPh sb="2" eb="4">
      <t>クブン</t>
    </rPh>
    <phoneticPr fontId="15"/>
  </si>
  <si>
    <t>有効期間</t>
    <rPh sb="0" eb="2">
      <t>ユウコウ</t>
    </rPh>
    <rPh sb="2" eb="4">
      <t>キカン</t>
    </rPh>
    <phoneticPr fontId="15"/>
  </si>
  <si>
    <t>※14日以内に他自治体から
転入した者のみ記入</t>
    <rPh sb="3" eb="4">
      <t>ニチ</t>
    </rPh>
    <rPh sb="4" eb="6">
      <t>イナイ</t>
    </rPh>
    <rPh sb="7" eb="8">
      <t>ホカ</t>
    </rPh>
    <rPh sb="8" eb="11">
      <t>ジチタイ</t>
    </rPh>
    <rPh sb="14" eb="16">
      <t>テンニュウ</t>
    </rPh>
    <rPh sb="18" eb="19">
      <t>モノ</t>
    </rPh>
    <rPh sb="21" eb="23">
      <t>キニュウ</t>
    </rPh>
    <phoneticPr fontId="15"/>
  </si>
  <si>
    <t>転出元自治体（市町村）名[　　　　　　　　　　]</t>
    <rPh sb="0" eb="2">
      <t>テンシュツ</t>
    </rPh>
    <rPh sb="2" eb="3">
      <t>モト</t>
    </rPh>
    <rPh sb="3" eb="6">
      <t>ジチタイ</t>
    </rPh>
    <rPh sb="7" eb="10">
      <t>シチョウソン</t>
    </rPh>
    <rPh sb="11" eb="12">
      <t>メイ</t>
    </rPh>
    <phoneticPr fontId="15"/>
  </si>
  <si>
    <t>現在、転出元自治体に要介護認定を申請中ですか。[はい（申請日:　　　　年　　月　　日）・いいえ]</t>
    <rPh sb="0" eb="2">
      <t>ゲンザイ</t>
    </rPh>
    <rPh sb="3" eb="5">
      <t>テンシュツ</t>
    </rPh>
    <rPh sb="5" eb="6">
      <t>モト</t>
    </rPh>
    <rPh sb="6" eb="9">
      <t>ジチタイ</t>
    </rPh>
    <rPh sb="10" eb="11">
      <t>ヨウ</t>
    </rPh>
    <rPh sb="11" eb="13">
      <t>カイゴ</t>
    </rPh>
    <rPh sb="13" eb="15">
      <t>ニンテイ</t>
    </rPh>
    <rPh sb="16" eb="19">
      <t>シンセイチュウ</t>
    </rPh>
    <rPh sb="27" eb="29">
      <t>シンセイ</t>
    </rPh>
    <rPh sb="29" eb="30">
      <t>ビ</t>
    </rPh>
    <rPh sb="35" eb="36">
      <t>ネン</t>
    </rPh>
    <rPh sb="38" eb="39">
      <t>ガツ</t>
    </rPh>
    <rPh sb="41" eb="42">
      <t>ヒ</t>
    </rPh>
    <phoneticPr fontId="15"/>
  </si>
  <si>
    <t>医療保険</t>
    <rPh sb="0" eb="2">
      <t>イリョウ</t>
    </rPh>
    <rPh sb="2" eb="4">
      <t>ホケン</t>
    </rPh>
    <phoneticPr fontId="15"/>
  </si>
  <si>
    <t>　医療保険者名</t>
    <phoneticPr fontId="15"/>
  </si>
  <si>
    <t>三重県後期高齢者医療広域連合</t>
    <rPh sb="0" eb="3">
      <t>ミエケン</t>
    </rPh>
    <rPh sb="3" eb="5">
      <t>コウキ</t>
    </rPh>
    <rPh sb="5" eb="8">
      <t>コウレイシャ</t>
    </rPh>
    <rPh sb="8" eb="10">
      <t>イリョウ</t>
    </rPh>
    <rPh sb="10" eb="12">
      <t>コウイキ</t>
    </rPh>
    <rPh sb="12" eb="14">
      <t>レンゴウ</t>
    </rPh>
    <phoneticPr fontId="15"/>
  </si>
  <si>
    <t>保険者番号</t>
  </si>
  <si>
    <t>　被保険者証記号番号</t>
    <phoneticPr fontId="15"/>
  </si>
  <si>
    <t>記号</t>
    <rPh sb="0" eb="2">
      <t>キゴウ</t>
    </rPh>
    <phoneticPr fontId="15"/>
  </si>
  <si>
    <t>番号</t>
  </si>
  <si>
    <t>特定疾病名</t>
    <phoneticPr fontId="15"/>
  </si>
  <si>
    <t>※第二号被保険者（４０歳から６４歳の医療保険加入者）はここを記入し、医療保険証の写しを添付してください</t>
    <rPh sb="34" eb="36">
      <t>イリョウ</t>
    </rPh>
    <rPh sb="36" eb="38">
      <t>ホケン</t>
    </rPh>
    <rPh sb="38" eb="39">
      <t>ショウ</t>
    </rPh>
    <rPh sb="40" eb="41">
      <t>ウツ</t>
    </rPh>
    <rPh sb="43" eb="45">
      <t>テンプ</t>
    </rPh>
    <phoneticPr fontId="15"/>
  </si>
  <si>
    <t>③認定調査</t>
    <rPh sb="1" eb="3">
      <t>ニンテイ</t>
    </rPh>
    <rPh sb="3" eb="5">
      <t>チョウサ</t>
    </rPh>
    <phoneticPr fontId="15"/>
  </si>
  <si>
    <r>
      <t xml:space="preserve">調査場所
</t>
    </r>
    <r>
      <rPr>
        <sz val="9"/>
        <rFont val="ＭＳ 明朝"/>
        <family val="1"/>
        <charset val="128"/>
      </rPr>
      <t>自宅外の時のみ
記入</t>
    </r>
    <rPh sb="0" eb="2">
      <t>チョウサ</t>
    </rPh>
    <rPh sb="2" eb="4">
      <t>バショ</t>
    </rPh>
    <rPh sb="5" eb="8">
      <t>ジタクガイ</t>
    </rPh>
    <rPh sb="9" eb="10">
      <t>トキ</t>
    </rPh>
    <rPh sb="13" eb="15">
      <t>キニュウ</t>
    </rPh>
    <phoneticPr fontId="15"/>
  </si>
  <si>
    <t>名称</t>
    <rPh sb="0" eb="2">
      <t>メイショウ</t>
    </rPh>
    <phoneticPr fontId="15"/>
  </si>
  <si>
    <t>所在地</t>
    <rPh sb="0" eb="3">
      <t>ショザイチ</t>
    </rPh>
    <phoneticPr fontId="15"/>
  </si>
  <si>
    <t>（〒514－0824 ）</t>
  </si>
  <si>
    <t>サービス付き高齢者向け住宅
安濃津ろまん</t>
  </si>
  <si>
    <t>059-213-4165</t>
  </si>
  <si>
    <t>調査連絡先</t>
    <rPh sb="0" eb="2">
      <t>チョウサ</t>
    </rPh>
    <rPh sb="2" eb="5">
      <t>レンラクサキ</t>
    </rPh>
    <phoneticPr fontId="15"/>
  </si>
  <si>
    <r>
      <t xml:space="preserve">フリガナ
</t>
    </r>
    <r>
      <rPr>
        <sz val="11"/>
        <rFont val="ＭＳ 明朝"/>
        <family val="1"/>
        <charset val="128"/>
      </rPr>
      <t>氏名</t>
    </r>
    <rPh sb="5" eb="7">
      <t>シメイ</t>
    </rPh>
    <phoneticPr fontId="15"/>
  </si>
  <si>
    <t>ナカイ　ミハル</t>
    <phoneticPr fontId="15"/>
  </si>
  <si>
    <t>電話番号（携帯電話可）</t>
    <rPh sb="0" eb="2">
      <t>デンワ</t>
    </rPh>
    <rPh sb="2" eb="4">
      <t>バンゴウ</t>
    </rPh>
    <rPh sb="5" eb="7">
      <t>ケイタイ</t>
    </rPh>
    <rPh sb="7" eb="9">
      <t>デンワ</t>
    </rPh>
    <rPh sb="9" eb="10">
      <t>カ</t>
    </rPh>
    <phoneticPr fontId="15"/>
  </si>
  <si>
    <t>被保険者本人以外のときのみ記入</t>
    <rPh sb="0" eb="4">
      <t>ヒホケンシャ</t>
    </rPh>
    <rPh sb="4" eb="6">
      <t>ホンニン</t>
    </rPh>
    <rPh sb="6" eb="8">
      <t>イガイ</t>
    </rPh>
    <rPh sb="13" eb="15">
      <t>キニュウ</t>
    </rPh>
    <phoneticPr fontId="15"/>
  </si>
  <si>
    <t>059-253-6599</t>
  </si>
  <si>
    <t>連絡希望時間</t>
    <rPh sb="0" eb="2">
      <t>レンラク</t>
    </rPh>
    <rPh sb="2" eb="4">
      <t>キボウ</t>
    </rPh>
    <rPh sb="4" eb="6">
      <t>ジカン</t>
    </rPh>
    <phoneticPr fontId="15"/>
  </si>
  <si>
    <r>
      <t>（</t>
    </r>
    <r>
      <rPr>
        <b/>
        <sz val="9"/>
        <rFont val="ＭＳ 明朝"/>
        <family val="1"/>
        <charset val="128"/>
      </rPr>
      <t>平日午前８時３０分から午後５時１５分まで</t>
    </r>
    <r>
      <rPr>
        <sz val="9"/>
        <rFont val="ＭＳ 明朝"/>
        <family val="1"/>
        <charset val="128"/>
      </rPr>
      <t xml:space="preserve">になります）　
</t>
    </r>
    <phoneticPr fontId="15"/>
  </si>
  <si>
    <t>備考欄</t>
    <rPh sb="0" eb="2">
      <t>ビコウ</t>
    </rPh>
    <rPh sb="2" eb="3">
      <t>ラン</t>
    </rPh>
    <phoneticPr fontId="15"/>
  </si>
  <si>
    <t>④主治医</t>
    <rPh sb="1" eb="4">
      <t>シュジイ</t>
    </rPh>
    <phoneticPr fontId="15"/>
  </si>
  <si>
    <t>医療機関名
(1ヶ所）</t>
    <rPh sb="0" eb="2">
      <t>イリョウ</t>
    </rPh>
    <rPh sb="2" eb="4">
      <t>キカン</t>
    </rPh>
    <rPh sb="4" eb="5">
      <t>メイ</t>
    </rPh>
    <rPh sb="9" eb="10">
      <t>ショ</t>
    </rPh>
    <phoneticPr fontId="15"/>
  </si>
  <si>
    <t>所在地(津市外のときのみ記入)</t>
    <rPh sb="0" eb="3">
      <t>ショザイチ</t>
    </rPh>
    <phoneticPr fontId="15"/>
  </si>
  <si>
    <t>（〒　　　　－　　　　　）</t>
  </si>
  <si>
    <t>主治医氏名
（１名）</t>
    <rPh sb="0" eb="3">
      <t>シュジイ</t>
    </rPh>
    <rPh sb="3" eb="5">
      <t>シメイ</t>
    </rPh>
    <rPh sb="7" eb="9">
      <t>イチメイ</t>
    </rPh>
    <phoneticPr fontId="15"/>
  </si>
  <si>
    <t>加藤　裕也　先生</t>
    <rPh sb="0" eb="2">
      <t>カトウ</t>
    </rPh>
    <rPh sb="3" eb="5">
      <t>ユウヤ</t>
    </rPh>
    <rPh sb="6" eb="8">
      <t>センセイ</t>
    </rPh>
    <phoneticPr fontId="15"/>
  </si>
  <si>
    <t>※ 主治医に認定申請をすることを相談されてから、申請していただきますようお願いいたします。</t>
    <phoneticPr fontId="15"/>
  </si>
  <si>
    <t>　 なお、病院によっては記入医が変更になる場合があります。</t>
    <phoneticPr fontId="15"/>
  </si>
  <si>
    <t>最終診察日：　　年　　月　　日　（現在入院中、○月○日退院予定等あれば）</t>
    <phoneticPr fontId="15"/>
  </si>
  <si>
    <t>　介護サービス計画の作成等介護保険事業の適切な運営のために必要があるときは、要介護認定・要支援認定に係る調査内容、介護認定審査会による判定結果・意見及び主治医意見書を、津市から地域包括支援センター、居宅介護支援事業者、居宅サービス事業者若しくは介護保険施設の関係人、主治医意見書を記載した医師又は認定調査に従事した調査員に提示することに同意します。
　介護保険法上、結果通知が申請から３０日を超える場合は遅れる理由を記載し、延期通知をする必要がありますが、更新申請に限り、有効期間内であれば、通知を省略することに同意します。</t>
    <rPh sb="1" eb="3">
      <t>カイゴ</t>
    </rPh>
    <rPh sb="7" eb="9">
      <t>ケイカク</t>
    </rPh>
    <rPh sb="10" eb="12">
      <t>サクセイ</t>
    </rPh>
    <rPh sb="12" eb="13">
      <t>ナド</t>
    </rPh>
    <rPh sb="13" eb="15">
      <t>カイゴ</t>
    </rPh>
    <rPh sb="15" eb="17">
      <t>ホケン</t>
    </rPh>
    <rPh sb="17" eb="19">
      <t>ジギョウ</t>
    </rPh>
    <rPh sb="20" eb="22">
      <t>テキセツ</t>
    </rPh>
    <rPh sb="23" eb="25">
      <t>ウンエイ</t>
    </rPh>
    <rPh sb="29" eb="31">
      <t>ヒツヨウ</t>
    </rPh>
    <rPh sb="38" eb="41">
      <t>ヨウカイゴ</t>
    </rPh>
    <rPh sb="41" eb="43">
      <t>ニンテイ</t>
    </rPh>
    <rPh sb="44" eb="47">
      <t>ヨウシエン</t>
    </rPh>
    <rPh sb="47" eb="49">
      <t>ニンテイ</t>
    </rPh>
    <rPh sb="50" eb="51">
      <t>カカ</t>
    </rPh>
    <rPh sb="52" eb="54">
      <t>チョウサ</t>
    </rPh>
    <rPh sb="54" eb="56">
      <t>ナイヨウ</t>
    </rPh>
    <rPh sb="57" eb="59">
      <t>カイゴ</t>
    </rPh>
    <rPh sb="59" eb="61">
      <t>ニンテイ</t>
    </rPh>
    <rPh sb="67" eb="69">
      <t>ハンテイ</t>
    </rPh>
    <rPh sb="69" eb="71">
      <t>ケッカ</t>
    </rPh>
    <rPh sb="72" eb="74">
      <t>イケン</t>
    </rPh>
    <rPh sb="74" eb="75">
      <t>オヨ</t>
    </rPh>
    <rPh sb="76" eb="79">
      <t>シュジイ</t>
    </rPh>
    <rPh sb="79" eb="82">
      <t>イケンショ</t>
    </rPh>
    <rPh sb="84" eb="86">
      <t>ツシ</t>
    </rPh>
    <rPh sb="88" eb="90">
      <t>チイキ</t>
    </rPh>
    <rPh sb="90" eb="92">
      <t>ホウカツ</t>
    </rPh>
    <rPh sb="92" eb="94">
      <t>シエン</t>
    </rPh>
    <rPh sb="99" eb="101">
      <t>キョタク</t>
    </rPh>
    <rPh sb="101" eb="103">
      <t>カイゴ</t>
    </rPh>
    <rPh sb="103" eb="105">
      <t>シエン</t>
    </rPh>
    <rPh sb="105" eb="108">
      <t>ジギョウシャ</t>
    </rPh>
    <rPh sb="109" eb="111">
      <t>キョタク</t>
    </rPh>
    <rPh sb="115" eb="117">
      <t>ジギョウ</t>
    </rPh>
    <rPh sb="117" eb="118">
      <t>シャ</t>
    </rPh>
    <rPh sb="118" eb="119">
      <t>モ</t>
    </rPh>
    <rPh sb="122" eb="124">
      <t>カイゴ</t>
    </rPh>
    <rPh sb="124" eb="126">
      <t>ホケン</t>
    </rPh>
    <rPh sb="126" eb="128">
      <t>シセツ</t>
    </rPh>
    <rPh sb="176" eb="178">
      <t>カイゴ</t>
    </rPh>
    <rPh sb="178" eb="180">
      <t>ホケン</t>
    </rPh>
    <rPh sb="180" eb="181">
      <t>ホウ</t>
    </rPh>
    <rPh sb="181" eb="182">
      <t>ウエ</t>
    </rPh>
    <rPh sb="183" eb="185">
      <t>ケッカ</t>
    </rPh>
    <rPh sb="185" eb="187">
      <t>ツウチ</t>
    </rPh>
    <rPh sb="188" eb="190">
      <t>シンセイ</t>
    </rPh>
    <rPh sb="194" eb="195">
      <t>ニチ</t>
    </rPh>
    <rPh sb="196" eb="197">
      <t>コ</t>
    </rPh>
    <rPh sb="199" eb="201">
      <t>バアイ</t>
    </rPh>
    <rPh sb="202" eb="203">
      <t>オク</t>
    </rPh>
    <rPh sb="205" eb="207">
      <t>リユウ</t>
    </rPh>
    <rPh sb="208" eb="210">
      <t>キサイ</t>
    </rPh>
    <rPh sb="212" eb="214">
      <t>エンキ</t>
    </rPh>
    <rPh sb="214" eb="216">
      <t>ツウチ</t>
    </rPh>
    <rPh sb="219" eb="221">
      <t>ヒツヨウ</t>
    </rPh>
    <rPh sb="228" eb="230">
      <t>コウシン</t>
    </rPh>
    <rPh sb="230" eb="232">
      <t>シンセイ</t>
    </rPh>
    <rPh sb="233" eb="234">
      <t>カギ</t>
    </rPh>
    <rPh sb="236" eb="238">
      <t>ユウコウ</t>
    </rPh>
    <rPh sb="238" eb="240">
      <t>キカン</t>
    </rPh>
    <rPh sb="240" eb="241">
      <t>ナイ</t>
    </rPh>
    <rPh sb="246" eb="248">
      <t>ツウチ</t>
    </rPh>
    <rPh sb="249" eb="251">
      <t>ショウリャク</t>
    </rPh>
    <rPh sb="256" eb="258">
      <t>ドウイ</t>
    </rPh>
    <phoneticPr fontId="15"/>
  </si>
  <si>
    <t>申請</t>
    <rPh sb="0" eb="2">
      <t>シンセイ</t>
    </rPh>
    <phoneticPr fontId="15"/>
  </si>
  <si>
    <t>本　・　代　／ 郵</t>
    <rPh sb="0" eb="1">
      <t>ホン</t>
    </rPh>
    <rPh sb="4" eb="5">
      <t>ダイ</t>
    </rPh>
    <rPh sb="8" eb="9">
      <t>ユウ</t>
    </rPh>
    <phoneticPr fontId="15"/>
  </si>
  <si>
    <t>確認物</t>
    <rPh sb="0" eb="2">
      <t>カクニン</t>
    </rPh>
    <rPh sb="2" eb="3">
      <t>ブツ</t>
    </rPh>
    <phoneticPr fontId="15"/>
  </si>
  <si>
    <t>１点</t>
    <rPh sb="1" eb="2">
      <t>テン</t>
    </rPh>
    <phoneticPr fontId="15"/>
  </si>
  <si>
    <t>運・障・個・居・他（ 　　 　　　）</t>
    <rPh sb="0" eb="1">
      <t>ウン</t>
    </rPh>
    <rPh sb="2" eb="3">
      <t>ショウ</t>
    </rPh>
    <rPh sb="4" eb="5">
      <t>カ</t>
    </rPh>
    <rPh sb="6" eb="7">
      <t>キョ</t>
    </rPh>
    <phoneticPr fontId="15"/>
  </si>
  <si>
    <t>２点</t>
    <rPh sb="1" eb="2">
      <t>テン</t>
    </rPh>
    <phoneticPr fontId="15"/>
  </si>
  <si>
    <t>健保・介保・
年手・年証・
他（　　　　　）</t>
    <rPh sb="0" eb="2">
      <t>ケンポ</t>
    </rPh>
    <rPh sb="1" eb="2">
      <t>タモツ</t>
    </rPh>
    <rPh sb="3" eb="5">
      <t>スケヤス</t>
    </rPh>
    <rPh sb="7" eb="8">
      <t>ネン</t>
    </rPh>
    <rPh sb="8" eb="9">
      <t>テ</t>
    </rPh>
    <rPh sb="10" eb="11">
      <t>ネン</t>
    </rPh>
    <rPh sb="11" eb="12">
      <t>ショウ</t>
    </rPh>
    <phoneticPr fontId="15"/>
  </si>
  <si>
    <t>　被保険者本人氏名（必ず記入）</t>
    <rPh sb="10" eb="11">
      <t>カナラ</t>
    </rPh>
    <rPh sb="12" eb="14">
      <t>キニュウ</t>
    </rPh>
    <phoneticPr fontId="15"/>
  </si>
  <si>
    <t>民間のみは
不可</t>
    <rPh sb="0" eb="2">
      <t>ミンカン</t>
    </rPh>
    <rPh sb="6" eb="8">
      <t>フカ</t>
    </rPh>
    <phoneticPr fontId="15"/>
  </si>
  <si>
    <t>社員証・
他（　　　　　　）</t>
    <rPh sb="0" eb="2">
      <t>シャイン</t>
    </rPh>
    <rPh sb="2" eb="3">
      <t>ショウ</t>
    </rPh>
    <phoneticPr fontId="15"/>
  </si>
  <si>
    <t>　代筆者氏名（代筆の場合のみ記入）</t>
    <rPh sb="1" eb="3">
      <t>ダイヒツ</t>
    </rPh>
    <rPh sb="3" eb="4">
      <t>シャ</t>
    </rPh>
    <rPh sb="4" eb="6">
      <t>シメイ</t>
    </rPh>
    <rPh sb="7" eb="9">
      <t>ダイヒツ</t>
    </rPh>
    <rPh sb="10" eb="12">
      <t>バアイ</t>
    </rPh>
    <rPh sb="14" eb="16">
      <t>キニュウ</t>
    </rPh>
    <phoneticPr fontId="15"/>
  </si>
  <si>
    <t>※介護保険被保険者証（ピンク色）を添えて提出してください。</t>
    <rPh sb="1" eb="3">
      <t>カイゴ</t>
    </rPh>
    <rPh sb="3" eb="5">
      <t>ホケン</t>
    </rPh>
    <rPh sb="5" eb="9">
      <t>ヒホケンシャ</t>
    </rPh>
    <rPh sb="9" eb="10">
      <t>ショウ</t>
    </rPh>
    <rPh sb="14" eb="15">
      <t>イロ</t>
    </rPh>
    <rPh sb="17" eb="18">
      <t>ソ</t>
    </rPh>
    <rPh sb="20" eb="22">
      <t>テイシュツ</t>
    </rPh>
    <phoneticPr fontId="15"/>
  </si>
  <si>
    <t>介護サービス計画作成に係る資料提供申請書</t>
    <rPh sb="0" eb="2">
      <t>カイゴ</t>
    </rPh>
    <rPh sb="6" eb="8">
      <t>ケイカク</t>
    </rPh>
    <rPh sb="8" eb="10">
      <t>サクセイ</t>
    </rPh>
    <rPh sb="11" eb="12">
      <t>カカ</t>
    </rPh>
    <rPh sb="13" eb="15">
      <t>シリョウ</t>
    </rPh>
    <rPh sb="15" eb="17">
      <t>テイキョウ</t>
    </rPh>
    <rPh sb="17" eb="20">
      <t>シンセイショ</t>
    </rPh>
    <phoneticPr fontId="29"/>
  </si>
  <si>
    <t>津　市　長</t>
    <rPh sb="0" eb="1">
      <t>ツ</t>
    </rPh>
    <rPh sb="2" eb="3">
      <t>シ</t>
    </rPh>
    <rPh sb="4" eb="5">
      <t>チョウ</t>
    </rPh>
    <phoneticPr fontId="29"/>
  </si>
  <si>
    <t>（申請者）</t>
    <rPh sb="1" eb="4">
      <t>シンセイシャ</t>
    </rPh>
    <phoneticPr fontId="29"/>
  </si>
  <si>
    <t>事業者及び施設名</t>
    <phoneticPr fontId="29"/>
  </si>
  <si>
    <t>　居宅介護支援事業所　安濃津ろまん</t>
    <phoneticPr fontId="29"/>
  </si>
  <si>
    <t>管理者名</t>
    <rPh sb="0" eb="3">
      <t>カンリシャ</t>
    </rPh>
    <rPh sb="3" eb="4">
      <t>メイ</t>
    </rPh>
    <phoneticPr fontId="29"/>
  </si>
  <si>
    <t>　倉野　美和</t>
    <rPh sb="1" eb="3">
      <t>クラノ</t>
    </rPh>
    <rPh sb="4" eb="6">
      <t>ミワ</t>
    </rPh>
    <phoneticPr fontId="29"/>
  </si>
  <si>
    <t>電話番号</t>
    <rPh sb="0" eb="2">
      <t>デンワ</t>
    </rPh>
    <rPh sb="2" eb="4">
      <t>バンゴウ</t>
    </rPh>
    <phoneticPr fontId="29"/>
  </si>
  <si>
    <t>　059-253-6599</t>
    <phoneticPr fontId="29"/>
  </si>
  <si>
    <t>　次のとおり資料の提供をお願いしたく申請します。</t>
    <rPh sb="1" eb="2">
      <t>ツギ</t>
    </rPh>
    <rPh sb="6" eb="8">
      <t>シリョウ</t>
    </rPh>
    <rPh sb="9" eb="11">
      <t>テイキョウ</t>
    </rPh>
    <rPh sb="13" eb="14">
      <t>ネガ</t>
    </rPh>
    <rPh sb="18" eb="20">
      <t>シンセイ</t>
    </rPh>
    <phoneticPr fontId="29"/>
  </si>
  <si>
    <t>資料名</t>
    <rPh sb="0" eb="2">
      <t>シリョウ</t>
    </rPh>
    <rPh sb="2" eb="3">
      <t>メイ</t>
    </rPh>
    <phoneticPr fontId="29"/>
  </si>
  <si>
    <t>使用目的</t>
    <rPh sb="0" eb="2">
      <t>シヨウ</t>
    </rPh>
    <rPh sb="2" eb="4">
      <t>モクテキ</t>
    </rPh>
    <phoneticPr fontId="29"/>
  </si>
  <si>
    <t>　介護サービス計画作成の資料とするため</t>
    <rPh sb="1" eb="3">
      <t>カイゴ</t>
    </rPh>
    <rPh sb="7" eb="9">
      <t>ケイカク</t>
    </rPh>
    <rPh sb="9" eb="11">
      <t>サクセイ</t>
    </rPh>
    <rPh sb="12" eb="14">
      <t>シリョウ</t>
    </rPh>
    <phoneticPr fontId="29"/>
  </si>
  <si>
    <t>提供申請者</t>
    <rPh sb="0" eb="2">
      <t>テイキョウ</t>
    </rPh>
    <rPh sb="2" eb="5">
      <t>シンセイシャ</t>
    </rPh>
    <phoneticPr fontId="29"/>
  </si>
  <si>
    <t>氏名</t>
    <rPh sb="0" eb="2">
      <t>シメイ</t>
    </rPh>
    <phoneticPr fontId="29"/>
  </si>
  <si>
    <t>職名</t>
    <rPh sb="0" eb="2">
      <t>ショクメイ</t>
    </rPh>
    <phoneticPr fontId="29"/>
  </si>
  <si>
    <t>被保険者　　　同意欄</t>
    <rPh sb="0" eb="1">
      <t>ヒ</t>
    </rPh>
    <rPh sb="1" eb="3">
      <t>ホケン</t>
    </rPh>
    <rPh sb="3" eb="4">
      <t>シャ</t>
    </rPh>
    <rPh sb="7" eb="9">
      <t>ドウイ</t>
    </rPh>
    <rPh sb="9" eb="10">
      <t>ラン</t>
    </rPh>
    <phoneticPr fontId="29"/>
  </si>
  <si>
    <t>住所</t>
    <rPh sb="0" eb="2">
      <t>ジュウショ</t>
    </rPh>
    <phoneticPr fontId="29"/>
  </si>
  <si>
    <t>生年月日</t>
    <rPh sb="0" eb="2">
      <t>セイネン</t>
    </rPh>
    <rPh sb="2" eb="4">
      <t>ガッピ</t>
    </rPh>
    <phoneticPr fontId="29"/>
  </si>
  <si>
    <t>被保険者番号</t>
    <rPh sb="0" eb="1">
      <t>ヒ</t>
    </rPh>
    <rPh sb="1" eb="3">
      <t>ホケン</t>
    </rPh>
    <rPh sb="3" eb="4">
      <t>シャ</t>
    </rPh>
    <rPh sb="4" eb="6">
      <t>バンゴウ</t>
    </rPh>
    <phoneticPr fontId="29"/>
  </si>
  <si>
    <t>介護サービス計画作成のため私の介護保険の認定に係る認定調査票及び主治医意見書の写しを上記の者に提供することに同意します。</t>
    <rPh sb="0" eb="2">
      <t>カイゴ</t>
    </rPh>
    <rPh sb="6" eb="8">
      <t>ケイカク</t>
    </rPh>
    <rPh sb="8" eb="10">
      <t>サクセイ</t>
    </rPh>
    <rPh sb="13" eb="14">
      <t>ワタシ</t>
    </rPh>
    <rPh sb="15" eb="17">
      <t>カイゴ</t>
    </rPh>
    <rPh sb="17" eb="19">
      <t>ホケン</t>
    </rPh>
    <rPh sb="20" eb="22">
      <t>ニンテイ</t>
    </rPh>
    <rPh sb="23" eb="24">
      <t>カカ</t>
    </rPh>
    <rPh sb="25" eb="27">
      <t>ニンテイ</t>
    </rPh>
    <rPh sb="27" eb="29">
      <t>チョウサ</t>
    </rPh>
    <rPh sb="29" eb="30">
      <t>ヒョウ</t>
    </rPh>
    <rPh sb="30" eb="31">
      <t>オヨ</t>
    </rPh>
    <rPh sb="32" eb="38">
      <t>シュジイ</t>
    </rPh>
    <rPh sb="39" eb="40">
      <t>ウツ</t>
    </rPh>
    <rPh sb="42" eb="44">
      <t>ジョウキ</t>
    </rPh>
    <rPh sb="45" eb="46">
      <t>モノ</t>
    </rPh>
    <rPh sb="47" eb="49">
      <t>テイキョウ</t>
    </rPh>
    <rPh sb="54" eb="56">
      <t>ドウイ</t>
    </rPh>
    <phoneticPr fontId="29"/>
  </si>
  <si>
    <t>　次に掲げる事項を遵守します。</t>
    <rPh sb="1" eb="2">
      <t>ツギ</t>
    </rPh>
    <rPh sb="3" eb="4">
      <t>カカ</t>
    </rPh>
    <rPh sb="6" eb="8">
      <t>ジコウ</t>
    </rPh>
    <rPh sb="9" eb="10">
      <t>ジュン</t>
    </rPh>
    <rPh sb="10" eb="11">
      <t>シュ</t>
    </rPh>
    <phoneticPr fontId="29"/>
  </si>
  <si>
    <t>　１　提供を受けた資料により知り得た情報（以下「本人情報等」という。）は、</t>
    <rPh sb="3" eb="5">
      <t>テイキョウ</t>
    </rPh>
    <rPh sb="6" eb="7">
      <t>ウ</t>
    </rPh>
    <rPh sb="9" eb="11">
      <t>シリョウ</t>
    </rPh>
    <rPh sb="14" eb="15">
      <t>シ</t>
    </rPh>
    <rPh sb="16" eb="17">
      <t>エ</t>
    </rPh>
    <rPh sb="18" eb="20">
      <t>ジョウホウ</t>
    </rPh>
    <rPh sb="21" eb="23">
      <t>イカ</t>
    </rPh>
    <rPh sb="24" eb="26">
      <t>ホンニン</t>
    </rPh>
    <rPh sb="26" eb="28">
      <t>ジョウホウ</t>
    </rPh>
    <rPh sb="28" eb="29">
      <t>トウ</t>
    </rPh>
    <phoneticPr fontId="29"/>
  </si>
  <si>
    <t>　　介護サービス計画の作成以外の目的には使用しません。</t>
    <rPh sb="2" eb="4">
      <t>カイゴ</t>
    </rPh>
    <rPh sb="8" eb="10">
      <t>ケイカク</t>
    </rPh>
    <rPh sb="11" eb="13">
      <t>サクセイ</t>
    </rPh>
    <rPh sb="13" eb="15">
      <t>イガイ</t>
    </rPh>
    <rPh sb="16" eb="18">
      <t>モクテキ</t>
    </rPh>
    <rPh sb="20" eb="22">
      <t>シヨウ</t>
    </rPh>
    <phoneticPr fontId="29"/>
  </si>
  <si>
    <t>　２　本人情報等は、本人又は家族の同意を得ることはなく、第三者に提供等し</t>
    <rPh sb="3" eb="5">
      <t>ホンニン</t>
    </rPh>
    <rPh sb="5" eb="7">
      <t>ジョウホウ</t>
    </rPh>
    <rPh sb="7" eb="8">
      <t>トウ</t>
    </rPh>
    <rPh sb="10" eb="12">
      <t>ホンニン</t>
    </rPh>
    <rPh sb="12" eb="13">
      <t>マタ</t>
    </rPh>
    <rPh sb="14" eb="16">
      <t>カゾク</t>
    </rPh>
    <rPh sb="17" eb="19">
      <t>ドウイ</t>
    </rPh>
    <rPh sb="20" eb="21">
      <t>エ</t>
    </rPh>
    <rPh sb="28" eb="29">
      <t>ダイ</t>
    </rPh>
    <rPh sb="29" eb="31">
      <t>サンシャ</t>
    </rPh>
    <rPh sb="32" eb="34">
      <t>テイキョウ</t>
    </rPh>
    <rPh sb="34" eb="35">
      <t>トウ</t>
    </rPh>
    <phoneticPr fontId="29"/>
  </si>
  <si>
    <t>　　ません。</t>
    <phoneticPr fontId="29"/>
  </si>
  <si>
    <t>　３　当方の責任において、１及び２について職員その他従業員にも徹底します。</t>
    <rPh sb="3" eb="5">
      <t>トウホウ</t>
    </rPh>
    <rPh sb="6" eb="8">
      <t>セキニン</t>
    </rPh>
    <rPh sb="14" eb="15">
      <t>オヨ</t>
    </rPh>
    <rPh sb="21" eb="23">
      <t>ショクイン</t>
    </rPh>
    <rPh sb="25" eb="26">
      <t>タ</t>
    </rPh>
    <rPh sb="26" eb="29">
      <t>ジュウギョウイン</t>
    </rPh>
    <rPh sb="31" eb="33">
      <t>テッテイ</t>
    </rPh>
    <phoneticPr fontId="29"/>
  </si>
  <si>
    <t>　４　本人情報等を厳重に管理するとともに、紛失等した場合は、直ちに本人に連</t>
    <rPh sb="3" eb="5">
      <t>ホンニン</t>
    </rPh>
    <rPh sb="5" eb="8">
      <t>ジョウホウトウ</t>
    </rPh>
    <rPh sb="9" eb="11">
      <t>ゲンジュウ</t>
    </rPh>
    <rPh sb="12" eb="14">
      <t>カンリ</t>
    </rPh>
    <rPh sb="21" eb="23">
      <t>フンシツ</t>
    </rPh>
    <rPh sb="23" eb="24">
      <t>トウ</t>
    </rPh>
    <rPh sb="26" eb="28">
      <t>バアイ</t>
    </rPh>
    <rPh sb="30" eb="31">
      <t>タダ</t>
    </rPh>
    <rPh sb="33" eb="35">
      <t>ホンニン</t>
    </rPh>
    <rPh sb="36" eb="37">
      <t>レン</t>
    </rPh>
    <phoneticPr fontId="29"/>
  </si>
  <si>
    <t>　　絡し、当方の責任において誠実に解決します。</t>
    <phoneticPr fontId="29"/>
  </si>
  <si>
    <t>　５　本人との居宅介護支援又は施設サービスの提供に係る契約が終了した場合そ</t>
    <rPh sb="3" eb="5">
      <t>ホンニン</t>
    </rPh>
    <rPh sb="7" eb="9">
      <t>キョタク</t>
    </rPh>
    <rPh sb="9" eb="11">
      <t>カイゴ</t>
    </rPh>
    <rPh sb="11" eb="13">
      <t>シエン</t>
    </rPh>
    <rPh sb="13" eb="14">
      <t>マタ</t>
    </rPh>
    <rPh sb="15" eb="17">
      <t>シセツ</t>
    </rPh>
    <rPh sb="22" eb="24">
      <t>テイキョウ</t>
    </rPh>
    <rPh sb="25" eb="26">
      <t>カカ</t>
    </rPh>
    <rPh sb="27" eb="29">
      <t>ケイヤク</t>
    </rPh>
    <rPh sb="30" eb="32">
      <t>シュウリョウ</t>
    </rPh>
    <rPh sb="34" eb="36">
      <t>バアイ</t>
    </rPh>
    <phoneticPr fontId="29"/>
  </si>
  <si>
    <t>　　の他本人情報等を所持する必要がなくなったときは、責任を持って速やかに廃</t>
    <phoneticPr fontId="29"/>
  </si>
  <si>
    <t>　　棄します。</t>
    <phoneticPr fontId="29"/>
  </si>
  <si>
    <t>【注意事項】</t>
    <rPh sb="1" eb="3">
      <t>チュウイ</t>
    </rPh>
    <rPh sb="3" eb="5">
      <t>ジコウ</t>
    </rPh>
    <phoneticPr fontId="29"/>
  </si>
  <si>
    <t>　※この申請書に介護居宅支援又は施設サービスに係る契約書等を添付してください。</t>
    <rPh sb="4" eb="7">
      <t>シンセイショ</t>
    </rPh>
    <rPh sb="8" eb="10">
      <t>カイゴ</t>
    </rPh>
    <rPh sb="10" eb="12">
      <t>キョタク</t>
    </rPh>
    <rPh sb="12" eb="14">
      <t>シエン</t>
    </rPh>
    <rPh sb="14" eb="15">
      <t>マタ</t>
    </rPh>
    <rPh sb="16" eb="18">
      <t>シセツ</t>
    </rPh>
    <rPh sb="23" eb="24">
      <t>カカ</t>
    </rPh>
    <rPh sb="25" eb="28">
      <t>ケイヤクショ</t>
    </rPh>
    <rPh sb="28" eb="29">
      <t>トウ</t>
    </rPh>
    <rPh sb="30" eb="32">
      <t>テンプ</t>
    </rPh>
    <phoneticPr fontId="29"/>
  </si>
  <si>
    <t>　※申請に当たっては、事業所又は施設の職員であることを証する書類を提示してください。</t>
    <rPh sb="2" eb="4">
      <t>シンセイ</t>
    </rPh>
    <rPh sb="5" eb="6">
      <t>ア</t>
    </rPh>
    <rPh sb="11" eb="14">
      <t>ジギョウショ</t>
    </rPh>
    <rPh sb="14" eb="15">
      <t>マタ</t>
    </rPh>
    <rPh sb="16" eb="18">
      <t>シセツ</t>
    </rPh>
    <rPh sb="19" eb="21">
      <t>ショクイン</t>
    </rPh>
    <rPh sb="27" eb="28">
      <t>ショウ</t>
    </rPh>
    <rPh sb="30" eb="32">
      <t>ショルイ</t>
    </rPh>
    <rPh sb="33" eb="35">
      <t>テイジ</t>
    </rPh>
    <phoneticPr fontId="29"/>
  </si>
  <si>
    <t>　※遵守事項を守らなかった場合は、それ以降の資料の提供は行なわないので注意してください。</t>
    <rPh sb="2" eb="4">
      <t>ジュンシュ</t>
    </rPh>
    <rPh sb="4" eb="6">
      <t>ジコウ</t>
    </rPh>
    <rPh sb="7" eb="8">
      <t>マモ</t>
    </rPh>
    <rPh sb="13" eb="15">
      <t>バアイ</t>
    </rPh>
    <rPh sb="19" eb="21">
      <t>イコウ</t>
    </rPh>
    <rPh sb="22" eb="24">
      <t>シリョウ</t>
    </rPh>
    <rPh sb="25" eb="27">
      <t>テイキョウ</t>
    </rPh>
    <rPh sb="28" eb="29">
      <t>オコ</t>
    </rPh>
    <rPh sb="35" eb="37">
      <t>チュウイ</t>
    </rPh>
    <phoneticPr fontId="29"/>
  </si>
  <si>
    <t>※この欄は記入しないでください。</t>
    <rPh sb="3" eb="4">
      <t>ラン</t>
    </rPh>
    <rPh sb="5" eb="7">
      <t>キニュウ</t>
    </rPh>
    <phoneticPr fontId="29"/>
  </si>
  <si>
    <t>副参事</t>
    <rPh sb="0" eb="3">
      <t>フクサンジ</t>
    </rPh>
    <phoneticPr fontId="29"/>
  </si>
  <si>
    <t>主幹</t>
    <rPh sb="0" eb="2">
      <t>シュカン</t>
    </rPh>
    <phoneticPr fontId="29"/>
  </si>
  <si>
    <t>副主幹</t>
    <rPh sb="0" eb="3">
      <t>フクシュカン</t>
    </rPh>
    <phoneticPr fontId="29"/>
  </si>
  <si>
    <t>担当</t>
    <rPh sb="0" eb="2">
      <t>タントウ</t>
    </rPh>
    <phoneticPr fontId="29"/>
  </si>
  <si>
    <t>受付印</t>
    <rPh sb="0" eb="3">
      <t>ウケツケイン</t>
    </rPh>
    <phoneticPr fontId="29"/>
  </si>
  <si>
    <t>■　介護保険の認定に係る認定調査票</t>
    <rPh sb="2" eb="4">
      <t>カイゴ</t>
    </rPh>
    <rPh sb="4" eb="6">
      <t>ホケン</t>
    </rPh>
    <rPh sb="7" eb="9">
      <t>ニンテイ</t>
    </rPh>
    <rPh sb="10" eb="11">
      <t>カカ</t>
    </rPh>
    <rPh sb="12" eb="14">
      <t>ニンテイ</t>
    </rPh>
    <rPh sb="14" eb="16">
      <t>チョウサ</t>
    </rPh>
    <rPh sb="16" eb="17">
      <t>ヒョウ</t>
    </rPh>
    <phoneticPr fontId="29"/>
  </si>
  <si>
    <t>■　介護保険の認定に係る主治医意見書</t>
    <rPh sb="2" eb="4">
      <t>カイゴ</t>
    </rPh>
    <rPh sb="4" eb="6">
      <t>ホケン</t>
    </rPh>
    <rPh sb="7" eb="9">
      <t>ニンテイ</t>
    </rPh>
    <rPh sb="10" eb="11">
      <t>カカ</t>
    </rPh>
    <rPh sb="12" eb="18">
      <t>シュジイ</t>
    </rPh>
    <phoneticPr fontId="29"/>
  </si>
  <si>
    <t>介護支援専門員</t>
    <phoneticPr fontId="1"/>
  </si>
  <si>
    <t>様</t>
    <rPh sb="0" eb="1">
      <t>サマ</t>
    </rPh>
    <phoneticPr fontId="15"/>
  </si>
  <si>
    <t>ヘルパーステーション安濃津ろまん</t>
    <rPh sb="10" eb="16">
      <t>ア</t>
    </rPh>
    <phoneticPr fontId="15"/>
  </si>
  <si>
    <t>訪問看護ステーション安濃津ろまん</t>
    <rPh sb="0" eb="2">
      <t>ホウモン</t>
    </rPh>
    <rPh sb="2" eb="4">
      <t>カンゴ</t>
    </rPh>
    <rPh sb="10" eb="16">
      <t>ア</t>
    </rPh>
    <phoneticPr fontId="15"/>
  </si>
  <si>
    <t>居宅介護支援事業所　安濃津ろまん</t>
    <rPh sb="0" eb="1">
      <t>キョ</t>
    </rPh>
    <rPh sb="1" eb="2">
      <t>タク</t>
    </rPh>
    <rPh sb="2" eb="4">
      <t>カイゴ</t>
    </rPh>
    <rPh sb="4" eb="6">
      <t>シエン</t>
    </rPh>
    <rPh sb="6" eb="9">
      <t>ジギョウショ</t>
    </rPh>
    <rPh sb="10" eb="16">
      <t>ア</t>
    </rPh>
    <phoneticPr fontId="15"/>
  </si>
  <si>
    <t>デイサービス安濃津ろまん</t>
    <rPh sb="6" eb="12">
      <t>ア</t>
    </rPh>
    <phoneticPr fontId="15"/>
  </si>
  <si>
    <t>福祉用具貸与・販売　安濃津ろまん</t>
    <rPh sb="0" eb="4">
      <t>フクシヨウグ</t>
    </rPh>
    <rPh sb="4" eb="6">
      <t>タイヨ</t>
    </rPh>
    <rPh sb="7" eb="9">
      <t>ハンバイ</t>
    </rPh>
    <rPh sb="10" eb="13">
      <t>アノウツ</t>
    </rPh>
    <phoneticPr fontId="15"/>
  </si>
  <si>
    <t>サービス担当者会議開催のご案内</t>
    <rPh sb="4" eb="7">
      <t>タントウシャ</t>
    </rPh>
    <rPh sb="7" eb="9">
      <t>カイギ</t>
    </rPh>
    <rPh sb="9" eb="11">
      <t>カイサイ</t>
    </rPh>
    <rPh sb="13" eb="15">
      <t>アンナイ</t>
    </rPh>
    <phoneticPr fontId="15"/>
  </si>
  <si>
    <t>時間</t>
    <rPh sb="0" eb="2">
      <t>ジカン</t>
    </rPh>
    <phoneticPr fontId="15"/>
  </si>
  <si>
    <t>下記、日時におきまして、サービス担当者会議の開催を予定しています。サービス提供事業者様におきましては、サービス提供担当者様のご出席をお願いいたします。尚、参加が困難な場合は別紙にて情報等いただきたいと思いますので、よろしくお願いいたします。</t>
    <rPh sb="0" eb="2">
      <t>カキ</t>
    </rPh>
    <rPh sb="3" eb="5">
      <t>ニチジ</t>
    </rPh>
    <rPh sb="25" eb="27">
      <t>ヨテイ</t>
    </rPh>
    <rPh sb="37" eb="39">
      <t>テイキョウ</t>
    </rPh>
    <rPh sb="39" eb="42">
      <t>ジギョウシャ</t>
    </rPh>
    <rPh sb="42" eb="43">
      <t>サマ</t>
    </rPh>
    <rPh sb="55" eb="57">
      <t>テイキョウ</t>
    </rPh>
    <rPh sb="57" eb="60">
      <t>タントウシャ</t>
    </rPh>
    <rPh sb="60" eb="61">
      <t>サマ</t>
    </rPh>
    <rPh sb="63" eb="65">
      <t>シュッセキ</t>
    </rPh>
    <rPh sb="67" eb="68">
      <t>ネガ</t>
    </rPh>
    <rPh sb="75" eb="76">
      <t>ナオ</t>
    </rPh>
    <rPh sb="77" eb="79">
      <t>サンカ</t>
    </rPh>
    <rPh sb="80" eb="82">
      <t>コンナン</t>
    </rPh>
    <rPh sb="83" eb="85">
      <t>バアイ</t>
    </rPh>
    <rPh sb="86" eb="88">
      <t>ベッシ</t>
    </rPh>
    <rPh sb="90" eb="92">
      <t>ジョウホウ</t>
    </rPh>
    <rPh sb="92" eb="93">
      <t>トウ</t>
    </rPh>
    <rPh sb="100" eb="101">
      <t>オモ</t>
    </rPh>
    <rPh sb="112" eb="113">
      <t>ネガ</t>
    </rPh>
    <phoneticPr fontId="15"/>
  </si>
  <si>
    <t>開催予定日時</t>
    <rPh sb="0" eb="2">
      <t>カイサイ</t>
    </rPh>
    <rPh sb="2" eb="4">
      <t>ヨテイ</t>
    </rPh>
    <rPh sb="4" eb="6">
      <t>ニチジ</t>
    </rPh>
    <phoneticPr fontId="15"/>
  </si>
  <si>
    <t>開催予定場所</t>
    <rPh sb="0" eb="2">
      <t>カイサイ</t>
    </rPh>
    <rPh sb="2" eb="4">
      <t>ヨテイ</t>
    </rPh>
    <rPh sb="4" eb="6">
      <t>バショ</t>
    </rPh>
    <phoneticPr fontId="15"/>
  </si>
  <si>
    <t>対象利用者名</t>
    <rPh sb="0" eb="2">
      <t>タイショウ</t>
    </rPh>
    <rPh sb="2" eb="5">
      <t>リヨウシャ</t>
    </rPh>
    <rPh sb="5" eb="6">
      <t>ナ</t>
    </rPh>
    <phoneticPr fontId="15"/>
  </si>
  <si>
    <t>今回の検討内容</t>
    <rPh sb="0" eb="2">
      <t>コンカイ</t>
    </rPh>
    <rPh sb="3" eb="5">
      <t>ケントウ</t>
    </rPh>
    <rPh sb="5" eb="7">
      <t>ナイヨウ</t>
    </rPh>
    <phoneticPr fontId="15"/>
  </si>
  <si>
    <t>居宅支援事業所及びサービス提供事業所用メモ欄</t>
    <rPh sb="0" eb="2">
      <t>キョタク</t>
    </rPh>
    <rPh sb="2" eb="4">
      <t>シエン</t>
    </rPh>
    <rPh sb="4" eb="7">
      <t>ジギョウショ</t>
    </rPh>
    <rPh sb="7" eb="8">
      <t>オヨ</t>
    </rPh>
    <rPh sb="13" eb="15">
      <t>テイキョウ</t>
    </rPh>
    <rPh sb="15" eb="17">
      <t>ジギョウ</t>
    </rPh>
    <rPh sb="17" eb="19">
      <t>ショヨウ</t>
    </rPh>
    <rPh sb="21" eb="22">
      <t>ラン</t>
    </rPh>
    <phoneticPr fontId="15"/>
  </si>
  <si>
    <t>サービス担当者会議に参加出来ない理由 ： 日程調整が困難　　　・　　　その他(                                           )</t>
    <rPh sb="4" eb="7">
      <t>タントウシャ</t>
    </rPh>
    <rPh sb="7" eb="9">
      <t>カイギ</t>
    </rPh>
    <rPh sb="10" eb="12">
      <t>サンカ</t>
    </rPh>
    <rPh sb="12" eb="14">
      <t>デキ</t>
    </rPh>
    <rPh sb="16" eb="18">
      <t>リユウ</t>
    </rPh>
    <phoneticPr fontId="15"/>
  </si>
  <si>
    <t>　　現在のサービス利用状況についての意見</t>
    <rPh sb="2" eb="4">
      <t>ゲンザイ</t>
    </rPh>
    <rPh sb="9" eb="11">
      <t>リヨウ</t>
    </rPh>
    <rPh sb="11" eb="13">
      <t>ジョウキョウ</t>
    </rPh>
    <rPh sb="18" eb="20">
      <t>イケン</t>
    </rPh>
    <phoneticPr fontId="15"/>
  </si>
  <si>
    <t>対象者居室</t>
    <rPh sb="0" eb="3">
      <t>タイショウシャ</t>
    </rPh>
    <rPh sb="3" eb="5">
      <t>キョシツ</t>
    </rPh>
    <phoneticPr fontId="15"/>
  </si>
  <si>
    <t>自宅</t>
    <rPh sb="0" eb="2">
      <t>ジタク</t>
    </rPh>
    <phoneticPr fontId="15"/>
  </si>
  <si>
    <t>　　今後のサービス利用状況についての意見</t>
    <rPh sb="2" eb="4">
      <t>コンゴ</t>
    </rPh>
    <rPh sb="9" eb="11">
      <t>リヨウ</t>
    </rPh>
    <rPh sb="11" eb="13">
      <t>ジョウキョウ</t>
    </rPh>
    <rPh sb="18" eb="20">
      <t>イケン</t>
    </rPh>
    <phoneticPr fontId="15"/>
  </si>
  <si>
    <t>　　その他の意見について</t>
    <rPh sb="4" eb="5">
      <t>タ</t>
    </rPh>
    <rPh sb="6" eb="8">
      <t>イケン</t>
    </rPh>
    <phoneticPr fontId="15"/>
  </si>
  <si>
    <t>様</t>
    <rPh sb="0" eb="1">
      <t>サマ</t>
    </rPh>
    <phoneticPr fontId="1"/>
  </si>
  <si>
    <t>担当者会議案内</t>
    <rPh sb="0" eb="3">
      <t>タントウシャ</t>
    </rPh>
    <rPh sb="3" eb="5">
      <t>カイギ</t>
    </rPh>
    <rPh sb="5" eb="7">
      <t>アンナイ</t>
    </rPh>
    <phoneticPr fontId="1"/>
  </si>
  <si>
    <t>難病（</t>
    <rPh sb="0" eb="2">
      <t>ナンビョウ</t>
    </rPh>
    <phoneticPr fontId="1"/>
  </si>
  <si>
    <t>疾患名：</t>
    <rPh sb="0" eb="2">
      <t>シッカン</t>
    </rPh>
    <rPh sb="2" eb="3">
      <t>メイ</t>
    </rPh>
    <phoneticPr fontId="1"/>
  </si>
  <si>
    <t>）</t>
    <phoneticPr fontId="1"/>
  </si>
  <si>
    <t>）　身障（</t>
    <rPh sb="2" eb="4">
      <t>シンショウ</t>
    </rPh>
    <phoneticPr fontId="1"/>
  </si>
  <si>
    <t>から</t>
    <phoneticPr fontId="1"/>
  </si>
  <si>
    <t>第29条･第30条･第33条の2･第33条の3関係</t>
    <rPh sb="0" eb="1">
      <t>ダイ</t>
    </rPh>
    <rPh sb="3" eb="4">
      <t>ジョウ</t>
    </rPh>
    <rPh sb="10" eb="11">
      <t>ダイ</t>
    </rPh>
    <rPh sb="13" eb="14">
      <t>ジョウ</t>
    </rPh>
    <rPh sb="23" eb="25">
      <t>カンケイ</t>
    </rPh>
    <phoneticPr fontId="15"/>
  </si>
  <si>
    <t>介護保険 要介護・要支援 [認定区分変更]申請書</t>
    <rPh sb="0" eb="2">
      <t>カイゴ</t>
    </rPh>
    <rPh sb="2" eb="4">
      <t>ホケン</t>
    </rPh>
    <rPh sb="5" eb="6">
      <t>ヨウ</t>
    </rPh>
    <rPh sb="6" eb="8">
      <t>カイゴ</t>
    </rPh>
    <rPh sb="9" eb="12">
      <t>ヨウシエン</t>
    </rPh>
    <rPh sb="14" eb="16">
      <t>ニンテイ</t>
    </rPh>
    <rPh sb="16" eb="18">
      <t>クブン</t>
    </rPh>
    <rPh sb="18" eb="20">
      <t>ヘンコウ</t>
    </rPh>
    <rPh sb="21" eb="24">
      <t>シンセイショ</t>
    </rPh>
    <phoneticPr fontId="15"/>
  </si>
  <si>
    <t>①申請書
　提出者</t>
    <rPh sb="1" eb="4">
      <t>シンセイショ</t>
    </rPh>
    <rPh sb="6" eb="8">
      <t>テイシュツ</t>
    </rPh>
    <rPh sb="8" eb="9">
      <t>モノ</t>
    </rPh>
    <phoneticPr fontId="15"/>
  </si>
  <si>
    <t>介護支援専門員</t>
    <rPh sb="0" eb="2">
      <t>カイゴ</t>
    </rPh>
    <rPh sb="2" eb="4">
      <t>シエン</t>
    </rPh>
    <rPh sb="4" eb="7">
      <t>センモンイン</t>
    </rPh>
    <phoneticPr fontId="15"/>
  </si>
  <si>
    <t>申請の理由</t>
    <rPh sb="0" eb="2">
      <t>シンセイ</t>
    </rPh>
    <rPh sb="3" eb="5">
      <t>リユウ</t>
    </rPh>
    <phoneticPr fontId="15"/>
  </si>
  <si>
    <t>39242011</t>
    <phoneticPr fontId="15"/>
  </si>
  <si>
    <t>（毎週○曜日不可、家族が立ち会いたい等の希望があれば）</t>
    <phoneticPr fontId="15"/>
  </si>
  <si>
    <t>最終診察日：　　　年　　　月　　　日　（現在入院中、○月○日退院予定等あれば）</t>
    <phoneticPr fontId="15"/>
  </si>
  <si>
    <t>まで</t>
    <phoneticPr fontId="1"/>
  </si>
  <si>
    <r>
      <rPr>
        <sz val="24"/>
        <color theme="1"/>
        <rFont val="Segoe UI Symbol"/>
        <family val="1"/>
      </rPr>
      <t>➊</t>
    </r>
    <r>
      <rPr>
        <sz val="20"/>
        <color theme="1"/>
        <rFont val="BIZ UDPゴシック"/>
        <family val="3"/>
        <charset val="128"/>
      </rPr>
      <t>フェースシート</t>
    </r>
    <phoneticPr fontId="1"/>
  </si>
  <si>
    <t>相談受付</t>
    <rPh sb="0" eb="2">
      <t>ソウダン</t>
    </rPh>
    <rPh sb="2" eb="4">
      <t>ウケツケ</t>
    </rPh>
    <phoneticPr fontId="1"/>
  </si>
  <si>
    <t>訪問</t>
    <rPh sb="0" eb="2">
      <t>ホウモン</t>
    </rPh>
    <phoneticPr fontId="1"/>
  </si>
  <si>
    <t>来所</t>
    <rPh sb="0" eb="2">
      <t>ライショ</t>
    </rPh>
    <phoneticPr fontId="1"/>
  </si>
  <si>
    <t>受付者</t>
    <rPh sb="0" eb="2">
      <t>ウケツケ</t>
    </rPh>
    <rPh sb="2" eb="3">
      <t>シャ</t>
    </rPh>
    <phoneticPr fontId="1"/>
  </si>
  <si>
    <t>その他（</t>
    <rPh sb="2" eb="3">
      <t>タ</t>
    </rPh>
    <phoneticPr fontId="1"/>
  </si>
  <si>
    <t>本人氏名</t>
    <rPh sb="0" eb="2">
      <t>ホンニン</t>
    </rPh>
    <rPh sb="2" eb="4">
      <t>シメイ</t>
    </rPh>
    <phoneticPr fontId="1"/>
  </si>
  <si>
    <t>（</t>
    <phoneticPr fontId="1"/>
  </si>
  <si>
    <t>歳）</t>
    <rPh sb="0" eb="1">
      <t>サイ</t>
    </rPh>
    <phoneticPr fontId="1"/>
  </si>
  <si>
    <t>〒</t>
    <phoneticPr fontId="1"/>
  </si>
  <si>
    <t>連絡先</t>
    <rPh sb="0" eb="3">
      <t>レンラクサキ</t>
    </rPh>
    <phoneticPr fontId="1"/>
  </si>
  <si>
    <t>緊急連絡先</t>
    <rPh sb="0" eb="2">
      <t>キンキュウ</t>
    </rPh>
    <rPh sb="2" eb="5">
      <t>レンラクサキ</t>
    </rPh>
    <phoneticPr fontId="1"/>
  </si>
  <si>
    <t>氏名</t>
    <rPh sb="0" eb="2">
      <t>シメイ</t>
    </rPh>
    <phoneticPr fontId="1"/>
  </si>
  <si>
    <t>続柄</t>
    <rPh sb="0" eb="2">
      <t>ツヅキガラ</t>
    </rPh>
    <phoneticPr fontId="1"/>
  </si>
  <si>
    <t>相談者</t>
    <rPh sb="0" eb="3">
      <t>ソウダンシャ</t>
    </rPh>
    <phoneticPr fontId="1"/>
  </si>
  <si>
    <r>
      <t xml:space="preserve">相談経路
</t>
    </r>
    <r>
      <rPr>
        <sz val="8"/>
        <color theme="1"/>
        <rFont val="游ゴシック"/>
        <family val="3"/>
        <charset val="128"/>
        <scheme val="minor"/>
      </rPr>
      <t>（紹介者）</t>
    </r>
    <rPh sb="0" eb="2">
      <t>ソウダン</t>
    </rPh>
    <rPh sb="2" eb="4">
      <t>ケイロ</t>
    </rPh>
    <rPh sb="6" eb="9">
      <t>ショウカイシャ</t>
    </rPh>
    <phoneticPr fontId="1"/>
  </si>
  <si>
    <t>居宅サービス計画作成依頼の届出</t>
    <rPh sb="0" eb="2">
      <t>キョタク</t>
    </rPh>
    <rPh sb="6" eb="8">
      <t>ケイカク</t>
    </rPh>
    <rPh sb="8" eb="10">
      <t>サクセイ</t>
    </rPh>
    <rPh sb="10" eb="12">
      <t>イライ</t>
    </rPh>
    <rPh sb="13" eb="15">
      <t>トドケデ</t>
    </rPh>
    <phoneticPr fontId="1"/>
  </si>
  <si>
    <t>届出年月日</t>
    <rPh sb="0" eb="2">
      <t>トドケデ</t>
    </rPh>
    <rPh sb="2" eb="5">
      <t>ネンガッピ</t>
    </rPh>
    <phoneticPr fontId="1"/>
  </si>
  <si>
    <t>■相談内容</t>
    <rPh sb="1" eb="3">
      <t>ソウダン</t>
    </rPh>
    <rPh sb="3" eb="5">
      <t>ナイヨウ</t>
    </rPh>
    <phoneticPr fontId="1"/>
  </si>
  <si>
    <t>（主訴/本人・家族の希望・困っていることや不安、思い）</t>
    <rPh sb="1" eb="3">
      <t>シュソ</t>
    </rPh>
    <rPh sb="4" eb="6">
      <t>ホンニン</t>
    </rPh>
    <rPh sb="7" eb="9">
      <t>カゾク</t>
    </rPh>
    <rPh sb="10" eb="12">
      <t>キボウ</t>
    </rPh>
    <rPh sb="13" eb="14">
      <t>コマ</t>
    </rPh>
    <rPh sb="21" eb="23">
      <t>フアン</t>
    </rPh>
    <rPh sb="24" eb="25">
      <t>オモ</t>
    </rPh>
    <phoneticPr fontId="1"/>
  </si>
  <si>
    <t>日常生活自立度</t>
    <rPh sb="0" eb="2">
      <t>ニチジョウ</t>
    </rPh>
    <rPh sb="2" eb="4">
      <t>セイカツ</t>
    </rPh>
    <rPh sb="4" eb="7">
      <t>ジリツド</t>
    </rPh>
    <phoneticPr fontId="1"/>
  </si>
  <si>
    <t>障害高齢者</t>
    <rPh sb="0" eb="2">
      <t>ショウガイ</t>
    </rPh>
    <rPh sb="2" eb="5">
      <t>コウレイシャ</t>
    </rPh>
    <phoneticPr fontId="1"/>
  </si>
  <si>
    <t>認知症</t>
    <rPh sb="0" eb="3">
      <t>ニンチショウ</t>
    </rPh>
    <phoneticPr fontId="1"/>
  </si>
  <si>
    <t>判定日</t>
    <rPh sb="0" eb="2">
      <t>ハンテイ</t>
    </rPh>
    <rPh sb="2" eb="3">
      <t>ビ</t>
    </rPh>
    <phoneticPr fontId="1"/>
  </si>
  <si>
    <t>（機関名</t>
    <rPh sb="1" eb="3">
      <t>キカン</t>
    </rPh>
    <rPh sb="3" eb="4">
      <t>メイ</t>
    </rPh>
    <phoneticPr fontId="1"/>
  </si>
  <si>
    <t>判定者</t>
    <rPh sb="0" eb="2">
      <t>ハンテイ</t>
    </rPh>
    <rPh sb="2" eb="3">
      <t>モノ</t>
    </rPh>
    <phoneticPr fontId="1"/>
  </si>
  <si>
    <t>障害福祉サービス受給者証の有無</t>
    <rPh sb="0" eb="2">
      <t>ショウガイ</t>
    </rPh>
    <rPh sb="2" eb="4">
      <t>フクシ</t>
    </rPh>
    <rPh sb="8" eb="11">
      <t>ジュキュウシャ</t>
    </rPh>
    <rPh sb="11" eb="12">
      <t>ショウ</t>
    </rPh>
    <rPh sb="13" eb="15">
      <t>ウム</t>
    </rPh>
    <phoneticPr fontId="1"/>
  </si>
  <si>
    <t>精神障害者
保健福祉手帳</t>
    <rPh sb="0" eb="2">
      <t>セイシン</t>
    </rPh>
    <rPh sb="2" eb="5">
      <t>ショウガイシャ</t>
    </rPh>
    <rPh sb="6" eb="8">
      <t>ホケン</t>
    </rPh>
    <rPh sb="8" eb="10">
      <t>フクシ</t>
    </rPh>
    <rPh sb="10" eb="12">
      <t>テチョウ</t>
    </rPh>
    <phoneticPr fontId="1"/>
  </si>
  <si>
    <t>身障手帳</t>
    <rPh sb="0" eb="2">
      <t>シンショウ</t>
    </rPh>
    <rPh sb="2" eb="4">
      <t>テチョウ</t>
    </rPh>
    <phoneticPr fontId="1"/>
  </si>
  <si>
    <t>等級</t>
    <rPh sb="0" eb="2">
      <t>トウキュウ</t>
    </rPh>
    <phoneticPr fontId="1"/>
  </si>
  <si>
    <t>難病申請</t>
    <rPh sb="0" eb="2">
      <t>ナンビョウ</t>
    </rPh>
    <rPh sb="2" eb="4">
      <t>シンセイ</t>
    </rPh>
    <phoneticPr fontId="1"/>
  </si>
  <si>
    <t>自立支援医療
受給者証の有無</t>
    <rPh sb="0" eb="2">
      <t>ジリツ</t>
    </rPh>
    <rPh sb="2" eb="4">
      <t>シエン</t>
    </rPh>
    <rPh sb="4" eb="6">
      <t>イリョウ</t>
    </rPh>
    <rPh sb="7" eb="10">
      <t>ジュキュウシャ</t>
    </rPh>
    <rPh sb="10" eb="11">
      <t>ショウ</t>
    </rPh>
    <rPh sb="12" eb="14">
      <t>ウム</t>
    </rPh>
    <phoneticPr fontId="1"/>
  </si>
  <si>
    <t>障害支援区分</t>
    <rPh sb="0" eb="2">
      <t>ショウガイ</t>
    </rPh>
    <rPh sb="2" eb="4">
      <t>シエン</t>
    </rPh>
    <rPh sb="4" eb="6">
      <t>クブン</t>
    </rPh>
    <phoneticPr fontId="1"/>
  </si>
  <si>
    <t>要介護認定</t>
    <rPh sb="0" eb="1">
      <t>ヨウ</t>
    </rPh>
    <rPh sb="1" eb="3">
      <t>カイゴ</t>
    </rPh>
    <rPh sb="3" eb="5">
      <t>ニンテイ</t>
    </rPh>
    <phoneticPr fontId="1"/>
  </si>
  <si>
    <t>認定日</t>
    <rPh sb="0" eb="2">
      <t>ニンテイ</t>
    </rPh>
    <rPh sb="2" eb="3">
      <t>ビ</t>
    </rPh>
    <phoneticPr fontId="1"/>
  </si>
  <si>
    <t>高額介護
サービス費該当</t>
    <rPh sb="0" eb="2">
      <t>コウガク</t>
    </rPh>
    <rPh sb="2" eb="4">
      <t>カイゴ</t>
    </rPh>
    <rPh sb="9" eb="10">
      <t>ヒ</t>
    </rPh>
    <rPh sb="10" eb="12">
      <t>ガイトウ</t>
    </rPh>
    <phoneticPr fontId="1"/>
  </si>
  <si>
    <t>第</t>
    <rPh sb="0" eb="1">
      <t>ダイ</t>
    </rPh>
    <phoneticPr fontId="1"/>
  </si>
  <si>
    <t>段階</t>
    <rPh sb="0" eb="2">
      <t>ダンカイ</t>
    </rPh>
    <phoneticPr fontId="1"/>
  </si>
  <si>
    <t>介護保険</t>
    <rPh sb="0" eb="2">
      <t>カイゴ</t>
    </rPh>
    <rPh sb="2" eb="4">
      <t>ホケン</t>
    </rPh>
    <phoneticPr fontId="1"/>
  </si>
  <si>
    <t>利用者負担割合</t>
    <rPh sb="0" eb="3">
      <t>リヨウシャ</t>
    </rPh>
    <rPh sb="3" eb="5">
      <t>フタン</t>
    </rPh>
    <rPh sb="5" eb="7">
      <t>ワリアイ</t>
    </rPh>
    <phoneticPr fontId="1"/>
  </si>
  <si>
    <t>後期高齢者医療保険</t>
    <rPh sb="0" eb="2">
      <t>コウキ</t>
    </rPh>
    <rPh sb="2" eb="5">
      <t>コウレイシャ</t>
    </rPh>
    <rPh sb="5" eb="7">
      <t>イリョウ</t>
    </rPh>
    <rPh sb="7" eb="9">
      <t>ホケン</t>
    </rPh>
    <phoneticPr fontId="1"/>
  </si>
  <si>
    <t>）　生活保護（</t>
    <rPh sb="2" eb="4">
      <t>セイカツ</t>
    </rPh>
    <rPh sb="4" eb="6">
      <t>ホゴ</t>
    </rPh>
    <phoneticPr fontId="1"/>
  </si>
  <si>
    <t>1級1種</t>
    <rPh sb="1" eb="2">
      <t>キュウ</t>
    </rPh>
    <rPh sb="3" eb="4">
      <t>シュ</t>
    </rPh>
    <phoneticPr fontId="1"/>
  </si>
  <si>
    <t>1級2種</t>
    <rPh sb="1" eb="2">
      <t>キュウ</t>
    </rPh>
    <rPh sb="3" eb="4">
      <t>シュ</t>
    </rPh>
    <phoneticPr fontId="1"/>
  </si>
  <si>
    <t>2級1種</t>
    <rPh sb="1" eb="2">
      <t>キュウ</t>
    </rPh>
    <rPh sb="3" eb="4">
      <t>シュ</t>
    </rPh>
    <phoneticPr fontId="1"/>
  </si>
  <si>
    <t>2級2種</t>
    <rPh sb="1" eb="2">
      <t>キュウ</t>
    </rPh>
    <rPh sb="3" eb="4">
      <t>シュ</t>
    </rPh>
    <phoneticPr fontId="1"/>
  </si>
  <si>
    <t>3級1種</t>
    <rPh sb="1" eb="2">
      <t>キュウ</t>
    </rPh>
    <rPh sb="3" eb="4">
      <t>シュ</t>
    </rPh>
    <phoneticPr fontId="1"/>
  </si>
  <si>
    <t>3級2種</t>
    <rPh sb="1" eb="2">
      <t>キュウ</t>
    </rPh>
    <rPh sb="3" eb="4">
      <t>シュ</t>
    </rPh>
    <phoneticPr fontId="1"/>
  </si>
  <si>
    <t>4級1種</t>
    <rPh sb="1" eb="2">
      <t>キュウ</t>
    </rPh>
    <rPh sb="3" eb="4">
      <t>シュ</t>
    </rPh>
    <phoneticPr fontId="1"/>
  </si>
  <si>
    <t>4級2種</t>
    <rPh sb="1" eb="2">
      <t>キュウ</t>
    </rPh>
    <rPh sb="3" eb="4">
      <t>シュ</t>
    </rPh>
    <phoneticPr fontId="1"/>
  </si>
  <si>
    <t>（疾患名：</t>
    <rPh sb="1" eb="3">
      <t>シッカン</t>
    </rPh>
    <rPh sb="3" eb="4">
      <t>メイ</t>
    </rPh>
    <phoneticPr fontId="1"/>
  </si>
  <si>
    <t>（本人）</t>
    <rPh sb="1" eb="3">
      <t>ホンニン</t>
    </rPh>
    <phoneticPr fontId="1"/>
  </si>
  <si>
    <t>（家族）</t>
    <rPh sb="1" eb="3">
      <t>カゾク</t>
    </rPh>
    <phoneticPr fontId="1"/>
  </si>
  <si>
    <t>■これまでの生活の経緯</t>
    <rPh sb="6" eb="8">
      <t>セイカツ</t>
    </rPh>
    <rPh sb="9" eb="11">
      <t>ケイイ</t>
    </rPh>
    <phoneticPr fontId="1"/>
  </si>
  <si>
    <t>（主な生活史）</t>
    <rPh sb="1" eb="2">
      <t>オモ</t>
    </rPh>
    <rPh sb="3" eb="5">
      <t>セイカツ</t>
    </rPh>
    <phoneticPr fontId="1"/>
  </si>
  <si>
    <t>1割負担</t>
    <rPh sb="1" eb="2">
      <t>ワリ</t>
    </rPh>
    <rPh sb="2" eb="4">
      <t>フタン</t>
    </rPh>
    <phoneticPr fontId="1"/>
  </si>
  <si>
    <t>2割負担</t>
    <rPh sb="1" eb="2">
      <t>ワリ</t>
    </rPh>
    <rPh sb="2" eb="4">
      <t>フタン</t>
    </rPh>
    <phoneticPr fontId="1"/>
  </si>
  <si>
    <t>3割負担</t>
    <rPh sb="1" eb="2">
      <t>ワリ</t>
    </rPh>
    <rPh sb="2" eb="4">
      <t>フタン</t>
    </rPh>
    <phoneticPr fontId="1"/>
  </si>
  <si>
    <t>交付日</t>
    <rPh sb="0" eb="2">
      <t>コウフ</t>
    </rPh>
    <rPh sb="2" eb="3">
      <t>ビ</t>
    </rPh>
    <phoneticPr fontId="1"/>
  </si>
  <si>
    <t>要介護1</t>
    <rPh sb="0" eb="1">
      <t>ヨウ</t>
    </rPh>
    <rPh sb="1" eb="3">
      <t>カイゴ</t>
    </rPh>
    <phoneticPr fontId="1"/>
  </si>
  <si>
    <t>要介護2</t>
    <rPh sb="0" eb="1">
      <t>ヨウ</t>
    </rPh>
    <rPh sb="1" eb="3">
      <t>カイゴ</t>
    </rPh>
    <phoneticPr fontId="1"/>
  </si>
  <si>
    <t>要介護3</t>
    <phoneticPr fontId="1"/>
  </si>
  <si>
    <t>要介護4</t>
    <phoneticPr fontId="1"/>
  </si>
  <si>
    <t>要介護5</t>
    <rPh sb="0" eb="1">
      <t>ヨウ</t>
    </rPh>
    <rPh sb="1" eb="3">
      <t>カイゴ</t>
    </rPh>
    <phoneticPr fontId="1"/>
  </si>
  <si>
    <t>要支援1</t>
    <rPh sb="0" eb="3">
      <t>ヨウシエン</t>
    </rPh>
    <phoneticPr fontId="1"/>
  </si>
  <si>
    <t>要支援2</t>
    <rPh sb="0" eb="3">
      <t>ヨウシエン</t>
    </rPh>
    <phoneticPr fontId="1"/>
  </si>
  <si>
    <t>新規申請中</t>
    <rPh sb="0" eb="2">
      <t>シンキ</t>
    </rPh>
    <rPh sb="2" eb="4">
      <t>シンセイ</t>
    </rPh>
    <rPh sb="4" eb="5">
      <t>チュウ</t>
    </rPh>
    <phoneticPr fontId="1"/>
  </si>
  <si>
    <t>更新申請中</t>
    <rPh sb="0" eb="2">
      <t>コウシン</t>
    </rPh>
    <rPh sb="2" eb="4">
      <t>シンセイ</t>
    </rPh>
    <rPh sb="4" eb="5">
      <t>チュウ</t>
    </rPh>
    <phoneticPr fontId="1"/>
  </si>
  <si>
    <t>区分変更</t>
    <rPh sb="0" eb="2">
      <t>クブン</t>
    </rPh>
    <rPh sb="2" eb="4">
      <t>ヘンコウ</t>
    </rPh>
    <phoneticPr fontId="1"/>
  </si>
  <si>
    <t>後期高齢者医療保険</t>
    <rPh sb="0" eb="2">
      <t>コウキ</t>
    </rPh>
    <rPh sb="2" eb="5">
      <t>コウレイシャ</t>
    </rPh>
    <rPh sb="5" eb="7">
      <t>イリョウ</t>
    </rPh>
    <rPh sb="7" eb="9">
      <t>ホケン</t>
    </rPh>
    <phoneticPr fontId="1"/>
  </si>
  <si>
    <t>国民健康保険</t>
    <rPh sb="0" eb="2">
      <t>コクミン</t>
    </rPh>
    <rPh sb="2" eb="4">
      <t>ケンコウ</t>
    </rPh>
    <rPh sb="4" eb="6">
      <t>ホケン</t>
    </rPh>
    <phoneticPr fontId="1"/>
  </si>
  <si>
    <t>無</t>
    <rPh sb="0" eb="1">
      <t>ナシ</t>
    </rPh>
    <phoneticPr fontId="1"/>
  </si>
  <si>
    <t>有</t>
    <rPh sb="0" eb="1">
      <t>アリ</t>
    </rPh>
    <phoneticPr fontId="1"/>
  </si>
  <si>
    <t>同居</t>
    <rPh sb="0" eb="2">
      <t>ドウキョ</t>
    </rPh>
    <phoneticPr fontId="1"/>
  </si>
  <si>
    <t>別居</t>
    <rPh sb="0" eb="2">
      <t>ベッキョ</t>
    </rPh>
    <phoneticPr fontId="1"/>
  </si>
  <si>
    <t>介護する</t>
    <rPh sb="0" eb="2">
      <t>カイゴ</t>
    </rPh>
    <phoneticPr fontId="1"/>
  </si>
  <si>
    <t>介護しない</t>
    <rPh sb="0" eb="2">
      <t>カイゴ</t>
    </rPh>
    <phoneticPr fontId="1"/>
  </si>
  <si>
    <t>家族同居</t>
    <rPh sb="0" eb="2">
      <t>カゾク</t>
    </rPh>
    <rPh sb="2" eb="4">
      <t>ドウキョ</t>
    </rPh>
    <phoneticPr fontId="1"/>
  </si>
  <si>
    <t>一人暮らし</t>
    <rPh sb="0" eb="2">
      <t>ヒトリ</t>
    </rPh>
    <rPh sb="2" eb="3">
      <t>グ</t>
    </rPh>
    <phoneticPr fontId="1"/>
  </si>
  <si>
    <t>高齢所帯</t>
    <rPh sb="0" eb="2">
      <t>コウレイ</t>
    </rPh>
    <rPh sb="2" eb="4">
      <t>ショタイ</t>
    </rPh>
    <phoneticPr fontId="1"/>
  </si>
  <si>
    <t>日中独居</t>
    <rPh sb="0" eb="2">
      <t>ニッチュウ</t>
    </rPh>
    <rPh sb="2" eb="4">
      <t>ドッキョ</t>
    </rPh>
    <phoneticPr fontId="1"/>
  </si>
  <si>
    <t>二世帯住宅</t>
    <rPh sb="0" eb="3">
      <t>ニセタイ</t>
    </rPh>
    <rPh sb="3" eb="5">
      <t>ジュウタク</t>
    </rPh>
    <phoneticPr fontId="1"/>
  </si>
  <si>
    <t>一戸建て</t>
    <rPh sb="0" eb="2">
      <t>イッコ</t>
    </rPh>
    <rPh sb="2" eb="3">
      <t>ダ</t>
    </rPh>
    <phoneticPr fontId="1"/>
  </si>
  <si>
    <t>集合住宅</t>
    <rPh sb="0" eb="2">
      <t>シュウゴウ</t>
    </rPh>
    <rPh sb="2" eb="4">
      <t>ジュウタク</t>
    </rPh>
    <phoneticPr fontId="1"/>
  </si>
  <si>
    <t>エレベーター有</t>
    <rPh sb="6" eb="7">
      <t>アリ</t>
    </rPh>
    <phoneticPr fontId="1"/>
  </si>
  <si>
    <t>エレベーター無</t>
    <rPh sb="6" eb="7">
      <t>ナシ</t>
    </rPh>
    <phoneticPr fontId="1"/>
  </si>
  <si>
    <t>所有</t>
    <rPh sb="0" eb="2">
      <t>ショユウ</t>
    </rPh>
    <phoneticPr fontId="1"/>
  </si>
  <si>
    <t>賃貸</t>
    <rPh sb="0" eb="2">
      <t>チンタイ</t>
    </rPh>
    <phoneticPr fontId="1"/>
  </si>
  <si>
    <t>間借り</t>
    <rPh sb="0" eb="2">
      <t>マガ</t>
    </rPh>
    <phoneticPr fontId="1"/>
  </si>
  <si>
    <t>洋式</t>
    <rPh sb="0" eb="2">
      <t>ヨウシキ</t>
    </rPh>
    <phoneticPr fontId="1"/>
  </si>
  <si>
    <t>和式</t>
    <rPh sb="0" eb="2">
      <t>ワシキ</t>
    </rPh>
    <phoneticPr fontId="1"/>
  </si>
  <si>
    <t>手すり有</t>
    <rPh sb="0" eb="1">
      <t>テ</t>
    </rPh>
    <rPh sb="3" eb="4">
      <t>アリ</t>
    </rPh>
    <phoneticPr fontId="1"/>
  </si>
  <si>
    <t>手すり無</t>
    <rPh sb="0" eb="1">
      <t>テ</t>
    </rPh>
    <rPh sb="3" eb="4">
      <t>ナシ</t>
    </rPh>
    <phoneticPr fontId="1"/>
  </si>
  <si>
    <t>畳・床</t>
    <rPh sb="0" eb="1">
      <t>タタミ</t>
    </rPh>
    <rPh sb="2" eb="3">
      <t>ユカ</t>
    </rPh>
    <phoneticPr fontId="1"/>
  </si>
  <si>
    <t>ベッド</t>
    <phoneticPr fontId="1"/>
  </si>
  <si>
    <t>リクライニングベッド</t>
    <phoneticPr fontId="1"/>
  </si>
  <si>
    <t>虐待</t>
    <rPh sb="0" eb="2">
      <t>ギャクタイ</t>
    </rPh>
    <phoneticPr fontId="1"/>
  </si>
  <si>
    <t>ターミナル</t>
    <phoneticPr fontId="1"/>
  </si>
  <si>
    <t>突然の介護者不在</t>
    <rPh sb="0" eb="2">
      <t>トツゼン</t>
    </rPh>
    <rPh sb="3" eb="6">
      <t>カイゴシャ</t>
    </rPh>
    <rPh sb="6" eb="8">
      <t>フザイ</t>
    </rPh>
    <phoneticPr fontId="1"/>
  </si>
  <si>
    <t>終末期希望</t>
    <rPh sb="0" eb="3">
      <t>シュウマツキ</t>
    </rPh>
    <rPh sb="3" eb="5">
      <t>キボウ</t>
    </rPh>
    <phoneticPr fontId="1"/>
  </si>
  <si>
    <t>成年後見人あり</t>
    <rPh sb="0" eb="2">
      <t>セイネン</t>
    </rPh>
    <rPh sb="2" eb="4">
      <t>コウケン</t>
    </rPh>
    <rPh sb="4" eb="5">
      <t>ニン</t>
    </rPh>
    <phoneticPr fontId="1"/>
  </si>
  <si>
    <t>寝たきり独居</t>
    <rPh sb="0" eb="1">
      <t>ネ</t>
    </rPh>
    <rPh sb="4" eb="6">
      <t>ドッキョ</t>
    </rPh>
    <phoneticPr fontId="1"/>
  </si>
  <si>
    <t>床ずれ</t>
    <rPh sb="0" eb="1">
      <t>トコ</t>
    </rPh>
    <phoneticPr fontId="1"/>
  </si>
  <si>
    <t>湿疹</t>
    <rPh sb="0" eb="2">
      <t>シッシン</t>
    </rPh>
    <phoneticPr fontId="1"/>
  </si>
  <si>
    <t>かゆみ</t>
    <phoneticPr fontId="1"/>
  </si>
  <si>
    <t>水虫</t>
    <rPh sb="0" eb="2">
      <t>ミズムシ</t>
    </rPh>
    <phoneticPr fontId="1"/>
  </si>
  <si>
    <t>結核</t>
    <rPh sb="0" eb="2">
      <t>ケッカク</t>
    </rPh>
    <phoneticPr fontId="1"/>
  </si>
  <si>
    <t>肺炎</t>
    <rPh sb="0" eb="2">
      <t>ハイエン</t>
    </rPh>
    <phoneticPr fontId="1"/>
  </si>
  <si>
    <t>肝炎</t>
    <rPh sb="0" eb="2">
      <t>カンエン</t>
    </rPh>
    <phoneticPr fontId="1"/>
  </si>
  <si>
    <t>疥癬</t>
    <rPh sb="0" eb="2">
      <t>カイセン</t>
    </rPh>
    <phoneticPr fontId="1"/>
  </si>
  <si>
    <t>MRSA</t>
    <phoneticPr fontId="1"/>
  </si>
  <si>
    <t>点滴の管理</t>
    <rPh sb="0" eb="2">
      <t>テンテキ</t>
    </rPh>
    <rPh sb="3" eb="5">
      <t>カンリ</t>
    </rPh>
    <phoneticPr fontId="1"/>
  </si>
  <si>
    <t>中心静脈栄養</t>
    <rPh sb="0" eb="2">
      <t>チュウシン</t>
    </rPh>
    <rPh sb="2" eb="4">
      <t>ジョウミャク</t>
    </rPh>
    <rPh sb="4" eb="6">
      <t>エイヨウ</t>
    </rPh>
    <phoneticPr fontId="1"/>
  </si>
  <si>
    <t>透析</t>
    <rPh sb="0" eb="2">
      <t>トウセキ</t>
    </rPh>
    <phoneticPr fontId="1"/>
  </si>
  <si>
    <t>ストーマの処置</t>
    <rPh sb="5" eb="7">
      <t>ショチ</t>
    </rPh>
    <phoneticPr fontId="1"/>
  </si>
  <si>
    <t>酸素療法</t>
    <rPh sb="0" eb="2">
      <t>サンソ</t>
    </rPh>
    <rPh sb="2" eb="4">
      <t>リョウホウ</t>
    </rPh>
    <phoneticPr fontId="1"/>
  </si>
  <si>
    <t>レスピレーター（人工呼吸器）</t>
    <rPh sb="8" eb="10">
      <t>ジンコウ</t>
    </rPh>
    <rPh sb="10" eb="13">
      <t>コキュウキ</t>
    </rPh>
    <phoneticPr fontId="1"/>
  </si>
  <si>
    <t>気管切開の処置</t>
    <rPh sb="0" eb="2">
      <t>キカン</t>
    </rPh>
    <rPh sb="2" eb="4">
      <t>セッカイ</t>
    </rPh>
    <rPh sb="5" eb="7">
      <t>ショチ</t>
    </rPh>
    <phoneticPr fontId="1"/>
  </si>
  <si>
    <t>疼痛の看護</t>
    <rPh sb="0" eb="2">
      <t>トウツウ</t>
    </rPh>
    <rPh sb="3" eb="5">
      <t>カンゴ</t>
    </rPh>
    <phoneticPr fontId="1"/>
  </si>
  <si>
    <t>経管栄養</t>
    <rPh sb="0" eb="4">
      <t>ケイカンエイヨウ</t>
    </rPh>
    <phoneticPr fontId="1"/>
  </si>
  <si>
    <t>モニター測定</t>
    <rPh sb="4" eb="6">
      <t>ソクテイ</t>
    </rPh>
    <phoneticPr fontId="1"/>
  </si>
  <si>
    <t>褥瘡の処置</t>
    <rPh sb="0" eb="2">
      <t>ジョクソウ</t>
    </rPh>
    <rPh sb="3" eb="5">
      <t>ショチ</t>
    </rPh>
    <phoneticPr fontId="1"/>
  </si>
  <si>
    <t>カテーテル</t>
    <phoneticPr fontId="1"/>
  </si>
  <si>
    <t>正常</t>
    <rPh sb="0" eb="2">
      <t>セイジョウ</t>
    </rPh>
    <phoneticPr fontId="1"/>
  </si>
  <si>
    <t>大きい字は可</t>
    <rPh sb="0" eb="1">
      <t>オオ</t>
    </rPh>
    <rPh sb="3" eb="4">
      <t>ジ</t>
    </rPh>
    <rPh sb="5" eb="6">
      <t>カ</t>
    </rPh>
    <phoneticPr fontId="1"/>
  </si>
  <si>
    <t>ほぼ見えない</t>
    <rPh sb="2" eb="3">
      <t>ミ</t>
    </rPh>
    <phoneticPr fontId="1"/>
  </si>
  <si>
    <t>失明</t>
    <rPh sb="0" eb="2">
      <t>シツメイ</t>
    </rPh>
    <phoneticPr fontId="1"/>
  </si>
  <si>
    <t>大きい声は可</t>
    <rPh sb="0" eb="1">
      <t>オオ</t>
    </rPh>
    <rPh sb="3" eb="4">
      <t>コエ</t>
    </rPh>
    <rPh sb="5" eb="6">
      <t>カ</t>
    </rPh>
    <phoneticPr fontId="1"/>
  </si>
  <si>
    <t>ほぼ聞こえない</t>
    <rPh sb="2" eb="3">
      <t>キ</t>
    </rPh>
    <phoneticPr fontId="1"/>
  </si>
  <si>
    <t>失聴</t>
    <rPh sb="0" eb="2">
      <t>シッチョウ</t>
    </rPh>
    <phoneticPr fontId="1"/>
  </si>
  <si>
    <t>つかまらないでできる</t>
    <phoneticPr fontId="1"/>
  </si>
  <si>
    <t>何かにつかまればできる</t>
    <rPh sb="0" eb="1">
      <t>ナニ</t>
    </rPh>
    <phoneticPr fontId="1"/>
  </si>
  <si>
    <t>できない</t>
    <phoneticPr fontId="1"/>
  </si>
  <si>
    <t>できる</t>
    <phoneticPr fontId="1"/>
  </si>
  <si>
    <t>自分の手で支えればできる</t>
    <rPh sb="0" eb="2">
      <t>ジブン</t>
    </rPh>
    <rPh sb="3" eb="4">
      <t>テ</t>
    </rPh>
    <rPh sb="5" eb="6">
      <t>ササ</t>
    </rPh>
    <phoneticPr fontId="1"/>
  </si>
  <si>
    <t>支えてもらえばできる</t>
    <rPh sb="0" eb="1">
      <t>ササ</t>
    </rPh>
    <phoneticPr fontId="1"/>
  </si>
  <si>
    <t>自立</t>
    <rPh sb="0" eb="2">
      <t>ジリツ</t>
    </rPh>
    <phoneticPr fontId="1"/>
  </si>
  <si>
    <t>見守り</t>
    <rPh sb="0" eb="2">
      <t>ミマモ</t>
    </rPh>
    <phoneticPr fontId="1"/>
  </si>
  <si>
    <t>一部介助</t>
    <rPh sb="0" eb="2">
      <t>イチブ</t>
    </rPh>
    <rPh sb="2" eb="4">
      <t>カイジョ</t>
    </rPh>
    <phoneticPr fontId="1"/>
  </si>
  <si>
    <t>全介助</t>
    <rPh sb="0" eb="3">
      <t>ゼンカイジョ</t>
    </rPh>
    <phoneticPr fontId="1"/>
  </si>
  <si>
    <t>独歩</t>
    <rPh sb="0" eb="2">
      <t>ドッポ</t>
    </rPh>
    <phoneticPr fontId="1"/>
  </si>
  <si>
    <t>杖</t>
    <rPh sb="0" eb="1">
      <t>ツエ</t>
    </rPh>
    <phoneticPr fontId="1"/>
  </si>
  <si>
    <t>歩行器</t>
    <rPh sb="0" eb="2">
      <t>ホコウ</t>
    </rPh>
    <rPh sb="2" eb="3">
      <t>キ</t>
    </rPh>
    <phoneticPr fontId="1"/>
  </si>
  <si>
    <t>車いす</t>
    <rPh sb="0" eb="1">
      <t>クルマ</t>
    </rPh>
    <phoneticPr fontId="1"/>
  </si>
  <si>
    <t>経口摂取</t>
    <rPh sb="0" eb="2">
      <t>ケイコウ</t>
    </rPh>
    <rPh sb="2" eb="4">
      <t>セッシュ</t>
    </rPh>
    <phoneticPr fontId="1"/>
  </si>
  <si>
    <t>経管栄養＋経口摂取</t>
    <rPh sb="0" eb="4">
      <t>ケイカンエイヨウ</t>
    </rPh>
    <rPh sb="5" eb="7">
      <t>ケイコウ</t>
    </rPh>
    <rPh sb="7" eb="9">
      <t>セッシュ</t>
    </rPh>
    <phoneticPr fontId="1"/>
  </si>
  <si>
    <t>経管栄養（胃ろう）</t>
    <rPh sb="0" eb="4">
      <t>ケイカンエイヨウ</t>
    </rPh>
    <rPh sb="5" eb="6">
      <t>イ</t>
    </rPh>
    <phoneticPr fontId="1"/>
  </si>
  <si>
    <t>経管栄養（経鼻）</t>
    <rPh sb="0" eb="4">
      <t>ケイカンエイヨウ</t>
    </rPh>
    <rPh sb="5" eb="7">
      <t>ケイビ</t>
    </rPh>
    <phoneticPr fontId="1"/>
  </si>
  <si>
    <t>経管栄養（腸ろう）</t>
    <rPh sb="0" eb="4">
      <t>ケイカンエイヨウ</t>
    </rPh>
    <rPh sb="5" eb="6">
      <t>チョウ</t>
    </rPh>
    <phoneticPr fontId="1"/>
  </si>
  <si>
    <t>見守り弄が必要</t>
    <rPh sb="0" eb="2">
      <t>ミマモ</t>
    </rPh>
    <rPh sb="3" eb="4">
      <t>ロウ</t>
    </rPh>
    <rPh sb="5" eb="7">
      <t>ヒツヨウ</t>
    </rPh>
    <phoneticPr fontId="1"/>
  </si>
  <si>
    <t>普通</t>
    <rPh sb="0" eb="2">
      <t>フツウ</t>
    </rPh>
    <phoneticPr fontId="1"/>
  </si>
  <si>
    <t>軟飯</t>
    <rPh sb="0" eb="2">
      <t>ナンハン</t>
    </rPh>
    <phoneticPr fontId="1"/>
  </si>
  <si>
    <t>全粥</t>
    <rPh sb="0" eb="2">
      <t>ゼンガユ</t>
    </rPh>
    <phoneticPr fontId="1"/>
  </si>
  <si>
    <t>ペースト</t>
    <phoneticPr fontId="1"/>
  </si>
  <si>
    <t>一口大</t>
    <rPh sb="0" eb="2">
      <t>ヒトクチ</t>
    </rPh>
    <rPh sb="2" eb="3">
      <t>ダイ</t>
    </rPh>
    <phoneticPr fontId="1"/>
  </si>
  <si>
    <t>キザミ</t>
    <phoneticPr fontId="1"/>
  </si>
  <si>
    <t>粗キザミ</t>
    <rPh sb="0" eb="1">
      <t>アラ</t>
    </rPh>
    <phoneticPr fontId="1"/>
  </si>
  <si>
    <t>箸</t>
    <rPh sb="0" eb="1">
      <t>ハシ</t>
    </rPh>
    <phoneticPr fontId="1"/>
  </si>
  <si>
    <t>スプーン</t>
    <phoneticPr fontId="1"/>
  </si>
  <si>
    <t>エプロン</t>
    <phoneticPr fontId="1"/>
  </si>
  <si>
    <t>補助具</t>
    <rPh sb="0" eb="2">
      <t>ホジョ</t>
    </rPh>
    <rPh sb="2" eb="3">
      <t>グ</t>
    </rPh>
    <phoneticPr fontId="1"/>
  </si>
  <si>
    <t>総義歯</t>
    <rPh sb="0" eb="3">
      <t>ソウギシ</t>
    </rPh>
    <phoneticPr fontId="1"/>
  </si>
  <si>
    <t>部分義歯</t>
    <rPh sb="0" eb="2">
      <t>ブブン</t>
    </rPh>
    <rPh sb="2" eb="4">
      <t>ギシ</t>
    </rPh>
    <phoneticPr fontId="1"/>
  </si>
  <si>
    <t>上</t>
    <rPh sb="0" eb="1">
      <t>ウエ</t>
    </rPh>
    <phoneticPr fontId="1"/>
  </si>
  <si>
    <t>下</t>
    <rPh sb="0" eb="1">
      <t>シタ</t>
    </rPh>
    <phoneticPr fontId="1"/>
  </si>
  <si>
    <t>上下</t>
    <rPh sb="0" eb="2">
      <t>ジョウゲ</t>
    </rPh>
    <phoneticPr fontId="1"/>
  </si>
  <si>
    <t>一般浴</t>
    <rPh sb="0" eb="2">
      <t>イッパン</t>
    </rPh>
    <rPh sb="2" eb="3">
      <t>ヨク</t>
    </rPh>
    <phoneticPr fontId="1"/>
  </si>
  <si>
    <t>寝台浴</t>
    <rPh sb="0" eb="2">
      <t>シンダイ</t>
    </rPh>
    <rPh sb="2" eb="3">
      <t>ヨク</t>
    </rPh>
    <phoneticPr fontId="1"/>
  </si>
  <si>
    <t>シャワー浴</t>
    <rPh sb="4" eb="5">
      <t>ヨク</t>
    </rPh>
    <phoneticPr fontId="1"/>
  </si>
  <si>
    <t>チェア浴</t>
    <rPh sb="3" eb="4">
      <t>ヨク</t>
    </rPh>
    <phoneticPr fontId="1"/>
  </si>
  <si>
    <t>普通便</t>
    <rPh sb="0" eb="2">
      <t>フツウ</t>
    </rPh>
    <rPh sb="2" eb="3">
      <t>ベン</t>
    </rPh>
    <phoneticPr fontId="1"/>
  </si>
  <si>
    <t>軟便</t>
    <rPh sb="0" eb="2">
      <t>ナンベン</t>
    </rPh>
    <phoneticPr fontId="1"/>
  </si>
  <si>
    <t>下痢</t>
    <rPh sb="0" eb="2">
      <t>ゲリ</t>
    </rPh>
    <phoneticPr fontId="1"/>
  </si>
  <si>
    <t>トイレ</t>
    <phoneticPr fontId="1"/>
  </si>
  <si>
    <t>Pトイレ</t>
    <phoneticPr fontId="1"/>
  </si>
  <si>
    <t>尿器</t>
    <rPh sb="0" eb="2">
      <t>ニョウキ</t>
    </rPh>
    <phoneticPr fontId="1"/>
  </si>
  <si>
    <t>オムツ</t>
    <phoneticPr fontId="1"/>
  </si>
  <si>
    <t>ストーマ</t>
    <phoneticPr fontId="1"/>
  </si>
  <si>
    <t>軽度</t>
    <rPh sb="0" eb="2">
      <t>ケイド</t>
    </rPh>
    <phoneticPr fontId="1"/>
  </si>
  <si>
    <t>中等度</t>
    <rPh sb="0" eb="2">
      <t>チュウトウ</t>
    </rPh>
    <rPh sb="2" eb="3">
      <t>ド</t>
    </rPh>
    <phoneticPr fontId="1"/>
  </si>
  <si>
    <t>重度</t>
    <rPh sb="0" eb="2">
      <t>ジュウド</t>
    </rPh>
    <phoneticPr fontId="1"/>
  </si>
  <si>
    <t>可能</t>
    <rPh sb="0" eb="2">
      <t>カノウ</t>
    </rPh>
    <phoneticPr fontId="1"/>
  </si>
  <si>
    <t>不明瞭</t>
    <rPh sb="0" eb="3">
      <t>フメイリョウ</t>
    </rPh>
    <phoneticPr fontId="1"/>
  </si>
  <si>
    <t>やや不自由</t>
    <rPh sb="2" eb="5">
      <t>フジユウ</t>
    </rPh>
    <phoneticPr fontId="1"/>
  </si>
  <si>
    <t>全くできない</t>
    <rPh sb="0" eb="1">
      <t>マッタ</t>
    </rPh>
    <phoneticPr fontId="1"/>
  </si>
  <si>
    <t>その場のみ可</t>
    <rPh sb="2" eb="3">
      <t>バ</t>
    </rPh>
    <rPh sb="5" eb="6">
      <t>カ</t>
    </rPh>
    <phoneticPr fontId="1"/>
  </si>
  <si>
    <t>【様式３】</t>
    <rPh sb="1" eb="3">
      <t>ヨウシキ</t>
    </rPh>
    <phoneticPr fontId="15"/>
  </si>
  <si>
    <t>居宅サービス事業所の選択に関する説明に係る確認書</t>
    <rPh sb="0" eb="2">
      <t>キョタク</t>
    </rPh>
    <rPh sb="6" eb="9">
      <t>ジギョウショ</t>
    </rPh>
    <rPh sb="10" eb="12">
      <t>センタク</t>
    </rPh>
    <rPh sb="13" eb="14">
      <t>カン</t>
    </rPh>
    <rPh sb="16" eb="18">
      <t>セツメイ</t>
    </rPh>
    <rPh sb="19" eb="20">
      <t>カカ</t>
    </rPh>
    <rPh sb="21" eb="24">
      <t>カクニンショ</t>
    </rPh>
    <phoneticPr fontId="15"/>
  </si>
  <si>
    <t>（１～６までは、居宅介護支援事業所が記載）</t>
    <rPh sb="8" eb="10">
      <t>キョタク</t>
    </rPh>
    <rPh sb="10" eb="12">
      <t>カイゴ</t>
    </rPh>
    <rPh sb="12" eb="14">
      <t>シエン</t>
    </rPh>
    <rPh sb="14" eb="17">
      <t>ジギョウショ</t>
    </rPh>
    <rPh sb="18" eb="20">
      <t>キサイ</t>
    </rPh>
    <phoneticPr fontId="15"/>
  </si>
  <si>
    <t>※当確認書はサービス種別ごとに作成してください。</t>
    <rPh sb="1" eb="2">
      <t>トウ</t>
    </rPh>
    <rPh sb="2" eb="5">
      <t>カクニンショ</t>
    </rPh>
    <rPh sb="10" eb="12">
      <t>シュベツ</t>
    </rPh>
    <rPh sb="15" eb="17">
      <t>サクセイ</t>
    </rPh>
    <phoneticPr fontId="1"/>
  </si>
  <si>
    <r>
      <t>サービス名：</t>
    </r>
    <r>
      <rPr>
        <u/>
        <sz val="11"/>
        <rFont val="ＭＳ 明朝"/>
        <family val="1"/>
        <charset val="128"/>
      </rPr>
      <t/>
    </r>
    <rPh sb="4" eb="5">
      <t>メイ</t>
    </rPh>
    <phoneticPr fontId="15"/>
  </si>
  <si>
    <t>　・訪問介護　・通所介護　・福祉用具貸与　・地域密着型通所介護</t>
    <rPh sb="2" eb="4">
      <t>ホウモン</t>
    </rPh>
    <rPh sb="4" eb="6">
      <t>カイゴ</t>
    </rPh>
    <rPh sb="8" eb="10">
      <t>ツウショ</t>
    </rPh>
    <rPh sb="10" eb="12">
      <t>カイゴ</t>
    </rPh>
    <rPh sb="22" eb="31">
      <t>チイキミッチャクガタツウショカイゴ</t>
    </rPh>
    <phoneticPr fontId="1"/>
  </si>
  <si>
    <t>（該当サービスに○してください）</t>
    <rPh sb="1" eb="3">
      <t>ガイトウ</t>
    </rPh>
    <phoneticPr fontId="1"/>
  </si>
  <si>
    <t>利用者がサービス事業所を選択する主な理由：</t>
    <rPh sb="0" eb="3">
      <t>リヨウシャ</t>
    </rPh>
    <rPh sb="8" eb="11">
      <t>ジギョウショ</t>
    </rPh>
    <rPh sb="12" eb="14">
      <t>センタク</t>
    </rPh>
    <rPh sb="16" eb="17">
      <t>オモ</t>
    </rPh>
    <rPh sb="18" eb="20">
      <t>リユウ</t>
    </rPh>
    <phoneticPr fontId="15"/>
  </si>
  <si>
    <t>施設内または近辺に事業所があり、緊急時等に対応が可能など利用者に利便性が</t>
    <rPh sb="2" eb="3">
      <t>ナイ</t>
    </rPh>
    <rPh sb="6" eb="8">
      <t>キンペン</t>
    </rPh>
    <rPh sb="16" eb="19">
      <t>キンキュウジ</t>
    </rPh>
    <rPh sb="19" eb="20">
      <t>トウ</t>
    </rPh>
    <rPh sb="21" eb="23">
      <t>タイオウ</t>
    </rPh>
    <rPh sb="24" eb="26">
      <t>カノウ</t>
    </rPh>
    <rPh sb="28" eb="31">
      <t>リヨウシャ</t>
    </rPh>
    <phoneticPr fontId="1"/>
  </si>
  <si>
    <t>ある。</t>
    <phoneticPr fontId="1"/>
  </si>
  <si>
    <t>説明を受けた居宅サービス事業所名等</t>
    <rPh sb="0" eb="2">
      <t>セツメイ</t>
    </rPh>
    <rPh sb="3" eb="4">
      <t>ウ</t>
    </rPh>
    <rPh sb="6" eb="8">
      <t>キョタク</t>
    </rPh>
    <rPh sb="12" eb="15">
      <t>ジギョウショ</t>
    </rPh>
    <rPh sb="15" eb="16">
      <t>メイ</t>
    </rPh>
    <rPh sb="16" eb="17">
      <t>トウ</t>
    </rPh>
    <phoneticPr fontId="15"/>
  </si>
  <si>
    <t>事業所名</t>
    <rPh sb="0" eb="3">
      <t>ジギョウショ</t>
    </rPh>
    <rPh sb="3" eb="4">
      <t>メイ</t>
    </rPh>
    <phoneticPr fontId="15"/>
  </si>
  <si>
    <t>法人名</t>
    <rPh sb="0" eb="2">
      <t>ホウジン</t>
    </rPh>
    <rPh sb="2" eb="3">
      <t>メイ</t>
    </rPh>
    <phoneticPr fontId="15"/>
  </si>
  <si>
    <t>ヘルパーステーション　安濃津ろまん</t>
    <phoneticPr fontId="1"/>
  </si>
  <si>
    <t xml:space="preserve">株式会社 アールビーサポート </t>
    <phoneticPr fontId="1"/>
  </si>
  <si>
    <t>ニチイケアセンター八町</t>
    <rPh sb="9" eb="10">
      <t>ハチ</t>
    </rPh>
    <rPh sb="10" eb="11">
      <t>マチ</t>
    </rPh>
    <phoneticPr fontId="1"/>
  </si>
  <si>
    <t xml:space="preserve">株式会社　ニチイ学館 </t>
    <phoneticPr fontId="1"/>
  </si>
  <si>
    <t>訪問介護事業所　レモンの里</t>
    <phoneticPr fontId="1"/>
  </si>
  <si>
    <t>株式会社　レモンの里で暮らす会</t>
    <phoneticPr fontId="1"/>
  </si>
  <si>
    <t>訪問介護事業所　萌</t>
    <phoneticPr fontId="1"/>
  </si>
  <si>
    <t>株式会社萌</t>
    <phoneticPr fontId="1"/>
  </si>
  <si>
    <t>コーケン</t>
    <phoneticPr fontId="1"/>
  </si>
  <si>
    <t>有限会社　コーケン</t>
    <phoneticPr fontId="1"/>
  </si>
  <si>
    <t>※</t>
  </si>
  <si>
    <t>少なくとも３事業者はご記入ください。</t>
    <rPh sb="0" eb="1">
      <t>スク</t>
    </rPh>
    <rPh sb="6" eb="9">
      <t>ジギョウシャ</t>
    </rPh>
    <rPh sb="11" eb="13">
      <t>キニュウ</t>
    </rPh>
    <phoneticPr fontId="15"/>
  </si>
  <si>
    <t>欄が不足する場合は、別紙としてください。</t>
    <rPh sb="0" eb="1">
      <t>ラン</t>
    </rPh>
    <rPh sb="2" eb="4">
      <t>フソク</t>
    </rPh>
    <rPh sb="6" eb="8">
      <t>バアイ</t>
    </rPh>
    <rPh sb="10" eb="12">
      <t>ベッシ</t>
    </rPh>
    <phoneticPr fontId="15"/>
  </si>
  <si>
    <t>利用者が選択した事業所の番号に、○印を付けてください。</t>
    <rPh sb="0" eb="3">
      <t>リヨウシャ</t>
    </rPh>
    <rPh sb="4" eb="6">
      <t>センタク</t>
    </rPh>
    <rPh sb="8" eb="11">
      <t>ジギョウショ</t>
    </rPh>
    <rPh sb="12" eb="14">
      <t>バンゴウ</t>
    </rPh>
    <rPh sb="17" eb="18">
      <t>シルシ</t>
    </rPh>
    <rPh sb="19" eb="20">
      <t>ツ</t>
    </rPh>
    <phoneticPr fontId="15"/>
  </si>
  <si>
    <t>説明に使用した資料（○印をつけてください。）</t>
    <rPh sb="0" eb="2">
      <t>セツメイ</t>
    </rPh>
    <rPh sb="3" eb="5">
      <t>シヨウ</t>
    </rPh>
    <rPh sb="7" eb="9">
      <t>シリョウ</t>
    </rPh>
    <rPh sb="11" eb="12">
      <t>シルシ</t>
    </rPh>
    <phoneticPr fontId="15"/>
  </si>
  <si>
    <t>１．指定居宅介護支援事業所が作成した説明資料　　２．市町が発行する事業所一覧表</t>
    <rPh sb="2" eb="4">
      <t>シテイ</t>
    </rPh>
    <rPh sb="4" eb="6">
      <t>キョタク</t>
    </rPh>
    <rPh sb="6" eb="8">
      <t>カイゴ</t>
    </rPh>
    <rPh sb="8" eb="10">
      <t>シエン</t>
    </rPh>
    <rPh sb="10" eb="13">
      <t>ジギョウショ</t>
    </rPh>
    <rPh sb="14" eb="16">
      <t>サクセイ</t>
    </rPh>
    <rPh sb="18" eb="20">
      <t>セツメイ</t>
    </rPh>
    <rPh sb="20" eb="22">
      <t>シリョウ</t>
    </rPh>
    <phoneticPr fontId="15"/>
  </si>
  <si>
    <t xml:space="preserve">３．介護サービス情報公表システム　　４．各サービス事業所のパンフレット </t>
    <rPh sb="2" eb="4">
      <t>カイゴ</t>
    </rPh>
    <rPh sb="8" eb="10">
      <t>ジョウホウ</t>
    </rPh>
    <rPh sb="10" eb="12">
      <t>コウヒョウ</t>
    </rPh>
    <phoneticPr fontId="15"/>
  </si>
  <si>
    <t>５．その他（　　　　　　　　　　　　　　　　　　　　　　　　　　　　　　　　）</t>
    <rPh sb="4" eb="5">
      <t>タ</t>
    </rPh>
    <phoneticPr fontId="15"/>
  </si>
  <si>
    <t>説明日：</t>
    <rPh sb="0" eb="2">
      <t>セツメイ</t>
    </rPh>
    <rPh sb="2" eb="3">
      <t>ビ</t>
    </rPh>
    <phoneticPr fontId="15"/>
  </si>
  <si>
    <t>説明者：</t>
    <rPh sb="0" eb="3">
      <t>セツメイシャ</t>
    </rPh>
    <phoneticPr fontId="15"/>
  </si>
  <si>
    <t>　介護支援専門員氏名　　中井　深春　</t>
    <rPh sb="12" eb="14">
      <t>ナカイ</t>
    </rPh>
    <rPh sb="15" eb="16">
      <t>フカ</t>
    </rPh>
    <rPh sb="16" eb="17">
      <t>ハル</t>
    </rPh>
    <phoneticPr fontId="1"/>
  </si>
  <si>
    <t>利用者の確認：</t>
    <rPh sb="0" eb="3">
      <t>リヨウシャ</t>
    </rPh>
    <rPh sb="4" eb="6">
      <t>カクニン</t>
    </rPh>
    <phoneticPr fontId="15"/>
  </si>
  <si>
    <t>　私は、上記の居宅サービスの提供を受けるに当たり、３に記載の事業所を紹介され、</t>
    <rPh sb="1" eb="2">
      <t>ワタクシ</t>
    </rPh>
    <rPh sb="4" eb="6">
      <t>ジョウキ</t>
    </rPh>
    <rPh sb="7" eb="9">
      <t>キョタク</t>
    </rPh>
    <rPh sb="14" eb="16">
      <t>テイキョウ</t>
    </rPh>
    <rPh sb="17" eb="18">
      <t>ウ</t>
    </rPh>
    <rPh sb="21" eb="22">
      <t>ア</t>
    </rPh>
    <rPh sb="27" eb="29">
      <t>キサイ</t>
    </rPh>
    <rPh sb="30" eb="33">
      <t>ジギョウショ</t>
    </rPh>
    <rPh sb="34" eb="36">
      <t>ショウカイ</t>
    </rPh>
    <phoneticPr fontId="15"/>
  </si>
  <si>
    <t>比較検討した結果、事業所を選択しました。</t>
    <rPh sb="0" eb="2">
      <t>ヒカク</t>
    </rPh>
    <rPh sb="2" eb="4">
      <t>ケントウ</t>
    </rPh>
    <rPh sb="6" eb="8">
      <t>ケッカ</t>
    </rPh>
    <rPh sb="9" eb="12">
      <t>ジギョウショ</t>
    </rPh>
    <rPh sb="13" eb="15">
      <t>センタク</t>
    </rPh>
    <phoneticPr fontId="15"/>
  </si>
  <si>
    <t>利用者氏名：</t>
    <rPh sb="0" eb="3">
      <t>リヨウシャ</t>
    </rPh>
    <rPh sb="3" eb="5">
      <t>シメイ</t>
    </rPh>
    <phoneticPr fontId="15"/>
  </si>
  <si>
    <t>　又は　署名</t>
  </si>
  <si>
    <t>※１～６までは、居宅介護支援事業所が記載してください。</t>
    <rPh sb="8" eb="10">
      <t>キョタク</t>
    </rPh>
    <rPh sb="10" eb="12">
      <t>カイゴ</t>
    </rPh>
    <rPh sb="12" eb="14">
      <t>シエン</t>
    </rPh>
    <rPh sb="14" eb="17">
      <t>ジギョウショ</t>
    </rPh>
    <rPh sb="18" eb="20">
      <t>キサイ</t>
    </rPh>
    <phoneticPr fontId="15"/>
  </si>
  <si>
    <t>※作成後は居宅介護支援事業所で保管し、市から依頼があった時に提示又は写しを提出してください。</t>
    <rPh sb="1" eb="4">
      <t>サクセイゴ</t>
    </rPh>
    <rPh sb="5" eb="7">
      <t>キョタク</t>
    </rPh>
    <rPh sb="7" eb="9">
      <t>カイゴ</t>
    </rPh>
    <rPh sb="9" eb="11">
      <t>シエン</t>
    </rPh>
    <rPh sb="11" eb="14">
      <t>ジギョウショ</t>
    </rPh>
    <rPh sb="15" eb="17">
      <t>ホカン</t>
    </rPh>
    <rPh sb="19" eb="20">
      <t>シ</t>
    </rPh>
    <rPh sb="22" eb="24">
      <t>イライ</t>
    </rPh>
    <rPh sb="28" eb="29">
      <t>トキ</t>
    </rPh>
    <rPh sb="30" eb="32">
      <t>テイジ</t>
    </rPh>
    <rPh sb="32" eb="33">
      <t>マタ</t>
    </rPh>
    <rPh sb="34" eb="35">
      <t>ウツ</t>
    </rPh>
    <rPh sb="37" eb="39">
      <t>テイシュツ</t>
    </rPh>
    <phoneticPr fontId="15"/>
  </si>
  <si>
    <t>印</t>
    <rPh sb="0" eb="1">
      <t>イン</t>
    </rPh>
    <phoneticPr fontId="1"/>
  </si>
  <si>
    <t>株式会社アールビーサポート</t>
    <phoneticPr fontId="1"/>
  </si>
  <si>
    <t>明合乃里会</t>
    <phoneticPr fontId="1"/>
  </si>
  <si>
    <t>株式会社　ニチイ学館</t>
    <rPh sb="8" eb="10">
      <t>ガッカン</t>
    </rPh>
    <phoneticPr fontId="1"/>
  </si>
  <si>
    <t>社会福祉法人　寿泉会</t>
    <phoneticPr fontId="1"/>
  </si>
  <si>
    <t>有限会社ケアサービス　かいま</t>
    <phoneticPr fontId="1"/>
  </si>
  <si>
    <t>デイサービス安濃津ろまん</t>
  </si>
  <si>
    <t>シルバータウン新町デイサービスセンター</t>
    <phoneticPr fontId="1"/>
  </si>
  <si>
    <t>ニチイケアセンター八町</t>
    <phoneticPr fontId="1"/>
  </si>
  <si>
    <t>しおりの里デイサービスセンター</t>
    <phoneticPr fontId="1"/>
  </si>
  <si>
    <t>かいま　デイサービスセンター</t>
    <phoneticPr fontId="1"/>
  </si>
  <si>
    <t>福祉用具貸与・販売　安濃津ろまん</t>
    <phoneticPr fontId="1"/>
  </si>
  <si>
    <t>ライフ・テクノサービス津</t>
    <phoneticPr fontId="1"/>
  </si>
  <si>
    <t>有限会社三重健康管理システム</t>
    <phoneticPr fontId="1"/>
  </si>
  <si>
    <t>本町福祉用具貸与事業シルバーケア豊壽園</t>
    <phoneticPr fontId="1"/>
  </si>
  <si>
    <t>フランスベッド株式会社メディカル三重営業所</t>
    <phoneticPr fontId="1"/>
  </si>
  <si>
    <t>株式会社　ライフ・テクノサービス</t>
    <phoneticPr fontId="1"/>
  </si>
  <si>
    <t>有限会社　三重健康管理システム</t>
    <phoneticPr fontId="1"/>
  </si>
  <si>
    <t>社会福祉法人洗心福祉会</t>
    <phoneticPr fontId="1"/>
  </si>
  <si>
    <t>フランスベッド株式会社</t>
    <phoneticPr fontId="1"/>
  </si>
  <si>
    <t>安濃津ろまん相談員より新規ケースの依頼</t>
    <rPh sb="0" eb="2">
      <t>アノウ</t>
    </rPh>
    <rPh sb="2" eb="3">
      <t>ツ</t>
    </rPh>
    <rPh sb="6" eb="9">
      <t>ソウダンイン</t>
    </rPh>
    <rPh sb="11" eb="13">
      <t>シンキ</t>
    </rPh>
    <rPh sb="17" eb="19">
      <t>イライ</t>
    </rPh>
    <phoneticPr fontId="1"/>
  </si>
  <si>
    <t>区分1</t>
    <rPh sb="0" eb="2">
      <t>クブン</t>
    </rPh>
    <phoneticPr fontId="1"/>
  </si>
  <si>
    <t>区分2</t>
    <rPh sb="0" eb="2">
      <t>クブン</t>
    </rPh>
    <phoneticPr fontId="1"/>
  </si>
  <si>
    <t>区分3</t>
    <rPh sb="0" eb="2">
      <t>クブン</t>
    </rPh>
    <phoneticPr fontId="1"/>
  </si>
  <si>
    <t>区分4</t>
    <rPh sb="0" eb="2">
      <t>クブン</t>
    </rPh>
    <phoneticPr fontId="1"/>
  </si>
  <si>
    <t>区分5</t>
    <rPh sb="0" eb="2">
      <t>クブン</t>
    </rPh>
    <phoneticPr fontId="1"/>
  </si>
  <si>
    <t>区分6</t>
    <rPh sb="0" eb="2">
      <t>クブン</t>
    </rPh>
    <phoneticPr fontId="1"/>
  </si>
  <si>
    <t>アセスメント実施日</t>
    <rPh sb="6" eb="9">
      <t>ジッシビ</t>
    </rPh>
    <phoneticPr fontId="1"/>
  </si>
  <si>
    <r>
      <rPr>
        <sz val="20"/>
        <color theme="1"/>
        <rFont val="Segoe UI Symbol"/>
        <family val="3"/>
      </rPr>
      <t>❷</t>
    </r>
    <r>
      <rPr>
        <sz val="20"/>
        <color theme="1"/>
        <rFont val="BIZ UDPゴシック"/>
        <family val="3"/>
        <charset val="128"/>
      </rPr>
      <t>家族状況とインフォーマルな支援の状況</t>
    </r>
    <rPh sb="1" eb="3">
      <t>カゾク</t>
    </rPh>
    <rPh sb="3" eb="5">
      <t>ジョウキョウ</t>
    </rPh>
    <rPh sb="14" eb="16">
      <t>シエン</t>
    </rPh>
    <rPh sb="17" eb="19">
      <t>ジョウキョウ</t>
    </rPh>
    <phoneticPr fontId="1"/>
  </si>
  <si>
    <t>■家族構成と介護状況</t>
    <rPh sb="1" eb="3">
      <t>カゾク</t>
    </rPh>
    <rPh sb="3" eb="5">
      <t>コウセイ</t>
    </rPh>
    <rPh sb="6" eb="8">
      <t>カイゴ</t>
    </rPh>
    <rPh sb="8" eb="10">
      <t>ジョウキョウ</t>
    </rPh>
    <phoneticPr fontId="1"/>
  </si>
  <si>
    <t>訪問介護（ホームヘルプサービス）</t>
    <rPh sb="0" eb="2">
      <t>ホウモン</t>
    </rPh>
    <rPh sb="2" eb="4">
      <t>カイゴ</t>
    </rPh>
    <phoneticPr fontId="1"/>
  </si>
  <si>
    <t>回</t>
    <rPh sb="0" eb="1">
      <t>カイ</t>
    </rPh>
    <phoneticPr fontId="1"/>
  </si>
  <si>
    <t>月</t>
  </si>
  <si>
    <t>月</t>
    <rPh sb="0" eb="1">
      <t>ツキ</t>
    </rPh>
    <phoneticPr fontId="1"/>
  </si>
  <si>
    <t>通所介護（デイサービス）</t>
    <rPh sb="0" eb="2">
      <t>ツウショ</t>
    </rPh>
    <rPh sb="2" eb="4">
      <t>カイゴ</t>
    </rPh>
    <phoneticPr fontId="1"/>
  </si>
  <si>
    <t>(介護予防)訪問入浴介護</t>
    <rPh sb="6" eb="8">
      <t>ホウモン</t>
    </rPh>
    <rPh sb="8" eb="10">
      <t>ニュウヨク</t>
    </rPh>
    <rPh sb="10" eb="12">
      <t>カイゴ</t>
    </rPh>
    <phoneticPr fontId="1"/>
  </si>
  <si>
    <t>(介護予防)訪問看護</t>
    <rPh sb="6" eb="8">
      <t>ホウモン</t>
    </rPh>
    <rPh sb="8" eb="10">
      <t>カンゴ</t>
    </rPh>
    <phoneticPr fontId="1"/>
  </si>
  <si>
    <t>(介護予防)訪問リハビリテーション</t>
    <rPh sb="6" eb="8">
      <t>ホウモン</t>
    </rPh>
    <phoneticPr fontId="1"/>
  </si>
  <si>
    <t>(介護予防)居宅療養管理指導</t>
    <rPh sb="6" eb="8">
      <t>キョタク</t>
    </rPh>
    <rPh sb="8" eb="10">
      <t>リョウヨウ</t>
    </rPh>
    <rPh sb="10" eb="12">
      <t>カンリ</t>
    </rPh>
    <rPh sb="12" eb="14">
      <t>シドウ</t>
    </rPh>
    <phoneticPr fontId="1"/>
  </si>
  <si>
    <t>(介護予防)短期入所生活介護（特養等）</t>
    <rPh sb="6" eb="8">
      <t>タンキ</t>
    </rPh>
    <rPh sb="8" eb="10">
      <t>ニュウショ</t>
    </rPh>
    <rPh sb="10" eb="12">
      <t>セイカツ</t>
    </rPh>
    <rPh sb="12" eb="14">
      <t>カイゴ</t>
    </rPh>
    <rPh sb="15" eb="17">
      <t>トクヨウ</t>
    </rPh>
    <rPh sb="17" eb="18">
      <t>トウ</t>
    </rPh>
    <phoneticPr fontId="1"/>
  </si>
  <si>
    <t>(介護予防)通所リハビリテーション</t>
    <rPh sb="6" eb="8">
      <t>ツウショ</t>
    </rPh>
    <phoneticPr fontId="1"/>
  </si>
  <si>
    <t>(介護予防)短期入所療養介護（老健・診療所等）</t>
    <rPh sb="6" eb="8">
      <t>タンキ</t>
    </rPh>
    <rPh sb="8" eb="10">
      <t>ニュウショ</t>
    </rPh>
    <rPh sb="10" eb="12">
      <t>リョウヨウ</t>
    </rPh>
    <rPh sb="12" eb="14">
      <t>カイゴ</t>
    </rPh>
    <rPh sb="15" eb="17">
      <t>ロウケン</t>
    </rPh>
    <rPh sb="18" eb="21">
      <t>シンリョウジョ</t>
    </rPh>
    <rPh sb="21" eb="22">
      <t>トウ</t>
    </rPh>
    <phoneticPr fontId="1"/>
  </si>
  <si>
    <t>(介護予防)特定施設入居者生活介護</t>
    <rPh sb="6" eb="8">
      <t>トクテイ</t>
    </rPh>
    <rPh sb="8" eb="10">
      <t>シセツ</t>
    </rPh>
    <rPh sb="10" eb="13">
      <t>ニュウキョシャ</t>
    </rPh>
    <rPh sb="13" eb="15">
      <t>セイカツ</t>
    </rPh>
    <rPh sb="15" eb="17">
      <t>カイゴ</t>
    </rPh>
    <phoneticPr fontId="1"/>
  </si>
  <si>
    <t>看護小規模多機能型居宅介護</t>
    <rPh sb="0" eb="2">
      <t>カンゴ</t>
    </rPh>
    <rPh sb="2" eb="5">
      <t>ショウキボ</t>
    </rPh>
    <rPh sb="5" eb="8">
      <t>タキノウ</t>
    </rPh>
    <rPh sb="8" eb="9">
      <t>ガタ</t>
    </rPh>
    <rPh sb="9" eb="11">
      <t>キョタク</t>
    </rPh>
    <rPh sb="11" eb="13">
      <t>カイゴ</t>
    </rPh>
    <phoneticPr fontId="1"/>
  </si>
  <si>
    <t>(介護予防)福祉用具貸与</t>
    <rPh sb="6" eb="8">
      <t>フクシ</t>
    </rPh>
    <rPh sb="8" eb="10">
      <t>ヨウグ</t>
    </rPh>
    <rPh sb="10" eb="12">
      <t>タイヨ</t>
    </rPh>
    <phoneticPr fontId="1"/>
  </si>
  <si>
    <t>特定(介護予防)福祉用具販売</t>
    <rPh sb="0" eb="2">
      <t>トクテイ</t>
    </rPh>
    <rPh sb="3" eb="5">
      <t>カイゴ</t>
    </rPh>
    <rPh sb="5" eb="7">
      <t>ヨボウ</t>
    </rPh>
    <rPh sb="8" eb="10">
      <t>フクシ</t>
    </rPh>
    <rPh sb="10" eb="12">
      <t>ヨウグ</t>
    </rPh>
    <rPh sb="12" eb="14">
      <t>ハンバイ</t>
    </rPh>
    <phoneticPr fontId="1"/>
  </si>
  <si>
    <t>住宅改修</t>
    <rPh sb="0" eb="2">
      <t>ジュウタク</t>
    </rPh>
    <rPh sb="2" eb="4">
      <t>カイシュウ</t>
    </rPh>
    <phoneticPr fontId="1"/>
  </si>
  <si>
    <t>夜間対応型訪問介護</t>
    <rPh sb="0" eb="2">
      <t>ヤカン</t>
    </rPh>
    <rPh sb="2" eb="5">
      <t>タイオウガタ</t>
    </rPh>
    <rPh sb="5" eb="7">
      <t>ホウモン</t>
    </rPh>
    <rPh sb="7" eb="9">
      <t>カイゴ</t>
    </rPh>
    <phoneticPr fontId="1"/>
  </si>
  <si>
    <t>(介護予防)認知症対応型通所介護</t>
    <rPh sb="6" eb="9">
      <t>ニンチショウ</t>
    </rPh>
    <rPh sb="9" eb="12">
      <t>タイオウガタ</t>
    </rPh>
    <rPh sb="12" eb="14">
      <t>ツウショ</t>
    </rPh>
    <rPh sb="14" eb="16">
      <t>カイゴ</t>
    </rPh>
    <phoneticPr fontId="1"/>
  </si>
  <si>
    <t>(介護予防)小規模多機能型居宅介護</t>
    <rPh sb="6" eb="9">
      <t>ショウキボ</t>
    </rPh>
    <rPh sb="9" eb="13">
      <t>タキノウガタ</t>
    </rPh>
    <rPh sb="13" eb="15">
      <t>キョタク</t>
    </rPh>
    <rPh sb="15" eb="17">
      <t>カイゴ</t>
    </rPh>
    <phoneticPr fontId="1"/>
  </si>
  <si>
    <t>(介護予防)認知症対応型共同生活介護</t>
    <rPh sb="6" eb="9">
      <t>ニンチショウ</t>
    </rPh>
    <rPh sb="9" eb="12">
      <t>タイオウガタ</t>
    </rPh>
    <rPh sb="12" eb="14">
      <t>キョウドウ</t>
    </rPh>
    <rPh sb="14" eb="16">
      <t>セイカツ</t>
    </rPh>
    <rPh sb="16" eb="18">
      <t>カイゴ</t>
    </rPh>
    <phoneticPr fontId="1"/>
  </si>
  <si>
    <t>定期巡回・随時対応型訪問介護看護</t>
    <rPh sb="0" eb="2">
      <t>テイキ</t>
    </rPh>
    <rPh sb="2" eb="4">
      <t>ジュンカイ</t>
    </rPh>
    <rPh sb="5" eb="7">
      <t>ズイジ</t>
    </rPh>
    <rPh sb="7" eb="9">
      <t>タイオウ</t>
    </rPh>
    <rPh sb="9" eb="10">
      <t>ガタ</t>
    </rPh>
    <rPh sb="10" eb="12">
      <t>ホウモン</t>
    </rPh>
    <rPh sb="12" eb="14">
      <t>カイゴ</t>
    </rPh>
    <rPh sb="14" eb="16">
      <t>カンゴ</t>
    </rPh>
    <phoneticPr fontId="1"/>
  </si>
  <si>
    <t>品目</t>
    <rPh sb="0" eb="2">
      <t>ヒンモク</t>
    </rPh>
    <phoneticPr fontId="1"/>
  </si>
  <si>
    <t>あり</t>
    <phoneticPr fontId="1"/>
  </si>
  <si>
    <t>なし</t>
    <phoneticPr fontId="1"/>
  </si>
  <si>
    <t>在宅利用（認定調査を行った月のサービス利用回数を記入。(介護予防)福祉用具貸与は調査日時点の、特定(介護予防)福祉用具販売は過去6ヶ月の品目数を記載）</t>
    <rPh sb="0" eb="2">
      <t>ザイタク</t>
    </rPh>
    <rPh sb="2" eb="4">
      <t>リヨウ</t>
    </rPh>
    <rPh sb="5" eb="7">
      <t>ニンテイ</t>
    </rPh>
    <rPh sb="7" eb="9">
      <t>チョウサ</t>
    </rPh>
    <rPh sb="10" eb="11">
      <t>オコナ</t>
    </rPh>
    <rPh sb="13" eb="14">
      <t>ツキ</t>
    </rPh>
    <rPh sb="19" eb="21">
      <t>リヨウ</t>
    </rPh>
    <rPh sb="21" eb="23">
      <t>カイスウ</t>
    </rPh>
    <rPh sb="24" eb="26">
      <t>キニュウ</t>
    </rPh>
    <rPh sb="28" eb="30">
      <t>カイゴ</t>
    </rPh>
    <rPh sb="30" eb="32">
      <t>ヨボウ</t>
    </rPh>
    <rPh sb="33" eb="35">
      <t>フクシ</t>
    </rPh>
    <rPh sb="35" eb="37">
      <t>ヨウグ</t>
    </rPh>
    <rPh sb="37" eb="39">
      <t>タイヨ</t>
    </rPh>
    <rPh sb="40" eb="43">
      <t>チョウサビ</t>
    </rPh>
    <rPh sb="43" eb="45">
      <t>ジテン</t>
    </rPh>
    <rPh sb="47" eb="49">
      <t>トクテイ</t>
    </rPh>
    <rPh sb="50" eb="52">
      <t>カイゴ</t>
    </rPh>
    <rPh sb="52" eb="54">
      <t>ヨボウ</t>
    </rPh>
    <rPh sb="55" eb="57">
      <t>フクシ</t>
    </rPh>
    <rPh sb="57" eb="59">
      <t>ヨウグ</t>
    </rPh>
    <rPh sb="59" eb="61">
      <t>ハンバイ</t>
    </rPh>
    <rPh sb="62" eb="64">
      <t>カコ</t>
    </rPh>
    <rPh sb="66" eb="67">
      <t>ゲツ</t>
    </rPh>
    <rPh sb="68" eb="70">
      <t>ヒンモク</t>
    </rPh>
    <rPh sb="70" eb="71">
      <t>スウ</t>
    </rPh>
    <rPh sb="72" eb="74">
      <t>キサイ</t>
    </rPh>
    <phoneticPr fontId="1"/>
  </si>
  <si>
    <t>時点）</t>
    <rPh sb="0" eb="2">
      <t>ジテン</t>
    </rPh>
    <phoneticPr fontId="1"/>
  </si>
  <si>
    <t>本人が受けたい支援/今後必要になると思われる支援</t>
    <rPh sb="0" eb="2">
      <t>ホンニン</t>
    </rPh>
    <rPh sb="3" eb="4">
      <t>ウ</t>
    </rPh>
    <rPh sb="7" eb="9">
      <t>シエン</t>
    </rPh>
    <rPh sb="10" eb="12">
      <t>コンゴ</t>
    </rPh>
    <rPh sb="12" eb="14">
      <t>ヒツヨウ</t>
    </rPh>
    <rPh sb="18" eb="19">
      <t>オモ</t>
    </rPh>
    <rPh sb="22" eb="24">
      <t>シエン</t>
    </rPh>
    <phoneticPr fontId="1"/>
  </si>
  <si>
    <t>支援提供者</t>
    <rPh sb="0" eb="2">
      <t>シエン</t>
    </rPh>
    <rPh sb="2" eb="4">
      <t>テイキョウ</t>
    </rPh>
    <rPh sb="4" eb="5">
      <t>シャ</t>
    </rPh>
    <phoneticPr fontId="1"/>
  </si>
  <si>
    <t>活用している支援内容</t>
    <rPh sb="0" eb="2">
      <t>カツヨウ</t>
    </rPh>
    <rPh sb="6" eb="8">
      <t>シエン</t>
    </rPh>
    <rPh sb="8" eb="10">
      <t>ナイヨウ</t>
    </rPh>
    <phoneticPr fontId="1"/>
  </si>
  <si>
    <t>■インフォーマルな支援活用状況</t>
    <rPh sb="9" eb="11">
      <t>シエン</t>
    </rPh>
    <rPh sb="11" eb="13">
      <t>カツヨウ</t>
    </rPh>
    <rPh sb="13" eb="15">
      <t>ジョウキョウ</t>
    </rPh>
    <phoneticPr fontId="1"/>
  </si>
  <si>
    <t>親戚、近隣、友人、同僚、ボランティア、民生委員、自治会等の地域の団体等</t>
    <rPh sb="0" eb="2">
      <t>シンセキ</t>
    </rPh>
    <rPh sb="3" eb="5">
      <t>キンリン</t>
    </rPh>
    <rPh sb="6" eb="8">
      <t>ユウジン</t>
    </rPh>
    <rPh sb="9" eb="11">
      <t>ドウリョウ</t>
    </rPh>
    <rPh sb="19" eb="21">
      <t>ミンセイ</t>
    </rPh>
    <rPh sb="21" eb="23">
      <t>イイン</t>
    </rPh>
    <rPh sb="24" eb="27">
      <t>ジチカイ</t>
    </rPh>
    <rPh sb="27" eb="28">
      <t>トウ</t>
    </rPh>
    <rPh sb="29" eb="31">
      <t>チイキ</t>
    </rPh>
    <rPh sb="32" eb="34">
      <t>ダンタイ</t>
    </rPh>
    <rPh sb="34" eb="35">
      <t>トウ</t>
    </rPh>
    <phoneticPr fontId="1"/>
  </si>
  <si>
    <t>※</t>
    <phoneticPr fontId="1"/>
  </si>
  <si>
    <t>氏名（主たる介護者には※）</t>
    <rPh sb="0" eb="2">
      <t>シメイ</t>
    </rPh>
    <rPh sb="3" eb="4">
      <t>シュ</t>
    </rPh>
    <rPh sb="6" eb="9">
      <t>カイゴシャ</t>
    </rPh>
    <phoneticPr fontId="1"/>
  </si>
  <si>
    <t>同別居</t>
    <rPh sb="0" eb="1">
      <t>ドウ</t>
    </rPh>
    <rPh sb="1" eb="3">
      <t>ベッキョ</t>
    </rPh>
    <phoneticPr fontId="1"/>
  </si>
  <si>
    <t>就労有無</t>
    <rPh sb="0" eb="2">
      <t>シュウロウ</t>
    </rPh>
    <rPh sb="2" eb="4">
      <t>ウム</t>
    </rPh>
    <phoneticPr fontId="1"/>
  </si>
  <si>
    <t>健康状態等</t>
    <rPh sb="0" eb="2">
      <t>ケンコウ</t>
    </rPh>
    <rPh sb="2" eb="4">
      <t>ジョウタイ</t>
    </rPh>
    <rPh sb="4" eb="5">
      <t>トウ</t>
    </rPh>
    <phoneticPr fontId="1"/>
  </si>
  <si>
    <r>
      <t>特記事項</t>
    </r>
    <r>
      <rPr>
        <b/>
        <sz val="7"/>
        <color theme="1"/>
        <rFont val="游ゴシック"/>
        <family val="3"/>
        <charset val="128"/>
        <scheme val="minor"/>
      </rPr>
      <t>（自治会、ボランティア等社会的活動）</t>
    </r>
    <rPh sb="0" eb="2">
      <t>トッキ</t>
    </rPh>
    <rPh sb="2" eb="4">
      <t>ジコウ</t>
    </rPh>
    <rPh sb="5" eb="8">
      <t>ジチカイ</t>
    </rPh>
    <rPh sb="15" eb="16">
      <t>トウ</t>
    </rPh>
    <rPh sb="16" eb="19">
      <t>シャカイテキ</t>
    </rPh>
    <rPh sb="19" eb="21">
      <t>カツドウ</t>
    </rPh>
    <phoneticPr fontId="1"/>
  </si>
  <si>
    <t>家族構成図</t>
    <rPh sb="0" eb="2">
      <t>カゾク</t>
    </rPh>
    <rPh sb="2" eb="4">
      <t>コウセイ</t>
    </rPh>
    <rPh sb="4" eb="5">
      <t>ズ</t>
    </rPh>
    <phoneticPr fontId="1"/>
  </si>
  <si>
    <t>家族の介護の状況・課題</t>
    <rPh sb="0" eb="2">
      <t>カゾク</t>
    </rPh>
    <rPh sb="3" eb="5">
      <t>カイゴ</t>
    </rPh>
    <rPh sb="6" eb="8">
      <t>ジョウキョウ</t>
    </rPh>
    <rPh sb="9" eb="11">
      <t>カダイ</t>
    </rPh>
    <phoneticPr fontId="1"/>
  </si>
  <si>
    <t>配食サービス</t>
    <rPh sb="0" eb="2">
      <t>ハイショク</t>
    </rPh>
    <phoneticPr fontId="1"/>
  </si>
  <si>
    <t>洗濯サービス</t>
    <rPh sb="0" eb="2">
      <t>センタク</t>
    </rPh>
    <phoneticPr fontId="1"/>
  </si>
  <si>
    <t>移動または外出支援</t>
    <rPh sb="0" eb="2">
      <t>イドウ</t>
    </rPh>
    <rPh sb="5" eb="7">
      <t>ガイシュツ</t>
    </rPh>
    <rPh sb="7" eb="9">
      <t>シエン</t>
    </rPh>
    <phoneticPr fontId="1"/>
  </si>
  <si>
    <t>友愛訪問</t>
    <rPh sb="0" eb="2">
      <t>ユウアイ</t>
    </rPh>
    <rPh sb="2" eb="4">
      <t>ホウモン</t>
    </rPh>
    <phoneticPr fontId="1"/>
  </si>
  <si>
    <t>老人福祉センター</t>
    <rPh sb="0" eb="2">
      <t>ロウジン</t>
    </rPh>
    <rPh sb="2" eb="4">
      <t>フクシ</t>
    </rPh>
    <phoneticPr fontId="1"/>
  </si>
  <si>
    <t>老人憩いの家</t>
    <rPh sb="0" eb="2">
      <t>ロウジン</t>
    </rPh>
    <rPh sb="2" eb="3">
      <t>イコ</t>
    </rPh>
    <rPh sb="5" eb="6">
      <t>イエ</t>
    </rPh>
    <phoneticPr fontId="1"/>
  </si>
  <si>
    <t>ガイドヘルパー</t>
    <phoneticPr fontId="1"/>
  </si>
  <si>
    <t>生活支援員の訪問（日常生活自立支援事業）</t>
    <rPh sb="0" eb="2">
      <t>セイカツ</t>
    </rPh>
    <rPh sb="2" eb="4">
      <t>シエン</t>
    </rPh>
    <rPh sb="4" eb="5">
      <t>イン</t>
    </rPh>
    <rPh sb="6" eb="8">
      <t>ホウモン</t>
    </rPh>
    <rPh sb="9" eb="11">
      <t>ニチジョウ</t>
    </rPh>
    <rPh sb="11" eb="13">
      <t>セイカツ</t>
    </rPh>
    <rPh sb="13" eb="15">
      <t>ジリツ</t>
    </rPh>
    <rPh sb="15" eb="17">
      <t>シエン</t>
    </rPh>
    <rPh sb="17" eb="19">
      <t>ジギョウ</t>
    </rPh>
    <phoneticPr fontId="1"/>
  </si>
  <si>
    <t>ふれあい・いきいきサロン</t>
    <phoneticPr fontId="1"/>
  </si>
  <si>
    <t>市町村特別給付</t>
    <rPh sb="0" eb="3">
      <t>シチョウソン</t>
    </rPh>
    <rPh sb="3" eb="5">
      <t>トクベツ</t>
    </rPh>
    <rPh sb="5" eb="7">
      <t>キュウフ</t>
    </rPh>
    <phoneticPr fontId="1"/>
  </si>
  <si>
    <t>身障/補装具・日常生活用具</t>
    <rPh sb="0" eb="2">
      <t>シンショウ</t>
    </rPh>
    <rPh sb="3" eb="6">
      <t>ホソウグ</t>
    </rPh>
    <rPh sb="7" eb="9">
      <t>ニチジョウ</t>
    </rPh>
    <rPh sb="9" eb="11">
      <t>セイカツ</t>
    </rPh>
    <rPh sb="11" eb="13">
      <t>ヨウグ</t>
    </rPh>
    <phoneticPr fontId="1"/>
  </si>
  <si>
    <t>介護老人福祉施設</t>
    <rPh sb="0" eb="2">
      <t>カイゴ</t>
    </rPh>
    <rPh sb="2" eb="4">
      <t>ロウジン</t>
    </rPh>
    <rPh sb="4" eb="6">
      <t>フクシ</t>
    </rPh>
    <rPh sb="6" eb="8">
      <t>シセツ</t>
    </rPh>
    <phoneticPr fontId="1"/>
  </si>
  <si>
    <t>介護老人保健施設</t>
    <rPh sb="0" eb="2">
      <t>カイゴ</t>
    </rPh>
    <rPh sb="2" eb="4">
      <t>ロウジン</t>
    </rPh>
    <rPh sb="4" eb="6">
      <t>ホケン</t>
    </rPh>
    <rPh sb="6" eb="8">
      <t>シセツ</t>
    </rPh>
    <phoneticPr fontId="1"/>
  </si>
  <si>
    <t>介護療養型医療施設（介護医療院）</t>
    <rPh sb="0" eb="2">
      <t>カイゴ</t>
    </rPh>
    <rPh sb="2" eb="5">
      <t>リョウヨウガタ</t>
    </rPh>
    <rPh sb="5" eb="7">
      <t>イリョウ</t>
    </rPh>
    <rPh sb="7" eb="9">
      <t>シセツ</t>
    </rPh>
    <rPh sb="10" eb="12">
      <t>カイゴ</t>
    </rPh>
    <rPh sb="12" eb="14">
      <t>イリョウ</t>
    </rPh>
    <rPh sb="14" eb="15">
      <t>イン</t>
    </rPh>
    <phoneticPr fontId="1"/>
  </si>
  <si>
    <t>認知症対応型共同生活介護適用施設(グループホーム)</t>
    <rPh sb="0" eb="3">
      <t>ニンチショウ</t>
    </rPh>
    <rPh sb="3" eb="5">
      <t>タイオウ</t>
    </rPh>
    <rPh sb="5" eb="6">
      <t>ガタ</t>
    </rPh>
    <rPh sb="6" eb="8">
      <t>キョウドウ</t>
    </rPh>
    <rPh sb="8" eb="10">
      <t>セイカツ</t>
    </rPh>
    <rPh sb="10" eb="12">
      <t>カイゴ</t>
    </rPh>
    <rPh sb="12" eb="14">
      <t>テキヨウ</t>
    </rPh>
    <rPh sb="14" eb="16">
      <t>シセツ</t>
    </rPh>
    <phoneticPr fontId="1"/>
  </si>
  <si>
    <t>特定施設入居者生活介護適用施設(ケアハウス等)</t>
    <rPh sb="0" eb="2">
      <t>トクテイ</t>
    </rPh>
    <rPh sb="2" eb="4">
      <t>シセツ</t>
    </rPh>
    <rPh sb="4" eb="7">
      <t>ニュウキョシャ</t>
    </rPh>
    <rPh sb="7" eb="9">
      <t>セイカツ</t>
    </rPh>
    <rPh sb="9" eb="11">
      <t>カイゴ</t>
    </rPh>
    <rPh sb="11" eb="13">
      <t>テキヨウ</t>
    </rPh>
    <rPh sb="13" eb="15">
      <t>シセツ</t>
    </rPh>
    <rPh sb="21" eb="22">
      <t>トウ</t>
    </rPh>
    <phoneticPr fontId="1"/>
  </si>
  <si>
    <t>医療機関（医療保</t>
    <rPh sb="0" eb="2">
      <t>イリョウ</t>
    </rPh>
    <rPh sb="2" eb="4">
      <t>キカン</t>
    </rPh>
    <rPh sb="5" eb="7">
      <t>イリョウ</t>
    </rPh>
    <rPh sb="7" eb="8">
      <t>ホ</t>
    </rPh>
    <phoneticPr fontId="1"/>
  </si>
  <si>
    <t>険適用療養病床）</t>
  </si>
  <si>
    <t>医療機関（療養病</t>
    <rPh sb="0" eb="2">
      <t>イリョウ</t>
    </rPh>
    <rPh sb="2" eb="4">
      <t>キカン</t>
    </rPh>
    <rPh sb="5" eb="7">
      <t>リョウヨウ</t>
    </rPh>
    <rPh sb="7" eb="8">
      <t>ビョウ</t>
    </rPh>
    <phoneticPr fontId="1"/>
  </si>
  <si>
    <t>床以外）</t>
  </si>
  <si>
    <t>その他の施設</t>
    <rPh sb="2" eb="3">
      <t>タ</t>
    </rPh>
    <rPh sb="4" eb="6">
      <t>シセツ</t>
    </rPh>
    <phoneticPr fontId="1"/>
  </si>
  <si>
    <t>施設・機関名</t>
    <rPh sb="0" eb="2">
      <t>シセツ</t>
    </rPh>
    <rPh sb="3" eb="5">
      <t>キカン</t>
    </rPh>
    <rPh sb="5" eb="6">
      <t>メイ</t>
    </rPh>
    <phoneticPr fontId="1"/>
  </si>
  <si>
    <t>所在地</t>
    <rPh sb="0" eb="3">
      <t>ショザイチ</t>
    </rPh>
    <phoneticPr fontId="1"/>
  </si>
  <si>
    <t>電話番号</t>
    <rPh sb="0" eb="2">
      <t>デンワ</t>
    </rPh>
    <rPh sb="2" eb="4">
      <t>バンゴウ</t>
    </rPh>
    <phoneticPr fontId="1"/>
  </si>
  <si>
    <t>直近の入所・入院</t>
    <rPh sb="0" eb="2">
      <t>チョッキン</t>
    </rPh>
    <rPh sb="3" eb="5">
      <t>ニュウショ</t>
    </rPh>
    <rPh sb="6" eb="8">
      <t>ニュウイン</t>
    </rPh>
    <phoneticPr fontId="1"/>
  </si>
  <si>
    <t>年金</t>
    <rPh sb="0" eb="2">
      <t>ネンキン</t>
    </rPh>
    <phoneticPr fontId="1"/>
  </si>
  <si>
    <t>老齢関係</t>
    <rPh sb="0" eb="2">
      <t>ロウレイ</t>
    </rPh>
    <rPh sb="2" eb="4">
      <t>カンケイ</t>
    </rPh>
    <phoneticPr fontId="1"/>
  </si>
  <si>
    <t>障害関係</t>
    <rPh sb="0" eb="2">
      <t>ショウガイ</t>
    </rPh>
    <rPh sb="2" eb="4">
      <t>カンケイ</t>
    </rPh>
    <phoneticPr fontId="1"/>
  </si>
  <si>
    <t>遺族・寡婦</t>
    <rPh sb="0" eb="2">
      <t>イゾク</t>
    </rPh>
    <rPh sb="3" eb="5">
      <t>カフ</t>
    </rPh>
    <phoneticPr fontId="1"/>
  </si>
  <si>
    <t>恩給</t>
    <rPh sb="0" eb="2">
      <t>オンキュウ</t>
    </rPh>
    <phoneticPr fontId="1"/>
  </si>
  <si>
    <t>特別障害者手当</t>
    <rPh sb="0" eb="2">
      <t>トクベツ</t>
    </rPh>
    <rPh sb="2" eb="5">
      <t>ショウガイシャ</t>
    </rPh>
    <rPh sb="5" eb="7">
      <t>テアテ</t>
    </rPh>
    <phoneticPr fontId="1"/>
  </si>
  <si>
    <t>生活保護</t>
    <rPh sb="0" eb="2">
      <t>セイカツ</t>
    </rPh>
    <rPh sb="2" eb="4">
      <t>ホゴ</t>
    </rPh>
    <phoneticPr fontId="1"/>
  </si>
  <si>
    <t>生活福祉資金貸付</t>
    <rPh sb="0" eb="2">
      <t>セイカツ</t>
    </rPh>
    <rPh sb="2" eb="4">
      <t>フクシ</t>
    </rPh>
    <rPh sb="4" eb="6">
      <t>シキン</t>
    </rPh>
    <rPh sb="6" eb="8">
      <t>カシツケ</t>
    </rPh>
    <phoneticPr fontId="1"/>
  </si>
  <si>
    <t>高齢者住宅整備資金貸付</t>
    <rPh sb="0" eb="3">
      <t>コウレイシャ</t>
    </rPh>
    <rPh sb="3" eb="5">
      <t>ジュウタク</t>
    </rPh>
    <rPh sb="5" eb="7">
      <t>セイビ</t>
    </rPh>
    <rPh sb="7" eb="9">
      <t>シキン</t>
    </rPh>
    <rPh sb="9" eb="11">
      <t>カシツケ</t>
    </rPh>
    <phoneticPr fontId="1"/>
  </si>
  <si>
    <t>日常生活自立支援事業（地域福祉権利擁護事業）</t>
    <rPh sb="0" eb="2">
      <t>ニチジョウ</t>
    </rPh>
    <rPh sb="2" eb="4">
      <t>セイカツ</t>
    </rPh>
    <rPh sb="4" eb="6">
      <t>ジリツ</t>
    </rPh>
    <rPh sb="6" eb="8">
      <t>シエン</t>
    </rPh>
    <rPh sb="8" eb="10">
      <t>ジギョウ</t>
    </rPh>
    <rPh sb="11" eb="13">
      <t>チイキ</t>
    </rPh>
    <rPh sb="13" eb="15">
      <t>フクシ</t>
    </rPh>
    <rPh sb="15" eb="17">
      <t>ケンリ</t>
    </rPh>
    <rPh sb="17" eb="19">
      <t>ヨウゴ</t>
    </rPh>
    <rPh sb="19" eb="21">
      <t>ジギョウ</t>
    </rPh>
    <phoneticPr fontId="1"/>
  </si>
  <si>
    <t>補助</t>
    <rPh sb="0" eb="2">
      <t>ホジョ</t>
    </rPh>
    <phoneticPr fontId="1"/>
  </si>
  <si>
    <t>保佐</t>
    <rPh sb="0" eb="2">
      <t>ホサ</t>
    </rPh>
    <phoneticPr fontId="1"/>
  </si>
  <si>
    <t>成年後見</t>
    <rPh sb="0" eb="2">
      <t>セイネン</t>
    </rPh>
    <rPh sb="2" eb="4">
      <t>コウケン</t>
    </rPh>
    <phoneticPr fontId="1"/>
  </si>
  <si>
    <t>成年後見人等</t>
    <rPh sb="0" eb="2">
      <t>セイネン</t>
    </rPh>
    <rPh sb="2" eb="4">
      <t>コウケン</t>
    </rPh>
    <rPh sb="4" eb="5">
      <t>ニン</t>
    </rPh>
    <rPh sb="5" eb="6">
      <t>トウ</t>
    </rPh>
    <phoneticPr fontId="1"/>
  </si>
  <si>
    <t>後期高齢者医療</t>
    <rPh sb="0" eb="2">
      <t>コウキ</t>
    </rPh>
    <rPh sb="2" eb="5">
      <t>コウレイシャ</t>
    </rPh>
    <rPh sb="5" eb="7">
      <t>イリョウ</t>
    </rPh>
    <phoneticPr fontId="1"/>
  </si>
  <si>
    <t>国保</t>
    <rPh sb="0" eb="2">
      <t>コクホ</t>
    </rPh>
    <phoneticPr fontId="1"/>
  </si>
  <si>
    <t>組合健保</t>
    <rPh sb="0" eb="2">
      <t>クミアイ</t>
    </rPh>
    <rPh sb="2" eb="4">
      <t>ケンポ</t>
    </rPh>
    <phoneticPr fontId="1"/>
  </si>
  <si>
    <t>私立学校共済</t>
    <rPh sb="0" eb="2">
      <t>シリツ</t>
    </rPh>
    <rPh sb="2" eb="4">
      <t>ガッコウ</t>
    </rPh>
    <rPh sb="4" eb="6">
      <t>キョウサイ</t>
    </rPh>
    <phoneticPr fontId="1"/>
  </si>
  <si>
    <t>国公共済</t>
    <rPh sb="0" eb="1">
      <t>クニ</t>
    </rPh>
    <rPh sb="1" eb="2">
      <t>コウ</t>
    </rPh>
    <rPh sb="2" eb="4">
      <t>キョウサイ</t>
    </rPh>
    <phoneticPr fontId="1"/>
  </si>
  <si>
    <t>協会けんぽ(旧・政管健保)</t>
    <rPh sb="0" eb="2">
      <t>キョウカイ</t>
    </rPh>
    <rPh sb="6" eb="7">
      <t>キュウ</t>
    </rPh>
    <rPh sb="8" eb="12">
      <t>セイカンケンポ</t>
    </rPh>
    <phoneticPr fontId="1"/>
  </si>
  <si>
    <t>日雇い</t>
    <rPh sb="0" eb="2">
      <t>ヒヤト</t>
    </rPh>
    <phoneticPr fontId="1"/>
  </si>
  <si>
    <t>地方共済</t>
    <rPh sb="0" eb="2">
      <t>チホウ</t>
    </rPh>
    <rPh sb="2" eb="4">
      <t>キョウサイ</t>
    </rPh>
    <phoneticPr fontId="1"/>
  </si>
  <si>
    <t>船員</t>
    <rPh sb="0" eb="2">
      <t>センイン</t>
    </rPh>
    <phoneticPr fontId="1"/>
  </si>
  <si>
    <t>労災保険 ⇒</t>
    <rPh sb="0" eb="2">
      <t>ロウサイ</t>
    </rPh>
    <rPh sb="2" eb="4">
      <t>ホケン</t>
    </rPh>
    <phoneticPr fontId="1"/>
  </si>
  <si>
    <t>成年後見制度 ⇒</t>
    <rPh sb="0" eb="2">
      <t>セイネン</t>
    </rPh>
    <rPh sb="2" eb="4">
      <t>コウケン</t>
    </rPh>
    <rPh sb="4" eb="6">
      <t>セイド</t>
    </rPh>
    <phoneticPr fontId="1"/>
  </si>
  <si>
    <t>その他</t>
    <rPh sb="2" eb="3">
      <t>タ</t>
    </rPh>
    <phoneticPr fontId="1"/>
  </si>
  <si>
    <t>健康保険</t>
    <rPh sb="0" eb="2">
      <t>ケンコウ</t>
    </rPh>
    <rPh sb="2" eb="4">
      <t>ホケン</t>
    </rPh>
    <phoneticPr fontId="1"/>
  </si>
  <si>
    <t>制度利用状況</t>
    <rPh sb="0" eb="2">
      <t>セイド</t>
    </rPh>
    <rPh sb="2" eb="4">
      <t>リヨウ</t>
    </rPh>
    <rPh sb="4" eb="6">
      <t>ジョウキョウ</t>
    </rPh>
    <phoneticPr fontId="1"/>
  </si>
  <si>
    <t>❹住居等の状況</t>
    <rPh sb="1" eb="3">
      <t>ジュウキョ</t>
    </rPh>
    <rPh sb="3" eb="4">
      <t>トウ</t>
    </rPh>
    <rPh sb="5" eb="7">
      <t>ジョウキョウ</t>
    </rPh>
    <phoneticPr fontId="1"/>
  </si>
  <si>
    <r>
      <rPr>
        <sz val="20"/>
        <color theme="1"/>
        <rFont val="Segoe UI Symbol"/>
        <family val="3"/>
      </rPr>
      <t>❸</t>
    </r>
    <r>
      <rPr>
        <sz val="20"/>
        <color theme="1"/>
        <rFont val="BIZ UDPゴシック"/>
        <family val="3"/>
        <charset val="128"/>
      </rPr>
      <t>サービス利用状況</t>
    </r>
    <rPh sb="5" eb="9">
      <t>リヨウジョウキョウ</t>
    </rPh>
    <phoneticPr fontId="1"/>
  </si>
  <si>
    <t>賃貸</t>
    <rPh sb="0" eb="2">
      <t>チンタイ</t>
    </rPh>
    <phoneticPr fontId="1"/>
  </si>
  <si>
    <t>所有</t>
    <rPh sb="0" eb="2">
      <t>ショユウ</t>
    </rPh>
    <phoneticPr fontId="1"/>
  </si>
  <si>
    <t>社宅等</t>
    <rPh sb="0" eb="2">
      <t>シャタク</t>
    </rPh>
    <rPh sb="2" eb="3">
      <t>トウ</t>
    </rPh>
    <phoneticPr fontId="1"/>
  </si>
  <si>
    <t>公営住宅</t>
    <rPh sb="0" eb="2">
      <t>コウエイ</t>
    </rPh>
    <rPh sb="2" eb="4">
      <t>ジュウタク</t>
    </rPh>
    <phoneticPr fontId="1"/>
  </si>
  <si>
    <t>ア.</t>
    <phoneticPr fontId="1"/>
  </si>
  <si>
    <t>イ．</t>
    <phoneticPr fontId="1"/>
  </si>
  <si>
    <t>ウ．</t>
    <phoneticPr fontId="1"/>
  </si>
  <si>
    <t>エ．</t>
    <phoneticPr fontId="1"/>
  </si>
  <si>
    <t>オ．</t>
    <phoneticPr fontId="1"/>
  </si>
  <si>
    <t>居室等の状況</t>
    <rPh sb="0" eb="2">
      <t>キョシツ</t>
    </rPh>
    <rPh sb="2" eb="3">
      <t>トウ</t>
    </rPh>
    <rPh sb="4" eb="6">
      <t>ジョウキョウ</t>
    </rPh>
    <phoneticPr fontId="1"/>
  </si>
  <si>
    <t>手すり</t>
    <rPh sb="0" eb="1">
      <t>テ</t>
    </rPh>
    <phoneticPr fontId="1"/>
  </si>
  <si>
    <t>トイレまでの段差</t>
    <rPh sb="6" eb="8">
      <t>ダンサ</t>
    </rPh>
    <phoneticPr fontId="1"/>
  </si>
  <si>
    <t>移動手段</t>
    <rPh sb="0" eb="2">
      <t>イドウ</t>
    </rPh>
    <rPh sb="2" eb="4">
      <t>シュダン</t>
    </rPh>
    <phoneticPr fontId="1"/>
  </si>
  <si>
    <t>浴室までの段差</t>
    <rPh sb="0" eb="2">
      <t>ヨクシツ</t>
    </rPh>
    <rPh sb="5" eb="7">
      <t>ダンサ</t>
    </rPh>
    <phoneticPr fontId="1"/>
  </si>
  <si>
    <t>浴室</t>
    <rPh sb="0" eb="2">
      <t>ヨクシツ</t>
    </rPh>
    <phoneticPr fontId="1"/>
  </si>
  <si>
    <t>諸設備</t>
    <rPh sb="0" eb="1">
      <t>ショ</t>
    </rPh>
    <rPh sb="1" eb="3">
      <t>セツビ</t>
    </rPh>
    <phoneticPr fontId="1"/>
  </si>
  <si>
    <t>調理器具</t>
    <rPh sb="0" eb="2">
      <t>チョウリ</t>
    </rPh>
    <rPh sb="2" eb="4">
      <t>キグ</t>
    </rPh>
    <phoneticPr fontId="1"/>
  </si>
  <si>
    <t>ガス</t>
    <phoneticPr fontId="1"/>
  </si>
  <si>
    <t>IH</t>
    <phoneticPr fontId="1"/>
  </si>
  <si>
    <t>暖房器具</t>
    <rPh sb="0" eb="2">
      <t>ダンボウ</t>
    </rPh>
    <rPh sb="2" eb="4">
      <t>キグ</t>
    </rPh>
    <phoneticPr fontId="1"/>
  </si>
  <si>
    <t>電気</t>
    <rPh sb="0" eb="2">
      <t>デンキ</t>
    </rPh>
    <phoneticPr fontId="1"/>
  </si>
  <si>
    <t>灯油</t>
    <rPh sb="0" eb="2">
      <t>トウユ</t>
    </rPh>
    <phoneticPr fontId="1"/>
  </si>
  <si>
    <t>【周辺環境・立地環境・その他住居に関する特記事項】</t>
    <rPh sb="1" eb="3">
      <t>シュウヘン</t>
    </rPh>
    <rPh sb="3" eb="5">
      <t>カンキョウ</t>
    </rPh>
    <rPh sb="6" eb="8">
      <t>リッチ</t>
    </rPh>
    <rPh sb="8" eb="10">
      <t>カンキョウ</t>
    </rPh>
    <rPh sb="13" eb="14">
      <t>タ</t>
    </rPh>
    <rPh sb="14" eb="16">
      <t>ジュウキョ</t>
    </rPh>
    <rPh sb="17" eb="18">
      <t>カン</t>
    </rPh>
    <rPh sb="20" eb="22">
      <t>トッキ</t>
    </rPh>
    <rPh sb="22" eb="24">
      <t>ジコウ</t>
    </rPh>
    <phoneticPr fontId="1"/>
  </si>
  <si>
    <r>
      <rPr>
        <b/>
        <sz val="10"/>
        <color theme="1"/>
        <rFont val="游ゴシック"/>
        <family val="3"/>
        <charset val="128"/>
        <scheme val="minor"/>
      </rPr>
      <t xml:space="preserve">家屋（居室を含む）見取り図 </t>
    </r>
    <r>
      <rPr>
        <b/>
        <sz val="9"/>
        <color theme="1"/>
        <rFont val="游ゴシック"/>
        <family val="3"/>
        <charset val="128"/>
        <scheme val="minor"/>
      </rPr>
      <t xml:space="preserve">
</t>
    </r>
    <r>
      <rPr>
        <b/>
        <sz val="8"/>
        <color theme="1"/>
        <rFont val="游ゴシック"/>
        <family val="3"/>
        <charset val="128"/>
        <scheme val="minor"/>
      </rPr>
      <t>※段差には▲を記入</t>
    </r>
    <rPh sb="0" eb="2">
      <t>カオク</t>
    </rPh>
    <rPh sb="3" eb="5">
      <t>キョシツ</t>
    </rPh>
    <rPh sb="6" eb="7">
      <t>フク</t>
    </rPh>
    <rPh sb="9" eb="11">
      <t>ミト</t>
    </rPh>
    <rPh sb="12" eb="13">
      <t>ズ</t>
    </rPh>
    <rPh sb="16" eb="18">
      <t>ダンサ</t>
    </rPh>
    <rPh sb="22" eb="24">
      <t>キニュウ</t>
    </rPh>
    <phoneticPr fontId="1"/>
  </si>
  <si>
    <t>モニタリングシート</t>
    <phoneticPr fontId="73"/>
  </si>
  <si>
    <t>利用者氏名</t>
    <rPh sb="0" eb="3">
      <t>リヨウシャ</t>
    </rPh>
    <rPh sb="3" eb="5">
      <t>シメイ</t>
    </rPh>
    <phoneticPr fontId="73"/>
  </si>
  <si>
    <t>様</t>
    <rPh sb="0" eb="1">
      <t>サマ</t>
    </rPh>
    <phoneticPr fontId="73"/>
  </si>
  <si>
    <t>記録者（</t>
    <phoneticPr fontId="73"/>
  </si>
  <si>
    <t>)</t>
    <phoneticPr fontId="73"/>
  </si>
  <si>
    <t>ケアプランの短期目標期間</t>
    <rPh sb="6" eb="8">
      <t>タンキ</t>
    </rPh>
    <rPh sb="8" eb="10">
      <t>モクヒョウ</t>
    </rPh>
    <rPh sb="10" eb="12">
      <t>キカン</t>
    </rPh>
    <phoneticPr fontId="73"/>
  </si>
  <si>
    <t>まで</t>
    <phoneticPr fontId="73"/>
  </si>
  <si>
    <r>
      <t xml:space="preserve"> (</t>
    </r>
    <r>
      <rPr>
        <sz val="12"/>
        <color theme="1"/>
        <rFont val="游ゴシック"/>
        <family val="3"/>
        <charset val="128"/>
        <scheme val="minor"/>
      </rPr>
      <t xml:space="preserve">     </t>
    </r>
    <r>
      <rPr>
        <sz val="9"/>
        <color theme="1"/>
        <rFont val="游ゴシック"/>
        <family val="2"/>
        <scheme val="minor"/>
      </rPr>
      <t xml:space="preserve"> 　</t>
    </r>
    <phoneticPr fontId="73"/>
  </si>
  <si>
    <t xml:space="preserve"> )月度モニタリング</t>
    <phoneticPr fontId="73"/>
  </si>
  <si>
    <t>確認方法</t>
    <rPh sb="0" eb="2">
      <t>カクニン</t>
    </rPh>
    <rPh sb="2" eb="4">
      <t>ホウホウ</t>
    </rPh>
    <phoneticPr fontId="73"/>
  </si>
  <si>
    <t>実施日</t>
    <rPh sb="0" eb="2">
      <t>ジッシ</t>
    </rPh>
    <phoneticPr fontId="73"/>
  </si>
  <si>
    <t>特記：</t>
    <rPh sb="0" eb="2">
      <t>トッキ</t>
    </rPh>
    <phoneticPr fontId="73"/>
  </si>
  <si>
    <t xml:space="preserve">( </t>
  </si>
  <si>
    <t xml:space="preserve"> )月分</t>
    <rPh sb="2" eb="4">
      <t>ガツブン</t>
    </rPh>
    <phoneticPr fontId="73"/>
  </si>
  <si>
    <t>利用票の配布</t>
    <phoneticPr fontId="73"/>
  </si>
  <si>
    <t>利用していた</t>
    <phoneticPr fontId="1"/>
  </si>
  <si>
    <t>一部利用していなかった</t>
    <phoneticPr fontId="1"/>
  </si>
  <si>
    <t>①ケアプランに添ったサービスの利用状況（　 　）</t>
    <rPh sb="7" eb="8">
      <t>ソ</t>
    </rPh>
    <rPh sb="15" eb="17">
      <t>リヨウ</t>
    </rPh>
    <rPh sb="17" eb="19">
      <t>ジョウキョウ</t>
    </rPh>
    <phoneticPr fontId="73"/>
  </si>
  <si>
    <t>状況に変化なし</t>
    <rPh sb="0" eb="2">
      <t>ジョウキョウ</t>
    </rPh>
    <rPh sb="3" eb="5">
      <t>ヘンカ</t>
    </rPh>
    <phoneticPr fontId="1"/>
  </si>
  <si>
    <t>②本人のADLや生活環境、病状の変化（</t>
    <rPh sb="1" eb="3">
      <t>ホンニン</t>
    </rPh>
    <rPh sb="8" eb="10">
      <t>セイカツ</t>
    </rPh>
    <rPh sb="10" eb="12">
      <t>カンキョウ</t>
    </rPh>
    <rPh sb="13" eb="15">
      <t>ビョウジョウ</t>
    </rPh>
    <rPh sb="16" eb="18">
      <t>ヘンカ</t>
    </rPh>
    <phoneticPr fontId="73"/>
  </si>
  <si>
    <t>一部状態に変化あり</t>
    <rPh sb="0" eb="2">
      <t>イチブ</t>
    </rPh>
    <rPh sb="2" eb="4">
      <t>ジョウタイ</t>
    </rPh>
    <rPh sb="5" eb="7">
      <t>ヘンカ</t>
    </rPh>
    <phoneticPr fontId="1"/>
  </si>
  <si>
    <t>大きく状況に変化あり）</t>
    <rPh sb="0" eb="1">
      <t>オオ</t>
    </rPh>
    <rPh sb="3" eb="5">
      <t>ジョウキョウ</t>
    </rPh>
    <rPh sb="6" eb="8">
      <t>ヘンカ</t>
    </rPh>
    <phoneticPr fontId="1"/>
  </si>
  <si>
    <t xml:space="preserve">  利用していなかった）</t>
    <phoneticPr fontId="1"/>
  </si>
  <si>
    <t>③サービス提供内容の適切度（</t>
    <rPh sb="5" eb="7">
      <t>テイキョウ</t>
    </rPh>
    <rPh sb="7" eb="9">
      <t>ナイヨウ</t>
    </rPh>
    <rPh sb="10" eb="12">
      <t>テキセツ</t>
    </rPh>
    <rPh sb="12" eb="13">
      <t>ド</t>
    </rPh>
    <phoneticPr fontId="73"/>
  </si>
  <si>
    <t>適切</t>
    <rPh sb="0" eb="2">
      <t>テキセツ</t>
    </rPh>
    <phoneticPr fontId="1"/>
  </si>
  <si>
    <t>一部適切でない</t>
    <rPh sb="0" eb="2">
      <t>イチブ</t>
    </rPh>
    <rPh sb="2" eb="4">
      <t>テキセツ</t>
    </rPh>
    <phoneticPr fontId="1"/>
  </si>
  <si>
    <t>適切でない）</t>
    <rPh sb="0" eb="2">
      <t>テキセツ</t>
    </rPh>
    <phoneticPr fontId="1"/>
  </si>
  <si>
    <t>④サービス内容の満足度（</t>
    <rPh sb="5" eb="7">
      <t>ナイヨウ</t>
    </rPh>
    <rPh sb="8" eb="11">
      <t>マンゾクド</t>
    </rPh>
    <phoneticPr fontId="73"/>
  </si>
  <si>
    <t>満足している</t>
    <rPh sb="0" eb="2">
      <t>マンゾク</t>
    </rPh>
    <phoneticPr fontId="1"/>
  </si>
  <si>
    <t>一部不満足</t>
    <rPh sb="0" eb="2">
      <t>イチブ</t>
    </rPh>
    <rPh sb="2" eb="5">
      <t>フマンゾク</t>
    </rPh>
    <phoneticPr fontId="1"/>
  </si>
  <si>
    <t>不満足）</t>
    <rPh sb="0" eb="3">
      <t>フマンゾク</t>
    </rPh>
    <phoneticPr fontId="1"/>
  </si>
  <si>
    <t>⑤その他、新たな課題、要望などの相談（</t>
    <rPh sb="3" eb="4">
      <t>タ</t>
    </rPh>
    <rPh sb="5" eb="6">
      <t>アラ</t>
    </rPh>
    <rPh sb="8" eb="10">
      <t>カダイ</t>
    </rPh>
    <rPh sb="11" eb="13">
      <t>ヨウボウ</t>
    </rPh>
    <rPh sb="16" eb="18">
      <t>ソウダン</t>
    </rPh>
    <phoneticPr fontId="73"/>
  </si>
  <si>
    <t>特になし</t>
    <rPh sb="0" eb="1">
      <t>トク</t>
    </rPh>
    <phoneticPr fontId="1"/>
  </si>
  <si>
    <t>課題あり</t>
    <rPh sb="0" eb="2">
      <t>カダイ</t>
    </rPh>
    <phoneticPr fontId="1"/>
  </si>
  <si>
    <t>要望あり）　</t>
    <rPh sb="0" eb="2">
      <t>ヨウボウ</t>
    </rPh>
    <phoneticPr fontId="1"/>
  </si>
  <si>
    <t>済</t>
    <rPh sb="0" eb="1">
      <t>スミ</t>
    </rPh>
    <phoneticPr fontId="1"/>
  </si>
  <si>
    <t>未</t>
    <rPh sb="0" eb="1">
      <t>ミ</t>
    </rPh>
    <phoneticPr fontId="1"/>
  </si>
  <si>
    <t>①</t>
    <phoneticPr fontId="1"/>
  </si>
  <si>
    <t>②</t>
    <phoneticPr fontId="1"/>
  </si>
  <si>
    <t>③</t>
    <phoneticPr fontId="1"/>
  </si>
  <si>
    <t>④</t>
    <phoneticPr fontId="1"/>
  </si>
  <si>
    <t>⑤</t>
    <phoneticPr fontId="1"/>
  </si>
  <si>
    <t>⑥</t>
    <phoneticPr fontId="1"/>
  </si>
  <si>
    <t>家庭環境</t>
    <rPh sb="0" eb="2">
      <t>カテイ</t>
    </rPh>
    <rPh sb="2" eb="4">
      <t>カンキョウ</t>
    </rPh>
    <phoneticPr fontId="1"/>
  </si>
  <si>
    <t>住居形態</t>
    <rPh sb="0" eb="2">
      <t>ジュウキョ</t>
    </rPh>
    <rPh sb="2" eb="4">
      <t>ケイタイ</t>
    </rPh>
    <phoneticPr fontId="1"/>
  </si>
  <si>
    <t>住居権利</t>
    <rPh sb="0" eb="2">
      <t>ジュウキョ</t>
    </rPh>
    <rPh sb="2" eb="4">
      <t>ケンリ</t>
    </rPh>
    <phoneticPr fontId="1"/>
  </si>
  <si>
    <t>専有居室</t>
    <rPh sb="0" eb="2">
      <t>センユウ</t>
    </rPh>
    <rPh sb="2" eb="4">
      <t>キョシツ</t>
    </rPh>
    <phoneticPr fontId="1"/>
  </si>
  <si>
    <t>冷暖房</t>
    <rPh sb="0" eb="3">
      <t>レイダンボウ</t>
    </rPh>
    <phoneticPr fontId="1"/>
  </si>
  <si>
    <t>カ．</t>
    <phoneticPr fontId="1"/>
  </si>
  <si>
    <t>就寝</t>
    <rPh sb="0" eb="2">
      <t>シュウシン</t>
    </rPh>
    <phoneticPr fontId="1"/>
  </si>
  <si>
    <t>キ．</t>
    <phoneticPr fontId="1"/>
  </si>
  <si>
    <t>居室段差</t>
    <rPh sb="0" eb="2">
      <t>キョシツ</t>
    </rPh>
    <rPh sb="2" eb="4">
      <t>ダンサ</t>
    </rPh>
    <phoneticPr fontId="1"/>
  </si>
  <si>
    <t>ク．</t>
    <phoneticPr fontId="1"/>
  </si>
  <si>
    <t>改修の必要性</t>
    <rPh sb="0" eb="2">
      <t>カイシュウ</t>
    </rPh>
    <rPh sb="3" eb="6">
      <t>ヒツヨウセイ</t>
    </rPh>
    <phoneticPr fontId="1"/>
  </si>
  <si>
    <t>ア．</t>
    <phoneticPr fontId="1"/>
  </si>
  <si>
    <t>様式</t>
    <rPh sb="0" eb="2">
      <t>ヨウシキ</t>
    </rPh>
    <phoneticPr fontId="1"/>
  </si>
  <si>
    <t>→</t>
    <phoneticPr fontId="1"/>
  </si>
  <si>
    <t>室内（福祉機器）</t>
    <rPh sb="0" eb="1">
      <t>シツ</t>
    </rPh>
    <rPh sb="1" eb="2">
      <t>ナイ</t>
    </rPh>
    <rPh sb="3" eb="5">
      <t>フクシ</t>
    </rPh>
    <rPh sb="5" eb="7">
      <t>キキ</t>
    </rPh>
    <phoneticPr fontId="1"/>
  </si>
  <si>
    <t>室外（福祉機器）</t>
    <rPh sb="0" eb="1">
      <t>シツ</t>
    </rPh>
    <rPh sb="1" eb="2">
      <t>ソト</t>
    </rPh>
    <rPh sb="3" eb="5">
      <t>フクシ</t>
    </rPh>
    <rPh sb="5" eb="7">
      <t>キキ</t>
    </rPh>
    <phoneticPr fontId="1"/>
  </si>
  <si>
    <t>自宅内設置</t>
    <rPh sb="0" eb="2">
      <t>ジタク</t>
    </rPh>
    <rPh sb="2" eb="3">
      <t>ナイ</t>
    </rPh>
    <rPh sb="3" eb="5">
      <t>セッチ</t>
    </rPh>
    <phoneticPr fontId="1"/>
  </si>
  <si>
    <t>❺本人の健康状態・受診等の状況</t>
    <rPh sb="1" eb="3">
      <t>ホンニン</t>
    </rPh>
    <rPh sb="4" eb="6">
      <t>ケンコウ</t>
    </rPh>
    <rPh sb="6" eb="8">
      <t>ジョウタイ</t>
    </rPh>
    <rPh sb="9" eb="11">
      <t>ジュシン</t>
    </rPh>
    <rPh sb="11" eb="12">
      <t>トウ</t>
    </rPh>
    <rPh sb="13" eb="15">
      <t>ジョウキョウ</t>
    </rPh>
    <phoneticPr fontId="1"/>
  </si>
  <si>
    <r>
      <t>既往歴・現症</t>
    </r>
    <r>
      <rPr>
        <b/>
        <sz val="10"/>
        <color theme="1"/>
        <rFont val="游ゴシック"/>
        <family val="3"/>
        <charset val="128"/>
        <scheme val="minor"/>
      </rPr>
      <t>（必要に応じ「主治医意見書」を転記</t>
    </r>
    <rPh sb="0" eb="2">
      <t>キオウ</t>
    </rPh>
    <rPh sb="2" eb="3">
      <t>レキ</t>
    </rPh>
    <rPh sb="4" eb="6">
      <t>ゲンショウ</t>
    </rPh>
    <rPh sb="7" eb="9">
      <t>ヒツヨウ</t>
    </rPh>
    <rPh sb="10" eb="11">
      <t>オウ</t>
    </rPh>
    <rPh sb="13" eb="16">
      <t>シュジイ</t>
    </rPh>
    <rPh sb="16" eb="19">
      <t>イケンショ</t>
    </rPh>
    <rPh sb="21" eb="23">
      <t>テンキ</t>
    </rPh>
    <phoneticPr fontId="1"/>
  </si>
  <si>
    <t>※要介護状態に関係がある既往歴および現症</t>
    <rPh sb="1" eb="4">
      <t>ヨウカイゴ</t>
    </rPh>
    <rPh sb="4" eb="6">
      <t>ジョウタイ</t>
    </rPh>
    <rPh sb="7" eb="9">
      <t>カンケイ</t>
    </rPh>
    <rPh sb="12" eb="14">
      <t>キオウ</t>
    </rPh>
    <rPh sb="14" eb="15">
      <t>レキ</t>
    </rPh>
    <rPh sb="18" eb="20">
      <t>ゲンショウ</t>
    </rPh>
    <phoneticPr fontId="1"/>
  </si>
  <si>
    <t>障害等の部位</t>
    <rPh sb="0" eb="2">
      <t>ショウガイ</t>
    </rPh>
    <rPh sb="2" eb="3">
      <t>トウ</t>
    </rPh>
    <rPh sb="4" eb="6">
      <t>ブイ</t>
    </rPh>
    <phoneticPr fontId="1"/>
  </si>
  <si>
    <t>身長</t>
    <rPh sb="0" eb="2">
      <t>シンチョウ</t>
    </rPh>
    <phoneticPr fontId="1"/>
  </si>
  <si>
    <t>kg</t>
    <phoneticPr fontId="1"/>
  </si>
  <si>
    <t>体重</t>
    <rPh sb="0" eb="2">
      <t>タイジュウ</t>
    </rPh>
    <phoneticPr fontId="1"/>
  </si>
  <si>
    <t>cm</t>
    <phoneticPr fontId="1"/>
  </si>
  <si>
    <t>歯の状況</t>
    <rPh sb="0" eb="1">
      <t>ハ</t>
    </rPh>
    <rPh sb="2" eb="4">
      <t>ジョウキョウ</t>
    </rPh>
    <phoneticPr fontId="1"/>
  </si>
  <si>
    <t>【特記、生活上配慮すべき課題など】</t>
    <rPh sb="1" eb="3">
      <t>トッキ</t>
    </rPh>
    <rPh sb="4" eb="6">
      <t>セイカツ</t>
    </rPh>
    <rPh sb="6" eb="7">
      <t>ジョウ</t>
    </rPh>
    <rPh sb="7" eb="9">
      <t>ハイリョ</t>
    </rPh>
    <rPh sb="12" eb="14">
      <t>カダイ</t>
    </rPh>
    <phoneticPr fontId="1"/>
  </si>
  <si>
    <r>
      <rPr>
        <b/>
        <sz val="10"/>
        <color theme="1"/>
        <rFont val="游ゴシック"/>
        <family val="3"/>
        <charset val="128"/>
        <scheme val="minor"/>
      </rPr>
      <t>相談、処方を受けている薬局</t>
    </r>
    <r>
      <rPr>
        <b/>
        <sz val="9"/>
        <color theme="1"/>
        <rFont val="游ゴシック"/>
        <family val="3"/>
        <charset val="128"/>
        <scheme val="minor"/>
      </rPr>
      <t xml:space="preserve">
</t>
    </r>
    <r>
      <rPr>
        <b/>
        <sz val="8"/>
        <color theme="1"/>
        <rFont val="游ゴシック"/>
        <family val="3"/>
        <charset val="128"/>
        <scheme val="minor"/>
      </rPr>
      <t>（かかりつけ薬局）</t>
    </r>
    <rPh sb="0" eb="2">
      <t>ソウダン</t>
    </rPh>
    <rPh sb="3" eb="5">
      <t>ショホウ</t>
    </rPh>
    <rPh sb="6" eb="7">
      <t>ウ</t>
    </rPh>
    <rPh sb="11" eb="13">
      <t>ヤッキョク</t>
    </rPh>
    <rPh sb="20" eb="22">
      <t>ヤッキョク</t>
    </rPh>
    <phoneticPr fontId="1"/>
  </si>
  <si>
    <t>緊急入院できる医療機関</t>
    <rPh sb="0" eb="2">
      <t>キンキュウ</t>
    </rPh>
    <rPh sb="2" eb="4">
      <t>ニュウイン</t>
    </rPh>
    <rPh sb="7" eb="9">
      <t>イリョウ</t>
    </rPh>
    <rPh sb="9" eb="11">
      <t>キカン</t>
    </rPh>
    <phoneticPr fontId="1"/>
  </si>
  <si>
    <t>往診可能な医療機関</t>
    <rPh sb="0" eb="2">
      <t>オウシン</t>
    </rPh>
    <rPh sb="2" eb="4">
      <t>カノウ</t>
    </rPh>
    <rPh sb="5" eb="7">
      <t>イリョウ</t>
    </rPh>
    <rPh sb="7" eb="9">
      <t>キカン</t>
    </rPh>
    <phoneticPr fontId="1"/>
  </si>
  <si>
    <t>加藤医院</t>
    <rPh sb="0" eb="2">
      <t>カトウ</t>
    </rPh>
    <rPh sb="2" eb="4">
      <t>イイン</t>
    </rPh>
    <phoneticPr fontId="1"/>
  </si>
  <si>
    <t>津生協病院</t>
    <rPh sb="0" eb="1">
      <t>ツ</t>
    </rPh>
    <rPh sb="1" eb="3">
      <t>セイキョウ</t>
    </rPh>
    <rPh sb="3" eb="5">
      <t>ビョウイン</t>
    </rPh>
    <phoneticPr fontId="1"/>
  </si>
  <si>
    <t>津ファミリークリニック</t>
    <rPh sb="0" eb="1">
      <t>ツ</t>
    </rPh>
    <phoneticPr fontId="1"/>
  </si>
  <si>
    <t>ローレル薬局</t>
    <rPh sb="4" eb="6">
      <t>ヤッキョク</t>
    </rPh>
    <phoneticPr fontId="1"/>
  </si>
  <si>
    <t>受診方法・留意点等</t>
    <rPh sb="0" eb="2">
      <t>ジュシン</t>
    </rPh>
    <rPh sb="2" eb="4">
      <t>ホウホウ</t>
    </rPh>
    <rPh sb="5" eb="8">
      <t>リュウイテン</t>
    </rPh>
    <rPh sb="8" eb="9">
      <t>トウ</t>
    </rPh>
    <phoneticPr fontId="1"/>
  </si>
  <si>
    <t>医療機関</t>
    <rPh sb="0" eb="2">
      <t>イリョウ</t>
    </rPh>
    <rPh sb="2" eb="4">
      <t>キカン</t>
    </rPh>
    <phoneticPr fontId="1"/>
  </si>
  <si>
    <t>診療科</t>
    <rPh sb="0" eb="3">
      <t>シンリョウカ</t>
    </rPh>
    <phoneticPr fontId="1"/>
  </si>
  <si>
    <t>主治医</t>
    <rPh sb="0" eb="3">
      <t>シュジイ</t>
    </rPh>
    <phoneticPr fontId="1"/>
  </si>
  <si>
    <t>受診病院</t>
    <rPh sb="0" eb="2">
      <t>ジュシン</t>
    </rPh>
    <rPh sb="2" eb="4">
      <t>ビョウイン</t>
    </rPh>
    <phoneticPr fontId="1"/>
  </si>
  <si>
    <t>受診状況</t>
    <rPh sb="0" eb="2">
      <t>ジュシン</t>
    </rPh>
    <rPh sb="2" eb="4">
      <t>ジョウキョウ</t>
    </rPh>
    <phoneticPr fontId="1"/>
  </si>
  <si>
    <t>受診頻度</t>
    <rPh sb="0" eb="2">
      <t>ジュシン</t>
    </rPh>
    <rPh sb="2" eb="4">
      <t>ヒンド</t>
    </rPh>
    <phoneticPr fontId="1"/>
  </si>
  <si>
    <t>薬の有無</t>
    <rPh sb="0" eb="1">
      <t>クスリ</t>
    </rPh>
    <rPh sb="2" eb="4">
      <t>ウム</t>
    </rPh>
    <phoneticPr fontId="1"/>
  </si>
  <si>
    <t>病名</t>
    <rPh sb="0" eb="2">
      <t>ビョウメイ</t>
    </rPh>
    <phoneticPr fontId="1"/>
  </si>
  <si>
    <t>通院</t>
    <rPh sb="0" eb="2">
      <t>ツウイン</t>
    </rPh>
    <phoneticPr fontId="1"/>
  </si>
  <si>
    <t>往診</t>
    <rPh sb="0" eb="2">
      <t>オウシン</t>
    </rPh>
    <phoneticPr fontId="1"/>
  </si>
  <si>
    <t>定期(</t>
    <rPh sb="0" eb="2">
      <t>テイキ</t>
    </rPh>
    <phoneticPr fontId="1"/>
  </si>
  <si>
    <t>月</t>
    <rPh sb="0" eb="1">
      <t>ツキ</t>
    </rPh>
    <phoneticPr fontId="1"/>
  </si>
  <si>
    <t>週</t>
    <rPh sb="0" eb="1">
      <t>シュウ</t>
    </rPh>
    <phoneticPr fontId="1"/>
  </si>
  <si>
    <t>回）</t>
    <rPh sb="0" eb="1">
      <t>カイ</t>
    </rPh>
    <phoneticPr fontId="1"/>
  </si>
  <si>
    <t>不定期</t>
    <rPh sb="0" eb="3">
      <t>フテイキ</t>
    </rPh>
    <phoneticPr fontId="1"/>
  </si>
  <si>
    <r>
      <t xml:space="preserve">発症時期
</t>
    </r>
    <r>
      <rPr>
        <b/>
        <sz val="6"/>
        <color theme="1"/>
        <rFont val="游ゴシック"/>
        <family val="3"/>
        <charset val="128"/>
        <scheme val="minor"/>
      </rPr>
      <t>＊主治医意見書を参考に記入</t>
    </r>
    <rPh sb="0" eb="2">
      <t>ハッショウ</t>
    </rPh>
    <rPh sb="2" eb="4">
      <t>ジキ</t>
    </rPh>
    <rPh sb="6" eb="9">
      <t>シュジイ</t>
    </rPh>
    <rPh sb="9" eb="12">
      <t>イケンショ</t>
    </rPh>
    <rPh sb="13" eb="15">
      <t>サンコウ</t>
    </rPh>
    <rPh sb="16" eb="18">
      <t>キニュウ</t>
    </rPh>
    <phoneticPr fontId="1"/>
  </si>
  <si>
    <r>
      <t>【特記事項】</t>
    </r>
    <r>
      <rPr>
        <sz val="10"/>
        <color theme="1"/>
        <rFont val="游ゴシック"/>
        <family val="3"/>
        <charset val="128"/>
        <scheme val="minor"/>
      </rPr>
      <t>（病気やけが、障害等に関わる事項。改善の可能性等）</t>
    </r>
    <rPh sb="1" eb="3">
      <t>トッキ</t>
    </rPh>
    <rPh sb="3" eb="5">
      <t>ジコウ</t>
    </rPh>
    <rPh sb="7" eb="9">
      <t>ビョウキ</t>
    </rPh>
    <rPh sb="13" eb="15">
      <t>ショウガイ</t>
    </rPh>
    <rPh sb="15" eb="16">
      <t>トウ</t>
    </rPh>
    <rPh sb="17" eb="18">
      <t>カカ</t>
    </rPh>
    <rPh sb="20" eb="22">
      <t>ジコウ</t>
    </rPh>
    <rPh sb="23" eb="25">
      <t>カイゼン</t>
    </rPh>
    <rPh sb="26" eb="29">
      <t>カノウセイ</t>
    </rPh>
    <rPh sb="29" eb="30">
      <t>トウ</t>
    </rPh>
    <phoneticPr fontId="1"/>
  </si>
  <si>
    <t>現在の受診状況（歯科含む）</t>
    <rPh sb="0" eb="2">
      <t>ゲンザイ</t>
    </rPh>
    <rPh sb="3" eb="5">
      <t>ジュシン</t>
    </rPh>
    <rPh sb="5" eb="7">
      <t>ジョウキョウ</t>
    </rPh>
    <rPh sb="8" eb="10">
      <t>シカ</t>
    </rPh>
    <rPh sb="10" eb="11">
      <t>フク</t>
    </rPh>
    <phoneticPr fontId="1"/>
  </si>
  <si>
    <t>主治医からの指導・助言事項。視力障害、聴力障害、麻痺、関節の動き、褥瘡、その他皮膚疾患(以上要介護認定項目)、外傷、内部障害、言語障害、動悸・息切れ、便秘、尿失禁、便失禁、摂食嚥下障害、口腔(炎症・痛み・出血・口臭・虫歯・不良義歯等)に留意のこと。</t>
    <rPh sb="0" eb="3">
      <t>シュジイ</t>
    </rPh>
    <rPh sb="6" eb="8">
      <t>シドウ</t>
    </rPh>
    <rPh sb="9" eb="11">
      <t>ジョゲン</t>
    </rPh>
    <rPh sb="11" eb="13">
      <t>ジコウ</t>
    </rPh>
    <rPh sb="14" eb="16">
      <t>シリョク</t>
    </rPh>
    <rPh sb="16" eb="18">
      <t>ショウガイ</t>
    </rPh>
    <rPh sb="19" eb="21">
      <t>チョウリョク</t>
    </rPh>
    <rPh sb="21" eb="23">
      <t>ショウガイ</t>
    </rPh>
    <rPh sb="24" eb="26">
      <t>マヒ</t>
    </rPh>
    <rPh sb="27" eb="29">
      <t>カンセツ</t>
    </rPh>
    <rPh sb="30" eb="31">
      <t>ウゴ</t>
    </rPh>
    <rPh sb="33" eb="35">
      <t>ジョクソウ</t>
    </rPh>
    <rPh sb="38" eb="39">
      <t>タ</t>
    </rPh>
    <rPh sb="39" eb="41">
      <t>ヒフ</t>
    </rPh>
    <rPh sb="41" eb="43">
      <t>シッカン</t>
    </rPh>
    <rPh sb="44" eb="46">
      <t>イジョウ</t>
    </rPh>
    <rPh sb="46" eb="47">
      <t>ヨウ</t>
    </rPh>
    <rPh sb="47" eb="49">
      <t>カイゴ</t>
    </rPh>
    <rPh sb="49" eb="51">
      <t>ニンテイ</t>
    </rPh>
    <rPh sb="51" eb="53">
      <t>コウモク</t>
    </rPh>
    <rPh sb="55" eb="57">
      <t>ガイショウ</t>
    </rPh>
    <rPh sb="58" eb="60">
      <t>ナイブ</t>
    </rPh>
    <rPh sb="60" eb="62">
      <t>ショウガイ</t>
    </rPh>
    <rPh sb="63" eb="65">
      <t>ゲンゴ</t>
    </rPh>
    <rPh sb="65" eb="67">
      <t>ショウガイ</t>
    </rPh>
    <rPh sb="68" eb="70">
      <t>ドウキ</t>
    </rPh>
    <rPh sb="71" eb="73">
      <t>イキギ</t>
    </rPh>
    <rPh sb="75" eb="77">
      <t>ベンピ</t>
    </rPh>
    <rPh sb="78" eb="81">
      <t>ニョウシッキン</t>
    </rPh>
    <rPh sb="82" eb="83">
      <t>ベン</t>
    </rPh>
    <rPh sb="83" eb="85">
      <t>シッキン</t>
    </rPh>
    <rPh sb="86" eb="88">
      <t>セッショク</t>
    </rPh>
    <rPh sb="88" eb="90">
      <t>エンゲ</t>
    </rPh>
    <rPh sb="90" eb="92">
      <t>ショウガイ</t>
    </rPh>
    <rPh sb="93" eb="95">
      <t>コウクウ</t>
    </rPh>
    <rPh sb="96" eb="98">
      <t>エンショウ</t>
    </rPh>
    <rPh sb="99" eb="100">
      <t>イタ</t>
    </rPh>
    <rPh sb="102" eb="104">
      <t>シュッケツ</t>
    </rPh>
    <rPh sb="105" eb="107">
      <t>コウシュウ</t>
    </rPh>
    <rPh sb="108" eb="110">
      <t>ムシバ</t>
    </rPh>
    <rPh sb="111" eb="113">
      <t>フリョウ</t>
    </rPh>
    <rPh sb="113" eb="115">
      <t>ギシ</t>
    </rPh>
    <rPh sb="115" eb="116">
      <t>トウ</t>
    </rPh>
    <rPh sb="118" eb="120">
      <t>リュウイ</t>
    </rPh>
    <phoneticPr fontId="1"/>
  </si>
  <si>
    <t>△障害部位</t>
    <rPh sb="1" eb="3">
      <t>ショウガイ</t>
    </rPh>
    <rPh sb="3" eb="5">
      <t>ブイ</t>
    </rPh>
    <phoneticPr fontId="1"/>
  </si>
  <si>
    <t>×欠損部位</t>
    <rPh sb="1" eb="3">
      <t>ケッソン</t>
    </rPh>
    <rPh sb="3" eb="5">
      <t>ブイ</t>
    </rPh>
    <phoneticPr fontId="1"/>
  </si>
  <si>
    <t>●褥瘡部位</t>
    <rPh sb="1" eb="3">
      <t>ジョクソウ</t>
    </rPh>
    <rPh sb="3" eb="5">
      <t>ブイ</t>
    </rPh>
    <phoneticPr fontId="1"/>
  </si>
  <si>
    <t>（正面）</t>
    <rPh sb="1" eb="3">
      <t>ショウメン</t>
    </rPh>
    <phoneticPr fontId="1"/>
  </si>
  <si>
    <t>（背面）</t>
    <rPh sb="1" eb="3">
      <t>ハイメン</t>
    </rPh>
    <phoneticPr fontId="1"/>
  </si>
  <si>
    <t>様</t>
    <rPh sb="0" eb="1">
      <t>サマ</t>
    </rPh>
    <phoneticPr fontId="1"/>
  </si>
  <si>
    <t>自歯</t>
    <rPh sb="0" eb="1">
      <t>ジ</t>
    </rPh>
    <rPh sb="1" eb="2">
      <t>ハ</t>
    </rPh>
    <phoneticPr fontId="1"/>
  </si>
  <si>
    <t>義歯</t>
    <rPh sb="0" eb="2">
      <t>ギシ</t>
    </rPh>
    <phoneticPr fontId="1"/>
  </si>
  <si>
    <t>⇒6-②生活機能（食事・排泄等）</t>
    <rPh sb="4" eb="6">
      <t>セイカツ</t>
    </rPh>
    <rPh sb="6" eb="8">
      <t>キノウ</t>
    </rPh>
    <rPh sb="9" eb="11">
      <t>ショクジ</t>
    </rPh>
    <rPh sb="12" eb="14">
      <t>ハイセツ</t>
    </rPh>
    <rPh sb="14" eb="15">
      <t>トウ</t>
    </rPh>
    <phoneticPr fontId="1"/>
  </si>
  <si>
    <t>入居中の安濃津ろまんはバリアフリーである。</t>
    <rPh sb="0" eb="2">
      <t>ニュウキョ</t>
    </rPh>
    <rPh sb="2" eb="3">
      <t>チュウ</t>
    </rPh>
    <rPh sb="4" eb="6">
      <t>アノウ</t>
    </rPh>
    <rPh sb="6" eb="7">
      <t>ツ</t>
    </rPh>
    <phoneticPr fontId="1"/>
  </si>
  <si>
    <t>段差有</t>
    <rPh sb="0" eb="2">
      <t>ダンサ</t>
    </rPh>
    <rPh sb="2" eb="3">
      <t>アリ</t>
    </rPh>
    <phoneticPr fontId="1"/>
  </si>
  <si>
    <t>段差無</t>
    <rPh sb="0" eb="2">
      <t>ダンサ</t>
    </rPh>
    <rPh sb="2" eb="3">
      <t>ナシ</t>
    </rPh>
    <phoneticPr fontId="1"/>
  </si>
  <si>
    <t>不明</t>
    <rPh sb="0" eb="2">
      <t>フメイ</t>
    </rPh>
    <phoneticPr fontId="1"/>
  </si>
  <si>
    <t>医療保険証</t>
    <rPh sb="0" eb="2">
      <t>イリョウ</t>
    </rPh>
    <rPh sb="2" eb="4">
      <t>ホケン</t>
    </rPh>
    <rPh sb="4" eb="5">
      <t>ショウ</t>
    </rPh>
    <phoneticPr fontId="1"/>
  </si>
  <si>
    <t>外出可否</t>
    <rPh sb="0" eb="2">
      <t>ガイシュツ</t>
    </rPh>
    <rPh sb="2" eb="4">
      <t>カヒ</t>
    </rPh>
    <phoneticPr fontId="1"/>
  </si>
  <si>
    <t>介護タクシー利用</t>
    <rPh sb="0" eb="2">
      <t>カイゴ</t>
    </rPh>
    <rPh sb="6" eb="8">
      <t>リヨウ</t>
    </rPh>
    <phoneticPr fontId="1"/>
  </si>
  <si>
    <t>本人管理</t>
    <rPh sb="0" eb="2">
      <t>ホンニン</t>
    </rPh>
    <rPh sb="2" eb="4">
      <t>カンリ</t>
    </rPh>
    <phoneticPr fontId="1"/>
  </si>
  <si>
    <t>家族管理</t>
    <rPh sb="0" eb="2">
      <t>カゾク</t>
    </rPh>
    <rPh sb="2" eb="4">
      <t>カンリ</t>
    </rPh>
    <phoneticPr fontId="1"/>
  </si>
  <si>
    <t>事務所管理</t>
    <rPh sb="0" eb="2">
      <t>ジム</t>
    </rPh>
    <rPh sb="2" eb="3">
      <t>ショ</t>
    </rPh>
    <rPh sb="3" eb="5">
      <t>カンリ</t>
    </rPh>
    <phoneticPr fontId="1"/>
  </si>
  <si>
    <t>不可</t>
    <rPh sb="0" eb="2">
      <t>フカ</t>
    </rPh>
    <phoneticPr fontId="1"/>
  </si>
  <si>
    <t>ひとりで可</t>
    <rPh sb="4" eb="5">
      <t>カ</t>
    </rPh>
    <phoneticPr fontId="1"/>
  </si>
  <si>
    <t>介護タクシー付き添いで可</t>
    <rPh sb="0" eb="2">
      <t>カイゴ</t>
    </rPh>
    <rPh sb="6" eb="7">
      <t>ツ</t>
    </rPh>
    <rPh sb="8" eb="9">
      <t>ソ</t>
    </rPh>
    <rPh sb="11" eb="12">
      <t>カ</t>
    </rPh>
    <phoneticPr fontId="1"/>
  </si>
  <si>
    <t>その他（詳細下記）</t>
    <rPh sb="2" eb="3">
      <t>タ</t>
    </rPh>
    <rPh sb="4" eb="6">
      <t>ショウサイ</t>
    </rPh>
    <rPh sb="6" eb="8">
      <t>カキ</t>
    </rPh>
    <phoneticPr fontId="1"/>
  </si>
  <si>
    <t>新規</t>
    <rPh sb="0" eb="2">
      <t>シンキ</t>
    </rPh>
    <phoneticPr fontId="1"/>
  </si>
  <si>
    <t>区分変更</t>
    <rPh sb="0" eb="2">
      <t>クブン</t>
    </rPh>
    <rPh sb="2" eb="4">
      <t>ヘンコウ</t>
    </rPh>
    <phoneticPr fontId="1"/>
  </si>
  <si>
    <t>更新</t>
    <rPh sb="0" eb="2">
      <t>コウシン</t>
    </rPh>
    <phoneticPr fontId="1"/>
  </si>
  <si>
    <t>居宅サービス事業所の選択に関する説明に係る確認書</t>
    <phoneticPr fontId="1"/>
  </si>
  <si>
    <t>認定情報取り寄せ
（介護サービス計画作成に係る資料提供申請書）</t>
    <rPh sb="0" eb="2">
      <t>ニンテイ</t>
    </rPh>
    <rPh sb="2" eb="4">
      <t>ジョウホウ</t>
    </rPh>
    <rPh sb="4" eb="5">
      <t>ト</t>
    </rPh>
    <rPh sb="6" eb="7">
      <t>ヨ</t>
    </rPh>
    <rPh sb="10" eb="12">
      <t>カイゴ</t>
    </rPh>
    <rPh sb="16" eb="18">
      <t>ケイカク</t>
    </rPh>
    <rPh sb="18" eb="20">
      <t>サクセイ</t>
    </rPh>
    <rPh sb="21" eb="22">
      <t>カカワ</t>
    </rPh>
    <rPh sb="23" eb="25">
      <t>シリョウ</t>
    </rPh>
    <rPh sb="25" eb="27">
      <t>テイキョウ</t>
    </rPh>
    <rPh sb="27" eb="30">
      <t>シンセイショ</t>
    </rPh>
    <phoneticPr fontId="1"/>
  </si>
  <si>
    <t>居宅サービス事業所の選択に関する説明に係る確認書</t>
    <rPh sb="0" eb="2">
      <t>キョタク</t>
    </rPh>
    <rPh sb="6" eb="9">
      <t>ジギョウショ</t>
    </rPh>
    <rPh sb="10" eb="12">
      <t>センタク</t>
    </rPh>
    <rPh sb="13" eb="14">
      <t>カン</t>
    </rPh>
    <rPh sb="16" eb="18">
      <t>セツメイ</t>
    </rPh>
    <rPh sb="19" eb="20">
      <t>カカワ</t>
    </rPh>
    <rPh sb="21" eb="24">
      <t>カクニンショ</t>
    </rPh>
    <phoneticPr fontId="1"/>
  </si>
  <si>
    <t>医療介護連携シート</t>
    <rPh sb="0" eb="2">
      <t>イリョウ</t>
    </rPh>
    <rPh sb="2" eb="4">
      <t>カイゴ</t>
    </rPh>
    <rPh sb="4" eb="6">
      <t>レンケイ</t>
    </rPh>
    <phoneticPr fontId="1"/>
  </si>
  <si>
    <t>認定申請書
（介護保険 要介護・要支援（更新）認定申請書）</t>
    <rPh sb="0" eb="2">
      <t>ニンテイ</t>
    </rPh>
    <rPh sb="2" eb="5">
      <t>シンセイショ</t>
    </rPh>
    <rPh sb="7" eb="9">
      <t>カイゴ</t>
    </rPh>
    <rPh sb="9" eb="11">
      <t>ホケン</t>
    </rPh>
    <rPh sb="12" eb="13">
      <t>ヨウ</t>
    </rPh>
    <rPh sb="13" eb="15">
      <t>カイゴ</t>
    </rPh>
    <rPh sb="16" eb="19">
      <t>ヨウシエン</t>
    </rPh>
    <rPh sb="20" eb="22">
      <t>コウシン</t>
    </rPh>
    <rPh sb="23" eb="25">
      <t>ニンテイ</t>
    </rPh>
    <rPh sb="25" eb="28">
      <t>シンセイショ</t>
    </rPh>
    <phoneticPr fontId="1"/>
  </si>
  <si>
    <r>
      <t>加藤医院申込書及び同意書　　　</t>
    </r>
    <r>
      <rPr>
        <sz val="9"/>
        <rFont val="游ゴシック"/>
        <family val="3"/>
        <charset val="128"/>
        <scheme val="minor"/>
      </rPr>
      <t>＊用紙あり</t>
    </r>
    <rPh sb="0" eb="2">
      <t>カトウ</t>
    </rPh>
    <rPh sb="2" eb="4">
      <t>イイン</t>
    </rPh>
    <rPh sb="4" eb="7">
      <t>モウシコミショ</t>
    </rPh>
    <rPh sb="7" eb="8">
      <t>オヨ</t>
    </rPh>
    <rPh sb="9" eb="12">
      <t>ドウイショ</t>
    </rPh>
    <rPh sb="16" eb="18">
      <t>ヨウシ</t>
    </rPh>
    <phoneticPr fontId="1"/>
  </si>
  <si>
    <t>居宅サービス計画作成依頼（変更）届出書</t>
  </si>
  <si>
    <t>区　分</t>
  </si>
  <si>
    <t>新規・変更</t>
  </si>
  <si>
    <t>被　保　険　者　氏　名</t>
  </si>
  <si>
    <r>
      <t>被</t>
    </r>
    <r>
      <rPr>
        <sz val="11"/>
        <color rgb="FF000000"/>
        <rFont val="Century"/>
        <family val="1"/>
      </rPr>
      <t xml:space="preserve"> </t>
    </r>
    <r>
      <rPr>
        <sz val="11"/>
        <color rgb="FF000000"/>
        <rFont val="ＭＳ ゴシック"/>
        <family val="3"/>
        <charset val="128"/>
      </rPr>
      <t>保</t>
    </r>
    <r>
      <rPr>
        <sz val="11"/>
        <color rgb="FF000000"/>
        <rFont val="Century"/>
        <family val="1"/>
      </rPr>
      <t xml:space="preserve"> </t>
    </r>
    <r>
      <rPr>
        <sz val="11"/>
        <color rgb="FF000000"/>
        <rFont val="ＭＳ ゴシック"/>
        <family val="3"/>
        <charset val="128"/>
      </rPr>
      <t>険</t>
    </r>
    <r>
      <rPr>
        <sz val="11"/>
        <color rgb="FF000000"/>
        <rFont val="Century"/>
        <family val="1"/>
      </rPr>
      <t xml:space="preserve"> </t>
    </r>
    <r>
      <rPr>
        <sz val="11"/>
        <color rgb="FF000000"/>
        <rFont val="ＭＳ ゴシック"/>
        <family val="3"/>
        <charset val="128"/>
      </rPr>
      <t>者</t>
    </r>
    <r>
      <rPr>
        <sz val="11"/>
        <color rgb="FF000000"/>
        <rFont val="Century"/>
        <family val="1"/>
      </rPr>
      <t xml:space="preserve"> </t>
    </r>
    <r>
      <rPr>
        <sz val="11"/>
        <color rgb="FF000000"/>
        <rFont val="ＭＳ ゴシック"/>
        <family val="3"/>
        <charset val="128"/>
      </rPr>
      <t>番</t>
    </r>
    <r>
      <rPr>
        <sz val="11"/>
        <color rgb="FF000000"/>
        <rFont val="Century"/>
        <family val="1"/>
      </rPr>
      <t xml:space="preserve"> </t>
    </r>
    <r>
      <rPr>
        <sz val="11"/>
        <color rgb="FF000000"/>
        <rFont val="ＭＳ ゴシック"/>
        <family val="3"/>
        <charset val="128"/>
      </rPr>
      <t>号</t>
    </r>
  </si>
  <si>
    <t>フリガナ</t>
  </si>
  <si>
    <t>個　人　番　号</t>
  </si>
  <si>
    <r>
      <t>生</t>
    </r>
    <r>
      <rPr>
        <sz val="11"/>
        <color rgb="FF000000"/>
        <rFont val="Century"/>
        <family val="1"/>
      </rPr>
      <t xml:space="preserve"> </t>
    </r>
    <r>
      <rPr>
        <sz val="11"/>
        <color rgb="FF000000"/>
        <rFont val="ＭＳ ゴシック"/>
        <family val="3"/>
        <charset val="128"/>
      </rPr>
      <t>年</t>
    </r>
    <r>
      <rPr>
        <sz val="11"/>
        <color rgb="FF000000"/>
        <rFont val="Century"/>
        <family val="1"/>
      </rPr>
      <t xml:space="preserve"> </t>
    </r>
    <r>
      <rPr>
        <sz val="11"/>
        <color rgb="FF000000"/>
        <rFont val="ＭＳ ゴシック"/>
        <family val="3"/>
        <charset val="128"/>
      </rPr>
      <t>月</t>
    </r>
    <r>
      <rPr>
        <sz val="11"/>
        <color rgb="FF000000"/>
        <rFont val="Century"/>
        <family val="1"/>
      </rPr>
      <t xml:space="preserve"> </t>
    </r>
    <r>
      <rPr>
        <sz val="11"/>
        <color rgb="FF000000"/>
        <rFont val="ＭＳ ゴシック"/>
        <family val="3"/>
        <charset val="128"/>
      </rPr>
      <t>日</t>
    </r>
  </si>
  <si>
    <t>居宅サービス計画の作成を依頼（変更）する事業者</t>
  </si>
  <si>
    <t>居宅介護支援事業所名</t>
  </si>
  <si>
    <t>居宅介護支援事業所の所在地</t>
    <phoneticPr fontId="1"/>
  </si>
  <si>
    <t>〒514-0824　　</t>
    <phoneticPr fontId="1"/>
  </si>
  <si>
    <t xml:space="preserve"> 居宅介護支援事業所名　安濃津ろまん</t>
    <rPh sb="12" eb="14">
      <t>アノウ</t>
    </rPh>
    <rPh sb="14" eb="15">
      <t>ツ</t>
    </rPh>
    <phoneticPr fontId="1"/>
  </si>
  <si>
    <t xml:space="preserve"> 津市神戸154-9</t>
    <rPh sb="1" eb="3">
      <t>ツシ</t>
    </rPh>
    <rPh sb="3" eb="5">
      <t>カンベ</t>
    </rPh>
    <phoneticPr fontId="1"/>
  </si>
  <si>
    <t>居宅介護支援事業者の事業所番号</t>
  </si>
  <si>
    <r>
      <t>　　　　　　　　</t>
    </r>
    <r>
      <rPr>
        <sz val="10"/>
        <color theme="1"/>
        <rFont val="ＭＳ ゴシック"/>
        <family val="3"/>
        <charset val="128"/>
      </rPr>
      <t>電話番号 059（253）6599</t>
    </r>
    <phoneticPr fontId="1"/>
  </si>
  <si>
    <t xml:space="preserve"> 担当者氏名　</t>
    <phoneticPr fontId="1"/>
  </si>
  <si>
    <t>居宅サービス計画の作成を依頼（変更）する事由及び有効開始（変更）日</t>
  </si>
  <si>
    <t>※必ず記入してください。</t>
  </si>
  <si>
    <t xml:space="preserve">  有効開始（変更）日</t>
    <phoneticPr fontId="1"/>
  </si>
  <si>
    <t>※現在有効な負担割合証が発行されておらず暫定ケアプランにおいてサービスを開始する場合に限り、</t>
  </si>
  <si>
    <t>介護保険負担割合証の交付についていずれかに　☑　をしてください。</t>
  </si>
  <si>
    <t>上記のとおり届出します。</t>
  </si>
  <si>
    <t>　　令和　　年　　月　　日</t>
    <phoneticPr fontId="1"/>
  </si>
  <si>
    <t>　　被保険者</t>
    <rPh sb="2" eb="6">
      <t>ヒホケンシャ</t>
    </rPh>
    <phoneticPr fontId="1"/>
  </si>
  <si>
    <t>住　　所</t>
  </si>
  <si>
    <t>申請</t>
    <rPh sb="0" eb="2">
      <t>シンセイ</t>
    </rPh>
    <phoneticPr fontId="1"/>
  </si>
  <si>
    <t>本・代／郵</t>
    <rPh sb="0" eb="1">
      <t>ホン</t>
    </rPh>
    <rPh sb="2" eb="3">
      <t>ダイ</t>
    </rPh>
    <rPh sb="4" eb="5">
      <t>ユウ</t>
    </rPh>
    <phoneticPr fontId="1"/>
  </si>
  <si>
    <t>確認物</t>
    <rPh sb="0" eb="2">
      <t>カクニン</t>
    </rPh>
    <rPh sb="2" eb="3">
      <t>ブツ</t>
    </rPh>
    <phoneticPr fontId="1"/>
  </si>
  <si>
    <t>1点</t>
    <rPh sb="1" eb="2">
      <t>テン</t>
    </rPh>
    <phoneticPr fontId="1"/>
  </si>
  <si>
    <t>運・障・個・居・</t>
    <rPh sb="0" eb="1">
      <t>ウン</t>
    </rPh>
    <rPh sb="2" eb="3">
      <t>ショウ</t>
    </rPh>
    <rPh sb="4" eb="5">
      <t>コ</t>
    </rPh>
    <rPh sb="6" eb="7">
      <t>キョ</t>
    </rPh>
    <phoneticPr fontId="1"/>
  </si>
  <si>
    <t>他（　　 　）</t>
    <rPh sb="0" eb="1">
      <t>タ</t>
    </rPh>
    <phoneticPr fontId="1"/>
  </si>
  <si>
    <t>氏　　名</t>
    <rPh sb="0" eb="1">
      <t>シ</t>
    </rPh>
    <rPh sb="3" eb="4">
      <t>ナ</t>
    </rPh>
    <phoneticPr fontId="1"/>
  </si>
  <si>
    <t>2点民間のみ不可</t>
    <rPh sb="1" eb="2">
      <t>テン</t>
    </rPh>
    <rPh sb="2" eb="4">
      <t>ミンカン</t>
    </rPh>
    <rPh sb="6" eb="8">
      <t>フカ</t>
    </rPh>
    <phoneticPr fontId="1"/>
  </si>
  <si>
    <t>健保・介保・</t>
    <rPh sb="0" eb="2">
      <t>ケンポ</t>
    </rPh>
    <rPh sb="3" eb="5">
      <t>カイホ</t>
    </rPh>
    <phoneticPr fontId="1"/>
  </si>
  <si>
    <t>年手・年証・</t>
    <rPh sb="0" eb="1">
      <t>ネン</t>
    </rPh>
    <rPh sb="1" eb="2">
      <t>テ</t>
    </rPh>
    <rPh sb="3" eb="4">
      <t>ネン</t>
    </rPh>
    <rPh sb="4" eb="5">
      <t>ショウ</t>
    </rPh>
    <phoneticPr fontId="1"/>
  </si>
  <si>
    <t>※自署でない場合は、記名と押印が必要です。</t>
  </si>
  <si>
    <t>社員証・</t>
    <rPh sb="0" eb="2">
      <t>シャイン</t>
    </rPh>
    <rPh sb="2" eb="3">
      <t>ショウ</t>
    </rPh>
    <phoneticPr fontId="1"/>
  </si>
  <si>
    <t>電話番号　　　　　（　　　　）</t>
    <phoneticPr fontId="1"/>
  </si>
  <si>
    <t>(注意)</t>
    <phoneticPr fontId="1"/>
  </si>
  <si>
    <t>１　この届出書は、居宅サービス計画の作成を依頼する事業所が決まり
　次第速やかに津市介護保険課へ提出してください。
２　居宅サービス計画の作成を依頼する事業所を変更するときは、有効
　開始（変更）日を記入のうえ、必ず津市介護保険課に届出してくださ
　い。届出のない場合、サービスに係る費用を一旦、全額自己負担して
　いただくことがあります。
３　この届出書により届出された事業所に、津市から確認をとる場合が
　あります。</t>
    <phoneticPr fontId="1"/>
  </si>
  <si>
    <t>暫定入力済み</t>
    <rPh sb="0" eb="2">
      <t>ザンテイ</t>
    </rPh>
    <rPh sb="2" eb="4">
      <t>ニュウリョク</t>
    </rPh>
    <rPh sb="4" eb="5">
      <t>ズ</t>
    </rPh>
    <phoneticPr fontId="1"/>
  </si>
  <si>
    <t>差し替え済み</t>
    <rPh sb="0" eb="1">
      <t>サ</t>
    </rPh>
    <rPh sb="2" eb="3">
      <t>カ</t>
    </rPh>
    <rPh sb="4" eb="5">
      <t>ス</t>
    </rPh>
    <phoneticPr fontId="1"/>
  </si>
  <si>
    <t>※現在有効な負担割合証が発行されておらず暫定ケアプランにおいてサービスを開始する場合に限り、
介護保険負担割合証の交付についていずれかに　☑　をしてください。</t>
    <phoneticPr fontId="1"/>
  </si>
  <si>
    <t>※必ず記入してください。</t>
    <rPh sb="1" eb="2">
      <t>カナラ</t>
    </rPh>
    <rPh sb="3" eb="5">
      <t>キニュウ</t>
    </rPh>
    <phoneticPr fontId="1"/>
  </si>
  <si>
    <t>　　 　年　 　月 　　日付　　</t>
    <phoneticPr fontId="1"/>
  </si>
  <si>
    <t>１　この届出書は、介護予防サービス計画の作成を依頼する事業所が決
　まり次第速やかに津市介護保険課へ提出してください。
２　介護予防サービス計画の作成を依頼する介護予防支援事業所又は介
　護予防支援を受託する居宅介護支援事業所を変更するときは、有効開
　始（変更）日を記入のうえ、必ず津市介護保険課に届出してください。
　届出のない場合、サービスに係る費用を一旦、全額自己負担していた
　だくことがあります。
３　この届出書により届出された事業所に、津市から確認をとる場合が
　あります。</t>
    <rPh sb="9" eb="11">
      <t>カイゴ</t>
    </rPh>
    <rPh sb="11" eb="13">
      <t>ヨボウ</t>
    </rPh>
    <rPh sb="62" eb="64">
      <t>カイゴ</t>
    </rPh>
    <rPh sb="64" eb="66">
      <t>ヨボウ</t>
    </rPh>
    <rPh sb="80" eb="82">
      <t>カイゴ</t>
    </rPh>
    <rPh sb="82" eb="84">
      <t>ヨボウ</t>
    </rPh>
    <rPh sb="84" eb="86">
      <t>シエン</t>
    </rPh>
    <rPh sb="89" eb="90">
      <t>マタ</t>
    </rPh>
    <phoneticPr fontId="1"/>
  </si>
  <si>
    <t>　介護予防ービス計画の作成を依頼（変更）する介護予防支援事業者</t>
    <rPh sb="1" eb="3">
      <t>カイゴ</t>
    </rPh>
    <rPh sb="3" eb="5">
      <t>ヨボウ</t>
    </rPh>
    <rPh sb="22" eb="24">
      <t>カイゴ</t>
    </rPh>
    <rPh sb="24" eb="26">
      <t>ヨボウ</t>
    </rPh>
    <rPh sb="26" eb="28">
      <t>シエン</t>
    </rPh>
    <phoneticPr fontId="1"/>
  </si>
  <si>
    <t>介護予防支援事業所名</t>
    <rPh sb="0" eb="2">
      <t>カイゴ</t>
    </rPh>
    <rPh sb="2" eb="4">
      <t>ヨボウ</t>
    </rPh>
    <phoneticPr fontId="1"/>
  </si>
  <si>
    <t>介護予防支援事業所の所在地</t>
    <rPh sb="0" eb="2">
      <t>カイゴ</t>
    </rPh>
    <rPh sb="2" eb="4">
      <t>ヨボウ</t>
    </rPh>
    <phoneticPr fontId="1"/>
  </si>
  <si>
    <t>　介護予防支援を受託する居宅介護支援事業者
　※居宅介護支援事業者が介護予防支援を受託する場合のみ記入してください。</t>
    <rPh sb="1" eb="3">
      <t>カイゴ</t>
    </rPh>
    <rPh sb="3" eb="5">
      <t>ヨボウ</t>
    </rPh>
    <rPh sb="5" eb="7">
      <t>シエン</t>
    </rPh>
    <rPh sb="8" eb="10">
      <t>ジュタク</t>
    </rPh>
    <rPh sb="12" eb="14">
      <t>キョタク</t>
    </rPh>
    <rPh sb="14" eb="16">
      <t>カイゴ</t>
    </rPh>
    <rPh sb="16" eb="18">
      <t>シエン</t>
    </rPh>
    <rPh sb="18" eb="21">
      <t>ジギョウシャ</t>
    </rPh>
    <rPh sb="24" eb="26">
      <t>キョタク</t>
    </rPh>
    <rPh sb="26" eb="28">
      <t>カイゴ</t>
    </rPh>
    <rPh sb="28" eb="30">
      <t>シエン</t>
    </rPh>
    <rPh sb="30" eb="33">
      <t>ジギョウシャ</t>
    </rPh>
    <rPh sb="34" eb="36">
      <t>カイゴ</t>
    </rPh>
    <rPh sb="36" eb="38">
      <t>ヨボウ</t>
    </rPh>
    <rPh sb="38" eb="40">
      <t>シエン</t>
    </rPh>
    <rPh sb="41" eb="43">
      <t>ジュタク</t>
    </rPh>
    <rPh sb="45" eb="47">
      <t>バアイ</t>
    </rPh>
    <rPh sb="49" eb="51">
      <t>キニュウ</t>
    </rPh>
    <phoneticPr fontId="1"/>
  </si>
  <si>
    <t>介護予防サービス計画作成・介護予防ケアマネジメント依頼（変更）届出書</t>
    <phoneticPr fontId="1"/>
  </si>
  <si>
    <t>（あて先）津市長</t>
    <phoneticPr fontId="1"/>
  </si>
  <si>
    <t>　居宅（介護予防）サービス計画の作成を依頼（変更）する事由及び有効開始（変更）日</t>
    <rPh sb="4" eb="6">
      <t>カイゴ</t>
    </rPh>
    <rPh sb="6" eb="8">
      <t>ヨボウ</t>
    </rPh>
    <phoneticPr fontId="1"/>
  </si>
  <si>
    <t>居宅介護支援事業所の所在地</t>
    <rPh sb="0" eb="2">
      <t>キョタク</t>
    </rPh>
    <rPh sb="2" eb="4">
      <t>カイゴ</t>
    </rPh>
    <rPh sb="4" eb="6">
      <t>シエン</t>
    </rPh>
    <rPh sb="6" eb="9">
      <t>ジギョウショ</t>
    </rPh>
    <phoneticPr fontId="1"/>
  </si>
  <si>
    <t>居宅介護支援事業所名</t>
    <rPh sb="0" eb="2">
      <t>キョタク</t>
    </rPh>
    <rPh sb="2" eb="4">
      <t>カイゴ</t>
    </rPh>
    <rPh sb="4" eb="6">
      <t>シエン</t>
    </rPh>
    <rPh sb="6" eb="9">
      <t>ジギョウショ</t>
    </rPh>
    <rPh sb="9" eb="10">
      <t>メイ</t>
    </rPh>
    <phoneticPr fontId="1"/>
  </si>
  <si>
    <t>介護予防支援事業者の事業所番号</t>
    <phoneticPr fontId="1"/>
  </si>
  <si>
    <t>新規または住所変更に伴う介護予防事業所変更のため</t>
    <phoneticPr fontId="1"/>
  </si>
  <si>
    <t>受託する居宅介護支援事業者変更（追加・削除）のため</t>
    <rPh sb="0" eb="2">
      <t>ジュタク</t>
    </rPh>
    <rPh sb="4" eb="6">
      <t>キョタク</t>
    </rPh>
    <rPh sb="6" eb="8">
      <t>カイゴ</t>
    </rPh>
    <rPh sb="8" eb="10">
      <t>シエン</t>
    </rPh>
    <rPh sb="10" eb="13">
      <t>ジギョウシャ</t>
    </rPh>
    <rPh sb="13" eb="15">
      <t>ヘンコウ</t>
    </rPh>
    <rPh sb="16" eb="18">
      <t>ツイカ</t>
    </rPh>
    <rPh sb="19" eb="21">
      <t>サクジョ</t>
    </rPh>
    <phoneticPr fontId="1"/>
  </si>
  <si>
    <t>要介護から要支援へ変更のため</t>
    <rPh sb="1" eb="3">
      <t>カイゴ</t>
    </rPh>
    <rPh sb="6" eb="8">
      <t>シエン</t>
    </rPh>
    <phoneticPr fontId="1"/>
  </si>
  <si>
    <t>暫定での届出と認定結果が異なるため</t>
    <phoneticPr fontId="1"/>
  </si>
  <si>
    <t>その他（　　　　　　　　　　　　　　　　　　　　　）</t>
    <phoneticPr fontId="1"/>
  </si>
  <si>
    <t>ケアプランを作成依頼する事業者が受領することに同意します。</t>
    <phoneticPr fontId="1"/>
  </si>
  <si>
    <t>自宅への郵送を希望します。</t>
    <phoneticPr fontId="1"/>
  </si>
  <si>
    <t>認定結果と同時に受領することを希望します。</t>
    <phoneticPr fontId="1"/>
  </si>
  <si>
    <t>実調～契約・担当者会議まで</t>
    <rPh sb="0" eb="2">
      <t>ジッチョウ</t>
    </rPh>
    <rPh sb="3" eb="5">
      <t>ケイヤク</t>
    </rPh>
    <rPh sb="6" eb="9">
      <t>タントウシャ</t>
    </rPh>
    <rPh sb="9" eb="11">
      <t>カイギ</t>
    </rPh>
    <phoneticPr fontId="1"/>
  </si>
  <si>
    <t>実調調整</t>
    <rPh sb="0" eb="2">
      <t>ジッチョウ</t>
    </rPh>
    <rPh sb="2" eb="4">
      <t>チョウセイ</t>
    </rPh>
    <phoneticPr fontId="1"/>
  </si>
  <si>
    <t>アセスメントシート作成</t>
    <rPh sb="9" eb="11">
      <t>サクセイ</t>
    </rPh>
    <phoneticPr fontId="1"/>
  </si>
  <si>
    <t>契約・担当者会議</t>
    <rPh sb="0" eb="2">
      <t>ケイヤク</t>
    </rPh>
    <rPh sb="3" eb="6">
      <t>タントウシャ</t>
    </rPh>
    <rPh sb="6" eb="8">
      <t>カイギ</t>
    </rPh>
    <phoneticPr fontId="1"/>
  </si>
  <si>
    <t>保険証確認</t>
  </si>
  <si>
    <t>契約・担当者会議～入居</t>
    <rPh sb="0" eb="2">
      <t>ケイヤク</t>
    </rPh>
    <rPh sb="3" eb="6">
      <t>タントウシャ</t>
    </rPh>
    <rPh sb="6" eb="8">
      <t>カイギ</t>
    </rPh>
    <rPh sb="9" eb="11">
      <t>ニュウキョ</t>
    </rPh>
    <phoneticPr fontId="1"/>
  </si>
  <si>
    <t>食事指示表入力</t>
    <rPh sb="0" eb="2">
      <t>ショクジ</t>
    </rPh>
    <rPh sb="2" eb="4">
      <t>シジ</t>
    </rPh>
    <rPh sb="4" eb="5">
      <t>ヒョウ</t>
    </rPh>
    <rPh sb="5" eb="7">
      <t>ニュウリョク</t>
    </rPh>
    <phoneticPr fontId="1"/>
  </si>
  <si>
    <t>介護保険証</t>
    <rPh sb="0" eb="2">
      <t>カイゴ</t>
    </rPh>
    <rPh sb="2" eb="4">
      <t>ホケン</t>
    </rPh>
    <rPh sb="4" eb="5">
      <t>ショウ</t>
    </rPh>
    <phoneticPr fontId="1"/>
  </si>
  <si>
    <t>負担割合証</t>
    <rPh sb="0" eb="2">
      <t>フタン</t>
    </rPh>
    <rPh sb="2" eb="4">
      <t>ワリアイ</t>
    </rPh>
    <rPh sb="4" eb="5">
      <t>ショウ</t>
    </rPh>
    <phoneticPr fontId="1"/>
  </si>
  <si>
    <t>その他受給者証</t>
    <rPh sb="2" eb="3">
      <t>タ</t>
    </rPh>
    <rPh sb="3" eb="6">
      <t>ジュキュウシャ</t>
    </rPh>
    <rPh sb="6" eb="7">
      <t>ショウ</t>
    </rPh>
    <phoneticPr fontId="1"/>
  </si>
  <si>
    <t>ローレル薬局へ入居日時連絡（メール）</t>
    <rPh sb="4" eb="6">
      <t>ヤッキョク</t>
    </rPh>
    <rPh sb="7" eb="9">
      <t>ニュウキョ</t>
    </rPh>
    <rPh sb="9" eb="11">
      <t>ニチジ</t>
    </rPh>
    <rPh sb="11" eb="13">
      <t>レンラク</t>
    </rPh>
    <phoneticPr fontId="1"/>
  </si>
  <si>
    <t>提供票の配布・連携</t>
    <rPh sb="0" eb="2">
      <t>テイキョウ</t>
    </rPh>
    <rPh sb="2" eb="3">
      <t>ヒョウ</t>
    </rPh>
    <rPh sb="4" eb="6">
      <t>ハイフ</t>
    </rPh>
    <rPh sb="7" eb="9">
      <t>レンケイ</t>
    </rPh>
    <phoneticPr fontId="1"/>
  </si>
  <si>
    <t>ケアプラン作成</t>
    <rPh sb="5" eb="7">
      <t>サクセイ</t>
    </rPh>
    <phoneticPr fontId="1"/>
  </si>
  <si>
    <r>
      <t xml:space="preserve">認定情報取り寄せ
</t>
    </r>
    <r>
      <rPr>
        <sz val="9"/>
        <color rgb="FF0563C1"/>
        <rFont val="游ゴシック"/>
        <family val="3"/>
        <charset val="128"/>
        <scheme val="minor"/>
      </rPr>
      <t>（介護サービス計画作成に係る資料提供申請書）</t>
    </r>
    <rPh sb="0" eb="2">
      <t>ニンテイ</t>
    </rPh>
    <rPh sb="2" eb="4">
      <t>ジョウホウ</t>
    </rPh>
    <rPh sb="4" eb="5">
      <t>ト</t>
    </rPh>
    <rPh sb="6" eb="7">
      <t>ヨ</t>
    </rPh>
    <rPh sb="10" eb="12">
      <t>カイゴ</t>
    </rPh>
    <rPh sb="16" eb="18">
      <t>ケイカク</t>
    </rPh>
    <rPh sb="18" eb="20">
      <t>サクセイ</t>
    </rPh>
    <rPh sb="21" eb="22">
      <t>カカワ</t>
    </rPh>
    <rPh sb="23" eb="25">
      <t>シリョウ</t>
    </rPh>
    <rPh sb="25" eb="27">
      <t>テイキョウ</t>
    </rPh>
    <rPh sb="27" eb="30">
      <t>シンセイショ</t>
    </rPh>
    <phoneticPr fontId="1"/>
  </si>
  <si>
    <t>◆新規</t>
    <rPh sb="1" eb="3">
      <t>シンキ</t>
    </rPh>
    <phoneticPr fontId="1"/>
  </si>
  <si>
    <t>　一色さんへ提出</t>
    <rPh sb="1" eb="3">
      <t>イッシキ</t>
    </rPh>
    <rPh sb="6" eb="8">
      <t>テイシュツ</t>
    </rPh>
    <phoneticPr fontId="1"/>
  </si>
  <si>
    <t>担当者会議録作成・配布</t>
    <rPh sb="0" eb="3">
      <t>タントウシャ</t>
    </rPh>
    <rPh sb="3" eb="5">
      <t>カイギ</t>
    </rPh>
    <rPh sb="5" eb="6">
      <t>ロク</t>
    </rPh>
    <rPh sb="6" eb="8">
      <t>サクセイ</t>
    </rPh>
    <rPh sb="9" eb="11">
      <t>ハイフ</t>
    </rPh>
    <phoneticPr fontId="1"/>
  </si>
  <si>
    <t>◆更新</t>
    <phoneticPr fontId="1"/>
  </si>
  <si>
    <t>担当者会議録（照会）作成・配布</t>
    <rPh sb="5" eb="6">
      <t>ロク</t>
    </rPh>
    <rPh sb="7" eb="9">
      <t>ショウカイ</t>
    </rPh>
    <rPh sb="10" eb="12">
      <t>サクセイ</t>
    </rPh>
    <rPh sb="13" eb="15">
      <t>ハイフ</t>
    </rPh>
    <phoneticPr fontId="1"/>
  </si>
  <si>
    <t>ケアプラン・利用票作成（暫定）</t>
    <rPh sb="6" eb="9">
      <t>リヨウヒョウ</t>
    </rPh>
    <rPh sb="9" eb="11">
      <t>サクセイ</t>
    </rPh>
    <rPh sb="12" eb="14">
      <t>ザンテイ</t>
    </rPh>
    <phoneticPr fontId="1"/>
  </si>
  <si>
    <t>介護保険証の確認</t>
    <rPh sb="0" eb="2">
      <t>カイゴ</t>
    </rPh>
    <rPh sb="2" eb="4">
      <t>ホケン</t>
    </rPh>
    <rPh sb="4" eb="5">
      <t>ショウ</t>
    </rPh>
    <rPh sb="6" eb="8">
      <t>カクニン</t>
    </rPh>
    <phoneticPr fontId="1"/>
  </si>
  <si>
    <t>提供票作成・配布（暫定）</t>
    <rPh sb="0" eb="2">
      <t>テイキョウ</t>
    </rPh>
    <rPh sb="2" eb="3">
      <t>ヒョウ</t>
    </rPh>
    <rPh sb="3" eb="5">
      <t>サクセイ</t>
    </rPh>
    <rPh sb="6" eb="8">
      <t>ハイフ</t>
    </rPh>
    <rPh sb="9" eb="11">
      <t>ザンテイ</t>
    </rPh>
    <phoneticPr fontId="1"/>
  </si>
  <si>
    <t>ケアプラン・利用票作成</t>
    <rPh sb="6" eb="9">
      <t>リヨウヒョウ</t>
    </rPh>
    <rPh sb="9" eb="11">
      <t>サクセイ</t>
    </rPh>
    <phoneticPr fontId="1"/>
  </si>
  <si>
    <t>提供票作成・配布</t>
    <rPh sb="0" eb="2">
      <t>テイキョウ</t>
    </rPh>
    <rPh sb="2" eb="3">
      <t>ヒョウ</t>
    </rPh>
    <rPh sb="3" eb="5">
      <t>サクセイ</t>
    </rPh>
    <rPh sb="6" eb="8">
      <t>ハイフ</t>
    </rPh>
    <phoneticPr fontId="1"/>
  </si>
  <si>
    <t>担当者会議</t>
    <rPh sb="0" eb="3">
      <t>タントウシャ</t>
    </rPh>
    <rPh sb="3" eb="5">
      <t>カイギ</t>
    </rPh>
    <phoneticPr fontId="1"/>
  </si>
  <si>
    <t>認定決定後</t>
    <rPh sb="0" eb="2">
      <t>ニンテイ</t>
    </rPh>
    <rPh sb="2" eb="4">
      <t>ケッテイ</t>
    </rPh>
    <rPh sb="4" eb="5">
      <t>ゴ</t>
    </rPh>
    <phoneticPr fontId="1"/>
  </si>
  <si>
    <t>申請時</t>
    <rPh sb="0" eb="3">
      <t>シンセイジ</t>
    </rPh>
    <phoneticPr fontId="1"/>
  </si>
  <si>
    <t>◆変更</t>
    <rPh sb="1" eb="3">
      <t>ヘンコウ</t>
    </rPh>
    <phoneticPr fontId="1"/>
  </si>
  <si>
    <r>
      <t xml:space="preserve">認定申請書
</t>
    </r>
    <r>
      <rPr>
        <b/>
        <sz val="10"/>
        <color theme="10"/>
        <rFont val="游ゴシック"/>
        <family val="3"/>
        <charset val="128"/>
        <scheme val="minor"/>
      </rPr>
      <t>（介護保険 要介護・要支援（認定区分変更）申請書）</t>
    </r>
    <rPh sb="0" eb="2">
      <t>ニンテイ</t>
    </rPh>
    <rPh sb="2" eb="5">
      <t>シンセイショ</t>
    </rPh>
    <rPh sb="7" eb="9">
      <t>カイゴ</t>
    </rPh>
    <rPh sb="9" eb="11">
      <t>ホケン</t>
    </rPh>
    <rPh sb="12" eb="13">
      <t>ヨウ</t>
    </rPh>
    <rPh sb="13" eb="15">
      <t>カイゴ</t>
    </rPh>
    <rPh sb="16" eb="19">
      <t>ヨウシエン</t>
    </rPh>
    <rPh sb="20" eb="22">
      <t>ニンテイ</t>
    </rPh>
    <rPh sb="22" eb="24">
      <t>クブン</t>
    </rPh>
    <rPh sb="24" eb="26">
      <t>ヘンコウ</t>
    </rPh>
    <rPh sb="27" eb="30">
      <t>シンセイショ</t>
    </rPh>
    <phoneticPr fontId="1"/>
  </si>
  <si>
    <r>
      <rPr>
        <b/>
        <sz val="16"/>
        <color theme="10"/>
        <rFont val="游ゴシック"/>
        <family val="3"/>
        <charset val="128"/>
        <scheme val="minor"/>
      </rPr>
      <t>居宅届</t>
    </r>
    <r>
      <rPr>
        <sz val="11"/>
        <color theme="10"/>
        <rFont val="游ゴシック"/>
        <family val="3"/>
        <charset val="128"/>
        <scheme val="minor"/>
      </rPr>
      <t xml:space="preserve">
</t>
    </r>
    <r>
      <rPr>
        <sz val="10"/>
        <color theme="10"/>
        <rFont val="游ゴシック"/>
        <family val="3"/>
        <charset val="128"/>
        <scheme val="minor"/>
      </rPr>
      <t>（居宅サービス計画作成依頼届出書）</t>
    </r>
    <rPh sb="0" eb="2">
      <t>キョタク</t>
    </rPh>
    <rPh sb="2" eb="3">
      <t>トドケ</t>
    </rPh>
    <rPh sb="5" eb="7">
      <t>キョタク</t>
    </rPh>
    <rPh sb="11" eb="13">
      <t>ケイカク</t>
    </rPh>
    <rPh sb="13" eb="15">
      <t>サクセイ</t>
    </rPh>
    <rPh sb="15" eb="17">
      <t>イライ</t>
    </rPh>
    <rPh sb="17" eb="20">
      <t>トドケデショ</t>
    </rPh>
    <phoneticPr fontId="1"/>
  </si>
  <si>
    <r>
      <rPr>
        <b/>
        <sz val="16"/>
        <color theme="10"/>
        <rFont val="游ゴシック"/>
        <family val="3"/>
        <charset val="128"/>
        <scheme val="minor"/>
      </rPr>
      <t>＊予防</t>
    </r>
    <r>
      <rPr>
        <sz val="11"/>
        <color theme="10"/>
        <rFont val="游ゴシック"/>
        <family val="3"/>
        <charset val="128"/>
        <scheme val="minor"/>
      </rPr>
      <t>は
　　　　こちら</t>
    </r>
    <rPh sb="1" eb="3">
      <t>ヨボウ</t>
    </rPh>
    <phoneticPr fontId="1"/>
  </si>
  <si>
    <t>新規または事業所変更のため</t>
    <phoneticPr fontId="1"/>
  </si>
  <si>
    <t>要支援から要介護へ変更のため</t>
    <phoneticPr fontId="1"/>
  </si>
  <si>
    <t>暫定での届出と認定結果が異なるため</t>
    <phoneticPr fontId="1"/>
  </si>
  <si>
    <t>その他（　　　　　　　　　　　　　　　　　）</t>
    <phoneticPr fontId="1"/>
  </si>
  <si>
    <t>ケアプランを作成依頼する事業者が受領することに同意します。</t>
    <phoneticPr fontId="1"/>
  </si>
  <si>
    <t>自宅への郵送を希望します。</t>
    <phoneticPr fontId="1"/>
  </si>
  <si>
    <t>認定結果と同時に受領することを希望します。</t>
    <phoneticPr fontId="1"/>
  </si>
  <si>
    <t>津中部西地域包括支援センター</t>
  </si>
  <si>
    <t>津中部東地域包括支援センター</t>
  </si>
  <si>
    <t>津中央地域包括支援センター</t>
  </si>
  <si>
    <t>津中部中地域包括支援センター</t>
  </si>
  <si>
    <t>津中部北地域包括支援センター</t>
  </si>
  <si>
    <t>津中部南地域包括支援センター</t>
  </si>
  <si>
    <t>〒</t>
    <phoneticPr fontId="1"/>
  </si>
  <si>
    <t>　　　　　　　</t>
    <phoneticPr fontId="1"/>
  </si>
  <si>
    <t>　電話番号</t>
    <phoneticPr fontId="1"/>
  </si>
  <si>
    <t>津中部南地域包括支援センター</t>
    <phoneticPr fontId="1"/>
  </si>
  <si>
    <r>
      <t>　　　　　　　　</t>
    </r>
    <r>
      <rPr>
        <sz val="10"/>
        <color theme="1"/>
        <rFont val="ＭＳ ゴシック"/>
        <family val="3"/>
        <charset val="128"/>
      </rPr>
      <t>電話番号 059-253-6599</t>
    </r>
    <phoneticPr fontId="1"/>
  </si>
  <si>
    <t>を送付させて頂きましたので、ご確認くださいますようお願いいたします。</t>
    <phoneticPr fontId="1"/>
  </si>
  <si>
    <t>訪問介護（ 回/月）訪問看護（ 回/月）通所介護（　回/月 ）通所ﾘﾊﾋﾞﾘ（  回/週 ）</t>
    <rPh sb="0" eb="2">
      <t>ホウモン</t>
    </rPh>
    <rPh sb="2" eb="4">
      <t>カイゴ</t>
    </rPh>
    <rPh sb="6" eb="7">
      <t>カイ</t>
    </rPh>
    <rPh sb="8" eb="9">
      <t>ツキ</t>
    </rPh>
    <rPh sb="10" eb="12">
      <t>ホウモン</t>
    </rPh>
    <rPh sb="12" eb="14">
      <t>カンゴ</t>
    </rPh>
    <rPh sb="16" eb="17">
      <t>カイ</t>
    </rPh>
    <rPh sb="18" eb="19">
      <t>ツキ</t>
    </rPh>
    <rPh sb="20" eb="22">
      <t>ツウショ</t>
    </rPh>
    <rPh sb="22" eb="24">
      <t>カイゴ</t>
    </rPh>
    <rPh sb="26" eb="27">
      <t>カイ</t>
    </rPh>
    <rPh sb="28" eb="29">
      <t>ツキ</t>
    </rPh>
    <rPh sb="31" eb="33">
      <t>ツウショ</t>
    </rPh>
    <phoneticPr fontId="1"/>
  </si>
  <si>
    <t>短期入所生活介護（   ）福祉用具貸与（ 品目）その他(　         ）</t>
    <rPh sb="0" eb="2">
      <t>タンキ</t>
    </rPh>
    <rPh sb="2" eb="4">
      <t>ニュウショ</t>
    </rPh>
    <rPh sb="4" eb="6">
      <t>セイカツ</t>
    </rPh>
    <rPh sb="6" eb="8">
      <t>カイゴ</t>
    </rPh>
    <rPh sb="13" eb="15">
      <t>フクシ</t>
    </rPh>
    <rPh sb="15" eb="17">
      <t>ヨウグ</t>
    </rPh>
    <rPh sb="17" eb="19">
      <t>タイヨ</t>
    </rPh>
    <rPh sb="21" eb="23">
      <t>ヒンモク</t>
    </rPh>
    <rPh sb="26" eb="27">
      <t>タ</t>
    </rPh>
    <phoneticPr fontId="1"/>
  </si>
  <si>
    <t>介助量</t>
    <rPh sb="0" eb="2">
      <t>カイジョ</t>
    </rPh>
    <rPh sb="2" eb="3">
      <t>リョウ</t>
    </rPh>
    <phoneticPr fontId="1"/>
  </si>
  <si>
    <t>（〒　）</t>
    <phoneticPr fontId="15"/>
  </si>
  <si>
    <t>水分とろみ</t>
    <rPh sb="0" eb="2">
      <t>スイブン</t>
    </rPh>
    <phoneticPr fontId="1"/>
  </si>
  <si>
    <t>J1</t>
    <phoneticPr fontId="1"/>
  </si>
  <si>
    <t>Ⅰ</t>
    <phoneticPr fontId="1"/>
  </si>
  <si>
    <t>J2</t>
    <phoneticPr fontId="1"/>
  </si>
  <si>
    <t>Ⅱa</t>
    <phoneticPr fontId="1"/>
  </si>
  <si>
    <t>A1</t>
    <phoneticPr fontId="1"/>
  </si>
  <si>
    <t>Ⅱb</t>
    <phoneticPr fontId="1"/>
  </si>
  <si>
    <t>A2</t>
    <phoneticPr fontId="1"/>
  </si>
  <si>
    <t>Ⅲa</t>
    <phoneticPr fontId="1"/>
  </si>
  <si>
    <t>B1</t>
    <phoneticPr fontId="1"/>
  </si>
  <si>
    <t>Ⅲb</t>
    <phoneticPr fontId="1"/>
  </si>
  <si>
    <t>B2</t>
    <phoneticPr fontId="1"/>
  </si>
  <si>
    <t>Ⅳ</t>
    <phoneticPr fontId="1"/>
  </si>
  <si>
    <t>C1</t>
    <phoneticPr fontId="1"/>
  </si>
  <si>
    <t>M</t>
    <phoneticPr fontId="1"/>
  </si>
  <si>
    <t>C2</t>
    <phoneticPr fontId="1"/>
  </si>
  <si>
    <t>永井病院　医療相談室</t>
  </si>
  <si>
    <t>救急医療情報用紙（表面）</t>
    <rPh sb="0" eb="2">
      <t>キュウキュウ</t>
    </rPh>
    <rPh sb="2" eb="4">
      <t>イリョウ</t>
    </rPh>
    <rPh sb="4" eb="6">
      <t>ジョウホウ</t>
    </rPh>
    <rPh sb="6" eb="8">
      <t>ヨウシ</t>
    </rPh>
    <rPh sb="9" eb="10">
      <t>オモテ</t>
    </rPh>
    <rPh sb="10" eb="11">
      <t>メン</t>
    </rPh>
    <phoneticPr fontId="1"/>
  </si>
  <si>
    <t>記入日</t>
    <rPh sb="0" eb="2">
      <t>キニュウ</t>
    </rPh>
    <rPh sb="2" eb="3">
      <t>ビ</t>
    </rPh>
    <phoneticPr fontId="1"/>
  </si>
  <si>
    <t>ふりがな</t>
    <phoneticPr fontId="1"/>
  </si>
  <si>
    <t>歳</t>
    <rPh sb="0" eb="1">
      <t>サイ</t>
    </rPh>
    <phoneticPr fontId="1"/>
  </si>
  <si>
    <t>＊サービス付き高齢者向け住宅
　安濃津ろまん入居中</t>
    <rPh sb="5" eb="6">
      <t>ツ</t>
    </rPh>
    <rPh sb="7" eb="10">
      <t>コウレイシャ</t>
    </rPh>
    <rPh sb="10" eb="11">
      <t>ム</t>
    </rPh>
    <rPh sb="12" eb="14">
      <t>ジュウタク</t>
    </rPh>
    <rPh sb="16" eb="18">
      <t>アノウ</t>
    </rPh>
    <rPh sb="18" eb="19">
      <t>ツ</t>
    </rPh>
    <rPh sb="22" eb="24">
      <t>ニュウキョ</t>
    </rPh>
    <rPh sb="24" eb="25">
      <t>チュウ</t>
    </rPh>
    <phoneticPr fontId="1"/>
  </si>
  <si>
    <t>担当ケアマネジャー</t>
    <rPh sb="0" eb="2">
      <t>タントウ</t>
    </rPh>
    <phoneticPr fontId="1"/>
  </si>
  <si>
    <t>既往</t>
    <rPh sb="0" eb="2">
      <t>キオウ</t>
    </rPh>
    <phoneticPr fontId="1"/>
  </si>
  <si>
    <t>屋内</t>
    <rPh sb="0" eb="2">
      <t>オクナイ</t>
    </rPh>
    <phoneticPr fontId="1"/>
  </si>
  <si>
    <t>普段の移動</t>
    <rPh sb="0" eb="2">
      <t>フダン</t>
    </rPh>
    <rPh sb="3" eb="5">
      <t>イドウ</t>
    </rPh>
    <phoneticPr fontId="1"/>
  </si>
  <si>
    <t>屋外</t>
    <rPh sb="0" eb="2">
      <t>オクガイ</t>
    </rPh>
    <phoneticPr fontId="1"/>
  </si>
  <si>
    <t>裏面（2枚目）の記入欄もあります</t>
    <rPh sb="0" eb="2">
      <t>ウラメン</t>
    </rPh>
    <rPh sb="4" eb="6">
      <t>マイメ</t>
    </rPh>
    <rPh sb="8" eb="10">
      <t>キニュウ</t>
    </rPh>
    <rPh sb="10" eb="11">
      <t>ラン</t>
    </rPh>
    <phoneticPr fontId="1"/>
  </si>
  <si>
    <t>サービス付き高齢者向け住宅安濃津ろまん</t>
    <rPh sb="4" eb="5">
      <t>ツ</t>
    </rPh>
    <rPh sb="6" eb="10">
      <t>コウレイシャム</t>
    </rPh>
    <rPh sb="11" eb="16">
      <t>ジュウタクアノウツ</t>
    </rPh>
    <phoneticPr fontId="1"/>
  </si>
  <si>
    <t>記入者名</t>
    <rPh sb="0" eb="2">
      <t>キニュウ</t>
    </rPh>
    <rPh sb="2" eb="3">
      <t>シャ</t>
    </rPh>
    <rPh sb="3" eb="4">
      <t>メイ</t>
    </rPh>
    <phoneticPr fontId="1"/>
  </si>
  <si>
    <t>本人との関係</t>
    <rPh sb="0" eb="2">
      <t>ホンニン</t>
    </rPh>
    <rPh sb="4" eb="6">
      <t>カンケイ</t>
    </rPh>
    <phoneticPr fontId="1"/>
  </si>
  <si>
    <t>記入者所属（事業所名等）</t>
    <rPh sb="0" eb="2">
      <t>キニュウ</t>
    </rPh>
    <rPh sb="2" eb="3">
      <t>シャ</t>
    </rPh>
    <rPh sb="3" eb="5">
      <t>ショゾク</t>
    </rPh>
    <rPh sb="6" eb="9">
      <t>ジギョウショ</t>
    </rPh>
    <rPh sb="9" eb="10">
      <t>メイ</t>
    </rPh>
    <rPh sb="10" eb="11">
      <t>トウ</t>
    </rPh>
    <phoneticPr fontId="1"/>
  </si>
  <si>
    <t>訪問看護師</t>
    <rPh sb="0" eb="2">
      <t>ホウモン</t>
    </rPh>
    <rPh sb="2" eb="5">
      <t>カンゴシ</t>
    </rPh>
    <phoneticPr fontId="1"/>
  </si>
  <si>
    <t>訪問看護ステーション安濃津ろまん</t>
    <rPh sb="0" eb="2">
      <t>ホウモン</t>
    </rPh>
    <rPh sb="2" eb="4">
      <t>カンゴ</t>
    </rPh>
    <rPh sb="10" eb="12">
      <t>アノウ</t>
    </rPh>
    <rPh sb="12" eb="13">
      <t>ツ</t>
    </rPh>
    <phoneticPr fontId="1"/>
  </si>
  <si>
    <t>救急車要請時　記入・チェック項目（裏面）</t>
    <rPh sb="0" eb="2">
      <t>キュウキュウ</t>
    </rPh>
    <rPh sb="2" eb="3">
      <t>クルマ</t>
    </rPh>
    <rPh sb="3" eb="5">
      <t>ヨウセイ</t>
    </rPh>
    <rPh sb="5" eb="6">
      <t>ジ</t>
    </rPh>
    <rPh sb="7" eb="9">
      <t>キニュウ</t>
    </rPh>
    <rPh sb="14" eb="16">
      <t>コウモク</t>
    </rPh>
    <rPh sb="17" eb="19">
      <t>ウラメン</t>
    </rPh>
    <phoneticPr fontId="1"/>
  </si>
  <si>
    <t>コロナワクチン接種歴</t>
    <rPh sb="7" eb="9">
      <t>セッシュ</t>
    </rPh>
    <rPh sb="9" eb="10">
      <t>レキ</t>
    </rPh>
    <phoneticPr fontId="1"/>
  </si>
  <si>
    <t>最終接種日</t>
    <rPh sb="0" eb="2">
      <t>サイシュウ</t>
    </rPh>
    <rPh sb="2" eb="4">
      <t>セッシュ</t>
    </rPh>
    <rPh sb="4" eb="5">
      <t>ビ</t>
    </rPh>
    <phoneticPr fontId="1"/>
  </si>
  <si>
    <t>※救急車を要請した理由、バイタルサイン、最終服薬・食事時間など記載可能な限りで可</t>
    <rPh sb="1" eb="4">
      <t>キュウキュウシャ</t>
    </rPh>
    <rPh sb="5" eb="7">
      <t>ヨウセイ</t>
    </rPh>
    <rPh sb="9" eb="11">
      <t>リユウ</t>
    </rPh>
    <rPh sb="20" eb="22">
      <t>サイシュウ</t>
    </rPh>
    <rPh sb="22" eb="24">
      <t>フクヤク</t>
    </rPh>
    <rPh sb="25" eb="27">
      <t>ショクジ</t>
    </rPh>
    <rPh sb="27" eb="29">
      <t>ジカン</t>
    </rPh>
    <rPh sb="31" eb="33">
      <t>キサイ</t>
    </rPh>
    <rPh sb="33" eb="35">
      <t>カノウ</t>
    </rPh>
    <rPh sb="36" eb="37">
      <t>カギ</t>
    </rPh>
    <rPh sb="39" eb="40">
      <t>カ</t>
    </rPh>
    <phoneticPr fontId="1"/>
  </si>
  <si>
    <t>・救急車の要請に至ったきっかけ（複数可）</t>
    <rPh sb="1" eb="4">
      <t>キュウキュウシャ</t>
    </rPh>
    <rPh sb="5" eb="7">
      <t>ヨウセイ</t>
    </rPh>
    <rPh sb="8" eb="9">
      <t>イタ</t>
    </rPh>
    <rPh sb="16" eb="18">
      <t>フクスウ</t>
    </rPh>
    <rPh sb="18" eb="19">
      <t>カ</t>
    </rPh>
    <phoneticPr fontId="1"/>
  </si>
  <si>
    <t>本人の希望</t>
    <rPh sb="0" eb="2">
      <t>ホンニン</t>
    </rPh>
    <rPh sb="3" eb="5">
      <t>キボウ</t>
    </rPh>
    <phoneticPr fontId="1"/>
  </si>
  <si>
    <t>家族の希望</t>
    <rPh sb="0" eb="2">
      <t>カゾク</t>
    </rPh>
    <rPh sb="3" eb="5">
      <t>キボウ</t>
    </rPh>
    <phoneticPr fontId="1"/>
  </si>
  <si>
    <t>主治医の指示</t>
    <rPh sb="0" eb="3">
      <t>シュジイ</t>
    </rPh>
    <rPh sb="4" eb="6">
      <t>シジ</t>
    </rPh>
    <phoneticPr fontId="1"/>
  </si>
  <si>
    <t>　施設の判断</t>
    <rPh sb="1" eb="3">
      <t>シセツ</t>
    </rPh>
    <rPh sb="4" eb="6">
      <t>ハンダン</t>
    </rPh>
    <phoneticPr fontId="1"/>
  </si>
  <si>
    <t>・いつから？最後に普段通りだったのは？</t>
    <rPh sb="6" eb="8">
      <t>サイゴ</t>
    </rPh>
    <rPh sb="9" eb="11">
      <t>フダン</t>
    </rPh>
    <rPh sb="11" eb="12">
      <t>トオ</t>
    </rPh>
    <phoneticPr fontId="1"/>
  </si>
  <si>
    <t>・どのような症状？</t>
    <rPh sb="6" eb="8">
      <t>ショウジョウ</t>
    </rPh>
    <phoneticPr fontId="1"/>
  </si>
  <si>
    <t>・どのくらい続いている？</t>
    <rPh sb="6" eb="7">
      <t>ツヅ</t>
    </rPh>
    <phoneticPr fontId="1"/>
  </si>
  <si>
    <t>脈拍</t>
    <rPh sb="0" eb="2">
      <t>ミャクハク</t>
    </rPh>
    <phoneticPr fontId="1"/>
  </si>
  <si>
    <t>血圧</t>
    <rPh sb="0" eb="2">
      <t>ケツアツ</t>
    </rPh>
    <phoneticPr fontId="1"/>
  </si>
  <si>
    <t>呼吸数</t>
    <rPh sb="0" eb="2">
      <t>コキュウ</t>
    </rPh>
    <rPh sb="2" eb="3">
      <t>スウ</t>
    </rPh>
    <phoneticPr fontId="1"/>
  </si>
  <si>
    <t>SpO2</t>
    <phoneticPr fontId="1"/>
  </si>
  <si>
    <t>体温</t>
    <rPh sb="0" eb="2">
      <t>タイオン</t>
    </rPh>
    <phoneticPr fontId="1"/>
  </si>
  <si>
    <t>バイタルサイン</t>
    <phoneticPr fontId="1"/>
  </si>
  <si>
    <t>最終食事・水分摂取時刻</t>
    <rPh sb="0" eb="2">
      <t>サイシュウ</t>
    </rPh>
    <rPh sb="2" eb="4">
      <t>ショクジ</t>
    </rPh>
    <rPh sb="5" eb="7">
      <t>スイブン</t>
    </rPh>
    <rPh sb="7" eb="9">
      <t>セッシュ</t>
    </rPh>
    <rPh sb="9" eb="11">
      <t>ジコク</t>
    </rPh>
    <phoneticPr fontId="1"/>
  </si>
  <si>
    <t>最終服薬時刻</t>
    <rPh sb="0" eb="2">
      <t>サイシュウ</t>
    </rPh>
    <rPh sb="2" eb="4">
      <t>フクヤク</t>
    </rPh>
    <rPh sb="4" eb="6">
      <t>ジコク</t>
    </rPh>
    <phoneticPr fontId="1"/>
  </si>
  <si>
    <t>救急車の同乗・追走</t>
    <rPh sb="0" eb="3">
      <t>キュウキュウシャ</t>
    </rPh>
    <rPh sb="4" eb="6">
      <t>ドウジョウ</t>
    </rPh>
    <rPh sb="7" eb="9">
      <t>ツイソウ</t>
    </rPh>
    <phoneticPr fontId="1"/>
  </si>
  <si>
    <t>付添者名</t>
    <rPh sb="0" eb="2">
      <t>ツキソイ</t>
    </rPh>
    <rPh sb="2" eb="3">
      <t>シャ</t>
    </rPh>
    <rPh sb="3" eb="4">
      <t>メイ</t>
    </rPh>
    <phoneticPr fontId="1"/>
  </si>
  <si>
    <t>時頃</t>
    <rPh sb="0" eb="1">
      <t>ジ</t>
    </rPh>
    <rPh sb="1" eb="2">
      <t>コロ</t>
    </rPh>
    <phoneticPr fontId="1"/>
  </si>
  <si>
    <t>・</t>
    <phoneticPr fontId="1"/>
  </si>
  <si>
    <t>※以下は施設入所中の場合、施設職員が記入</t>
    <rPh sb="1" eb="3">
      <t>イカ</t>
    </rPh>
    <rPh sb="4" eb="6">
      <t>シセツ</t>
    </rPh>
    <rPh sb="6" eb="9">
      <t>ニュウショチュウ</t>
    </rPh>
    <rPh sb="10" eb="12">
      <t>バアイ</t>
    </rPh>
    <rPh sb="13" eb="15">
      <t>シセツ</t>
    </rPh>
    <rPh sb="15" eb="17">
      <t>ショクイン</t>
    </rPh>
    <rPh sb="18" eb="20">
      <t>キニュウ</t>
    </rPh>
    <phoneticPr fontId="1"/>
  </si>
  <si>
    <t>施設内　インフルエンザ感染者</t>
    <rPh sb="0" eb="2">
      <t>シセツ</t>
    </rPh>
    <rPh sb="2" eb="3">
      <t>ナイ</t>
    </rPh>
    <rPh sb="11" eb="14">
      <t>カンセンシャ</t>
    </rPh>
    <phoneticPr fontId="1"/>
  </si>
  <si>
    <t>施設内　新型コロナ感染者</t>
    <rPh sb="0" eb="2">
      <t>シセツ</t>
    </rPh>
    <rPh sb="2" eb="3">
      <t>ナイ</t>
    </rPh>
    <rPh sb="4" eb="6">
      <t>シンガタ</t>
    </rPh>
    <rPh sb="9" eb="12">
      <t>カンセンシャ</t>
    </rPh>
    <phoneticPr fontId="1"/>
  </si>
  <si>
    <t>《救急隊到着までに協力していただきたいこと》</t>
    <rPh sb="1" eb="4">
      <t>キュウキュウタイ</t>
    </rPh>
    <rPh sb="4" eb="6">
      <t>トウチャク</t>
    </rPh>
    <rPh sb="9" eb="11">
      <t>キョウリョク</t>
    </rPh>
    <phoneticPr fontId="1"/>
  </si>
  <si>
    <t>情報用紙を記入する</t>
    <rPh sb="0" eb="2">
      <t>ジョウホウ</t>
    </rPh>
    <rPh sb="2" eb="4">
      <t>ヨウシ</t>
    </rPh>
    <rPh sb="5" eb="7">
      <t>キニュウ</t>
    </rPh>
    <phoneticPr fontId="1"/>
  </si>
  <si>
    <t>搬送希望、又は搬送可能な病院があれば電話し、搬送許可を得る</t>
    <rPh sb="0" eb="2">
      <t>ハンソウ</t>
    </rPh>
    <rPh sb="2" eb="4">
      <t>キボウ</t>
    </rPh>
    <rPh sb="5" eb="6">
      <t>マタ</t>
    </rPh>
    <rPh sb="7" eb="9">
      <t>ハンソウ</t>
    </rPh>
    <rPh sb="9" eb="11">
      <t>カノウ</t>
    </rPh>
    <rPh sb="12" eb="14">
      <t>ビョウイン</t>
    </rPh>
    <rPh sb="18" eb="20">
      <t>デンワ</t>
    </rPh>
    <rPh sb="22" eb="24">
      <t>ハンソウ</t>
    </rPh>
    <rPh sb="24" eb="26">
      <t>キョカ</t>
    </rPh>
    <rPh sb="27" eb="28">
      <t>エ</t>
    </rPh>
    <phoneticPr fontId="1"/>
  </si>
  <si>
    <t>サマリー、服薬情報のコピーを準備する</t>
    <rPh sb="5" eb="7">
      <t>フクヤク</t>
    </rPh>
    <rPh sb="7" eb="9">
      <t>ジョウホウ</t>
    </rPh>
    <rPh sb="14" eb="16">
      <t>ジュンビ</t>
    </rPh>
    <phoneticPr fontId="1"/>
  </si>
  <si>
    <t>家族へ搬送の理由を説明する</t>
    <rPh sb="0" eb="2">
      <t>カゾク</t>
    </rPh>
    <rPh sb="3" eb="5">
      <t>ハンソウ</t>
    </rPh>
    <rPh sb="6" eb="8">
      <t>リユウ</t>
    </rPh>
    <rPh sb="9" eb="11">
      <t>セツメイ</t>
    </rPh>
    <phoneticPr fontId="1"/>
  </si>
  <si>
    <t>心停止、呼吸停止の場合はDNARの確認をする</t>
    <rPh sb="0" eb="3">
      <t>シンテイシ</t>
    </rPh>
    <rPh sb="4" eb="6">
      <t>コキュウ</t>
    </rPh>
    <rPh sb="6" eb="8">
      <t>テイシ</t>
    </rPh>
    <rPh sb="9" eb="11">
      <t>バアイ</t>
    </rPh>
    <rPh sb="17" eb="19">
      <t>カクニン</t>
    </rPh>
    <phoneticPr fontId="1"/>
  </si>
  <si>
    <t>※主治医及び家族に連絡して延命処置を行うかどうか確認する</t>
    <rPh sb="1" eb="4">
      <t>シュジイ</t>
    </rPh>
    <rPh sb="4" eb="5">
      <t>オヨ</t>
    </rPh>
    <rPh sb="6" eb="8">
      <t>カゾク</t>
    </rPh>
    <rPh sb="9" eb="11">
      <t>レンラク</t>
    </rPh>
    <rPh sb="13" eb="15">
      <t>エンメイ</t>
    </rPh>
    <rPh sb="15" eb="17">
      <t>ショチ</t>
    </rPh>
    <rPh sb="18" eb="19">
      <t>オコナ</t>
    </rPh>
    <rPh sb="24" eb="26">
      <t>カクニン</t>
    </rPh>
    <phoneticPr fontId="1"/>
  </si>
  <si>
    <t>《救急隊到着後に協力していただきたいこと》</t>
    <rPh sb="1" eb="4">
      <t>キュウキュウタイ</t>
    </rPh>
    <rPh sb="4" eb="6">
      <t>トウチャク</t>
    </rPh>
    <rPh sb="6" eb="7">
      <t>ゴ</t>
    </rPh>
    <rPh sb="8" eb="10">
      <t>キョウリョク</t>
    </rPh>
    <phoneticPr fontId="1"/>
  </si>
  <si>
    <t>救急現場まで救急隊を誘導する</t>
    <rPh sb="0" eb="2">
      <t>キュウキュウ</t>
    </rPh>
    <rPh sb="2" eb="4">
      <t>ゲンバ</t>
    </rPh>
    <rPh sb="6" eb="9">
      <t>キュウキュウタイ</t>
    </rPh>
    <rPh sb="10" eb="12">
      <t>ユウドウ</t>
    </rPh>
    <phoneticPr fontId="1"/>
  </si>
  <si>
    <t>１番状況をよく理解している１名が救急隊に状況を説明する</t>
    <rPh sb="1" eb="2">
      <t>バン</t>
    </rPh>
    <rPh sb="2" eb="4">
      <t>ジョウキョウ</t>
    </rPh>
    <rPh sb="7" eb="9">
      <t>リカイ</t>
    </rPh>
    <rPh sb="14" eb="15">
      <t>メイ</t>
    </rPh>
    <rPh sb="16" eb="19">
      <t>キュウキュウタイ</t>
    </rPh>
    <rPh sb="20" eb="22">
      <t>ジョウキョウ</t>
    </rPh>
    <rPh sb="23" eb="25">
      <t>セツメイ</t>
    </rPh>
    <phoneticPr fontId="1"/>
  </si>
  <si>
    <t>可能であれば救急車に同乗又は追走する</t>
    <rPh sb="0" eb="2">
      <t>カノウ</t>
    </rPh>
    <rPh sb="6" eb="9">
      <t>キュウキュウシャ</t>
    </rPh>
    <rPh sb="10" eb="12">
      <t>ドウジョウ</t>
    </rPh>
    <rPh sb="12" eb="13">
      <t>マタ</t>
    </rPh>
    <rPh sb="14" eb="16">
      <t>ツイソウ</t>
    </rPh>
    <phoneticPr fontId="1"/>
  </si>
  <si>
    <t>救急要請時の
状況</t>
    <rPh sb="0" eb="2">
      <t>キュウキュウ</t>
    </rPh>
    <rPh sb="2" eb="4">
      <t>ヨウセイ</t>
    </rPh>
    <rPh sb="4" eb="5">
      <t>ジ</t>
    </rPh>
    <rPh sb="7" eb="9">
      <t>ジョウキョウ</t>
    </rPh>
    <phoneticPr fontId="1"/>
  </si>
  <si>
    <t>◆ケアマネ業務</t>
    <phoneticPr fontId="1"/>
  </si>
  <si>
    <t xml:space="preserve">   アセスメントシート</t>
    <phoneticPr fontId="1"/>
  </si>
  <si>
    <t xml:space="preserve">   フェースシート</t>
    <phoneticPr fontId="1"/>
  </si>
  <si>
    <t xml:space="preserve">   医療・介護連携シート</t>
    <rPh sb="3" eb="5">
      <t>イリョウ</t>
    </rPh>
    <rPh sb="6" eb="8">
      <t>カイゴ</t>
    </rPh>
    <rPh sb="8" eb="10">
      <t>レンケイ</t>
    </rPh>
    <phoneticPr fontId="1"/>
  </si>
  <si>
    <t xml:space="preserve">   モニタリングシート</t>
    <phoneticPr fontId="1"/>
  </si>
  <si>
    <t xml:space="preserve">   担当者会議案内</t>
    <rPh sb="3" eb="6">
      <t>タントウシャ</t>
    </rPh>
    <rPh sb="6" eb="8">
      <t>カイギ</t>
    </rPh>
    <rPh sb="8" eb="10">
      <t>アンナイ</t>
    </rPh>
    <phoneticPr fontId="1"/>
  </si>
  <si>
    <t xml:space="preserve">   居宅届</t>
    <rPh sb="5" eb="6">
      <t>トドケ</t>
    </rPh>
    <phoneticPr fontId="1"/>
  </si>
  <si>
    <t xml:space="preserve">   居宅届（予防）</t>
    <rPh sb="3" eb="5">
      <t>キョタク</t>
    </rPh>
    <rPh sb="5" eb="6">
      <t>トドケ</t>
    </rPh>
    <rPh sb="7" eb="9">
      <t>ヨボウ</t>
    </rPh>
    <phoneticPr fontId="1"/>
  </si>
  <si>
    <t xml:space="preserve">   （更新）認定申請書</t>
    <rPh sb="4" eb="6">
      <t>コウシン</t>
    </rPh>
    <rPh sb="7" eb="9">
      <t>ニンテイ</t>
    </rPh>
    <rPh sb="9" eb="12">
      <t>シンセイショ</t>
    </rPh>
    <phoneticPr fontId="1"/>
  </si>
  <si>
    <t xml:space="preserve">   （変更）認定申請書</t>
    <rPh sb="4" eb="6">
      <t>ヘンコウ</t>
    </rPh>
    <rPh sb="7" eb="9">
      <t>ニンテイ</t>
    </rPh>
    <rPh sb="9" eb="12">
      <t>シンセイショ</t>
    </rPh>
    <phoneticPr fontId="1"/>
  </si>
  <si>
    <t xml:space="preserve">   資料提供申請書</t>
    <rPh sb="3" eb="5">
      <t>シリョウ</t>
    </rPh>
    <rPh sb="5" eb="7">
      <t>テイキョウ</t>
    </rPh>
    <rPh sb="7" eb="10">
      <t>シンセイショ</t>
    </rPh>
    <phoneticPr fontId="1"/>
  </si>
  <si>
    <t xml:space="preserve">   居宅サービス事業所の選択
   に関する説明に係る確認書</t>
    <phoneticPr fontId="1"/>
  </si>
  <si>
    <t xml:space="preserve">   デイ報告書</t>
    <rPh sb="5" eb="8">
      <t>ホウコクショ</t>
    </rPh>
    <phoneticPr fontId="1"/>
  </si>
  <si>
    <t xml:space="preserve">   ヘルパー報告書</t>
    <rPh sb="7" eb="10">
      <t>ホウコクショ</t>
    </rPh>
    <phoneticPr fontId="1"/>
  </si>
  <si>
    <t xml:space="preserve">   おくすり情報</t>
    <rPh sb="7" eb="9">
      <t>ジョウホウ</t>
    </rPh>
    <phoneticPr fontId="1"/>
  </si>
  <si>
    <t xml:space="preserve">   訪看報告書</t>
    <phoneticPr fontId="1"/>
  </si>
  <si>
    <t>◆その他報告書</t>
    <rPh sb="3" eb="4">
      <t>タ</t>
    </rPh>
    <rPh sb="4" eb="7">
      <t>ホウコクショ</t>
    </rPh>
    <phoneticPr fontId="1"/>
  </si>
  <si>
    <t xml:space="preserve">   入院時情報提供（手入力）</t>
    <rPh sb="3" eb="5">
      <t>ニュウイン</t>
    </rPh>
    <rPh sb="5" eb="6">
      <t>ジ</t>
    </rPh>
    <rPh sb="6" eb="8">
      <t>ジョウホウ</t>
    </rPh>
    <rPh sb="8" eb="10">
      <t>テイキョウ</t>
    </rPh>
    <rPh sb="11" eb="12">
      <t>テ</t>
    </rPh>
    <rPh sb="12" eb="14">
      <t>ニュウリョク</t>
    </rPh>
    <phoneticPr fontId="1"/>
  </si>
  <si>
    <t xml:space="preserve">   入院時情報提供（貼付作成）</t>
    <rPh sb="3" eb="5">
      <t>ニュウイン</t>
    </rPh>
    <rPh sb="5" eb="6">
      <t>ジ</t>
    </rPh>
    <rPh sb="6" eb="8">
      <t>ジョウホウ</t>
    </rPh>
    <rPh sb="8" eb="10">
      <t>テイキョウ</t>
    </rPh>
    <rPh sb="11" eb="13">
      <t>チョウフ</t>
    </rPh>
    <rPh sb="13" eb="15">
      <t>サクセイ</t>
    </rPh>
    <phoneticPr fontId="1"/>
  </si>
  <si>
    <t>報告</t>
    <rPh sb="0" eb="2">
      <t>ホウコク</t>
    </rPh>
    <phoneticPr fontId="1"/>
  </si>
  <si>
    <t>居宅庶務</t>
    <rPh sb="0" eb="2">
      <t>キョタク</t>
    </rPh>
    <rPh sb="2" eb="4">
      <t>ショム</t>
    </rPh>
    <phoneticPr fontId="1"/>
  </si>
  <si>
    <t>記録者</t>
    <rPh sb="0" eb="3">
      <t>キロクシャ</t>
    </rPh>
    <phoneticPr fontId="1"/>
  </si>
  <si>
    <t>CM</t>
    <phoneticPr fontId="1"/>
  </si>
  <si>
    <t>入退去に関する連絡</t>
    <rPh sb="0" eb="3">
      <t>ニュウタイキョ</t>
    </rPh>
    <rPh sb="4" eb="5">
      <t>カン</t>
    </rPh>
    <rPh sb="7" eb="9">
      <t>レンラク</t>
    </rPh>
    <phoneticPr fontId="1"/>
  </si>
  <si>
    <t>利用者名：</t>
    <rPh sb="0" eb="3">
      <t>リヨウシャ</t>
    </rPh>
    <rPh sb="3" eb="4">
      <t>メイ</t>
    </rPh>
    <phoneticPr fontId="1"/>
  </si>
  <si>
    <t>新規契約日：</t>
    <rPh sb="0" eb="2">
      <t>シンキ</t>
    </rPh>
    <rPh sb="2" eb="4">
      <t>ケイヤク</t>
    </rPh>
    <rPh sb="4" eb="5">
      <t>ビ</t>
    </rPh>
    <phoneticPr fontId="1"/>
  </si>
  <si>
    <t>入居予定日：</t>
    <rPh sb="0" eb="2">
      <t>ニュウキョ</t>
    </rPh>
    <rPh sb="2" eb="4">
      <t>ヨテイ</t>
    </rPh>
    <rPh sb="4" eb="5">
      <t>ビ</t>
    </rPh>
    <phoneticPr fontId="1"/>
  </si>
  <si>
    <t>計画書のサイン方法：</t>
    <rPh sb="0" eb="3">
      <t>ケイカクショ</t>
    </rPh>
    <rPh sb="7" eb="9">
      <t>ホウホウ</t>
    </rPh>
    <phoneticPr fontId="1"/>
  </si>
  <si>
    <t>本人</t>
    <rPh sb="0" eb="2">
      <t>ホンニン</t>
    </rPh>
    <phoneticPr fontId="1"/>
  </si>
  <si>
    <t>家族代筆</t>
    <rPh sb="0" eb="2">
      <t>カゾク</t>
    </rPh>
    <rPh sb="2" eb="4">
      <t>ダイヒツ</t>
    </rPh>
    <phoneticPr fontId="1"/>
  </si>
  <si>
    <t>家族メール</t>
    <rPh sb="0" eb="2">
      <t>カゾク</t>
    </rPh>
    <phoneticPr fontId="1"/>
  </si>
  <si>
    <t>【新規入居準備等】</t>
    <rPh sb="1" eb="3">
      <t>シンキ</t>
    </rPh>
    <rPh sb="3" eb="5">
      <t>ニュウキョ</t>
    </rPh>
    <rPh sb="5" eb="7">
      <t>ジュンビ</t>
    </rPh>
    <rPh sb="7" eb="8">
      <t>トウ</t>
    </rPh>
    <phoneticPr fontId="1"/>
  </si>
  <si>
    <t>ケースファイル</t>
    <phoneticPr fontId="1"/>
  </si>
  <si>
    <t>書類用ファルダ</t>
    <rPh sb="0" eb="3">
      <t>ショルイヨウ</t>
    </rPh>
    <phoneticPr fontId="1"/>
  </si>
  <si>
    <t>居宅サービス事業所に係る確認書、往診の同意書</t>
    <rPh sb="0" eb="2">
      <t>キョタク</t>
    </rPh>
    <rPh sb="6" eb="9">
      <t>ジギョウショ</t>
    </rPh>
    <rPh sb="10" eb="11">
      <t>カカワ</t>
    </rPh>
    <rPh sb="12" eb="15">
      <t>カクニンショ</t>
    </rPh>
    <rPh sb="16" eb="18">
      <t>オウシン</t>
    </rPh>
    <rPh sb="19" eb="22">
      <t>ドウイショ</t>
    </rPh>
    <phoneticPr fontId="1"/>
  </si>
  <si>
    <t>居宅変更届、資料提供申請書</t>
    <rPh sb="0" eb="2">
      <t>キョタク</t>
    </rPh>
    <rPh sb="2" eb="4">
      <t>ヘンコウ</t>
    </rPh>
    <rPh sb="4" eb="5">
      <t>トドケ</t>
    </rPh>
    <rPh sb="6" eb="8">
      <t>シリョウ</t>
    </rPh>
    <rPh sb="8" eb="10">
      <t>テイキョウ</t>
    </rPh>
    <rPh sb="10" eb="13">
      <t>シンセイショ</t>
    </rPh>
    <phoneticPr fontId="1"/>
  </si>
  <si>
    <t>区分限度額余剰試算表データ作成</t>
    <rPh sb="0" eb="2">
      <t>クブン</t>
    </rPh>
    <rPh sb="2" eb="4">
      <t>ゲンド</t>
    </rPh>
    <rPh sb="4" eb="5">
      <t>ガク</t>
    </rPh>
    <rPh sb="5" eb="7">
      <t>ヨジョウ</t>
    </rPh>
    <rPh sb="7" eb="10">
      <t>シサンヒョウ</t>
    </rPh>
    <rPh sb="13" eb="15">
      <t>サクセイ</t>
    </rPh>
    <phoneticPr fontId="1"/>
  </si>
  <si>
    <t>WINケア基本情報　居宅同一建物減算と負担割合の入力確認</t>
    <rPh sb="5" eb="7">
      <t>キホン</t>
    </rPh>
    <rPh sb="7" eb="9">
      <t>ジョウホウ</t>
    </rPh>
    <rPh sb="10" eb="12">
      <t>キョタク</t>
    </rPh>
    <rPh sb="12" eb="14">
      <t>ドウイツ</t>
    </rPh>
    <rPh sb="14" eb="16">
      <t>タテモノ</t>
    </rPh>
    <rPh sb="16" eb="18">
      <t>ゲンザン</t>
    </rPh>
    <rPh sb="19" eb="21">
      <t>フタン</t>
    </rPh>
    <rPh sb="21" eb="23">
      <t>ワリアイ</t>
    </rPh>
    <rPh sb="24" eb="26">
      <t>ニュウリョク</t>
    </rPh>
    <rPh sb="26" eb="28">
      <t>カクニン</t>
    </rPh>
    <phoneticPr fontId="1"/>
  </si>
  <si>
    <t>区分限度額余剰試算表データを来月分より削除</t>
    <rPh sb="0" eb="2">
      <t>クブン</t>
    </rPh>
    <rPh sb="2" eb="4">
      <t>ゲンド</t>
    </rPh>
    <rPh sb="4" eb="5">
      <t>ガク</t>
    </rPh>
    <rPh sb="5" eb="7">
      <t>ヨジョウ</t>
    </rPh>
    <rPh sb="7" eb="10">
      <t>シサンヒョウ</t>
    </rPh>
    <rPh sb="14" eb="16">
      <t>ライゲツ</t>
    </rPh>
    <rPh sb="16" eb="17">
      <t>ブン</t>
    </rPh>
    <rPh sb="19" eb="21">
      <t>サクジョ</t>
    </rPh>
    <phoneticPr fontId="1"/>
  </si>
  <si>
    <t>WINケア利用情報　利用終了日の入力</t>
    <rPh sb="5" eb="7">
      <t>リヨウ</t>
    </rPh>
    <rPh sb="7" eb="9">
      <t>ジョウホウ</t>
    </rPh>
    <rPh sb="10" eb="12">
      <t>リヨウ</t>
    </rPh>
    <rPh sb="12" eb="14">
      <t>シュウリョウ</t>
    </rPh>
    <rPh sb="14" eb="15">
      <t>ビ</t>
    </rPh>
    <rPh sb="16" eb="18">
      <t>ニュウリョク</t>
    </rPh>
    <phoneticPr fontId="1"/>
  </si>
  <si>
    <t>【廃止ケースに伴う業務】</t>
    <rPh sb="1" eb="3">
      <t>ハイシ</t>
    </rPh>
    <rPh sb="7" eb="8">
      <t>トモナ</t>
    </rPh>
    <rPh sb="9" eb="11">
      <t>ギョウム</t>
    </rPh>
    <phoneticPr fontId="1"/>
  </si>
  <si>
    <r>
      <rPr>
        <sz val="11"/>
        <rFont val="游ゴシック"/>
        <family val="3"/>
        <charset val="128"/>
        <scheme val="minor"/>
      </rPr>
      <t>一色さんへ</t>
    </r>
    <r>
      <rPr>
        <b/>
        <sz val="11"/>
        <color theme="10"/>
        <rFont val="游ゴシック"/>
        <family val="3"/>
        <charset val="128"/>
        <scheme val="minor"/>
      </rPr>
      <t>『入退去に関する連絡』</t>
    </r>
    <r>
      <rPr>
        <sz val="11"/>
        <rFont val="游ゴシック"/>
        <family val="3"/>
        <charset val="128"/>
        <scheme val="minor"/>
      </rPr>
      <t>を提出</t>
    </r>
    <rPh sb="0" eb="2">
      <t>イッシキ</t>
    </rPh>
    <phoneticPr fontId="1"/>
  </si>
  <si>
    <t>ローレル薬局</t>
    <rPh sb="4" eb="6">
      <t>ヤッキョク</t>
    </rPh>
    <phoneticPr fontId="1"/>
  </si>
  <si>
    <t>令和7年5月　　日</t>
    <rPh sb="0" eb="1">
      <t>レイ</t>
    </rPh>
    <rPh sb="1" eb="2">
      <t>ワ</t>
    </rPh>
    <rPh sb="3" eb="4">
      <t>ネン</t>
    </rPh>
    <rPh sb="5" eb="6">
      <t>ガツ</t>
    </rPh>
    <rPh sb="8" eb="9">
      <t>ニチ</t>
    </rPh>
    <phoneticPr fontId="15"/>
  </si>
  <si>
    <t>●住宅権利</t>
  </si>
  <si>
    <t>水分とろみ</t>
  </si>
  <si>
    <t>口腔衛生</t>
  </si>
  <si>
    <t>自歯の有無</t>
  </si>
  <si>
    <t>いつもお世話になっております。
必要と考えられる支援についてはケアプランに記載いたしましたので、ご確認くださいますようお願いいたします。
先生の方から何かご指示などがございましたら、ご連絡をいただけますと幸いです。</t>
    <rPh sb="4" eb="6">
      <t>セワ</t>
    </rPh>
    <rPh sb="60" eb="61">
      <t>ネガ</t>
    </rPh>
    <rPh sb="102" eb="103">
      <t>サイワ</t>
    </rPh>
    <phoneticPr fontId="15"/>
  </si>
  <si>
    <t>mmHg</t>
    <phoneticPr fontId="1"/>
  </si>
  <si>
    <t>回/分</t>
    <phoneticPr fontId="1"/>
  </si>
  <si>
    <t>％</t>
    <phoneticPr fontId="1"/>
  </si>
  <si>
    <t>℃</t>
    <phoneticPr fontId="1"/>
  </si>
  <si>
    <t>様</t>
    <rPh sb="0" eb="1">
      <t>サマ</t>
    </rPh>
    <phoneticPr fontId="1"/>
  </si>
  <si>
    <t xml:space="preserve">   入退去に関する連絡用紙</t>
    <rPh sb="3" eb="6">
      <t>ニュウタイキョ</t>
    </rPh>
    <rPh sb="7" eb="8">
      <t>カン</t>
    </rPh>
    <rPh sb="10" eb="12">
      <t>レンラク</t>
    </rPh>
    <rPh sb="12" eb="14">
      <t>ヨウシ</t>
    </rPh>
    <phoneticPr fontId="1"/>
  </si>
  <si>
    <t>現疾患</t>
    <rPh sb="0" eb="1">
      <t>ゲン</t>
    </rPh>
    <rPh sb="1" eb="3">
      <t>シッカン</t>
    </rPh>
    <phoneticPr fontId="1"/>
  </si>
  <si>
    <t>おくすり手帳参照</t>
    <rPh sb="4" eb="6">
      <t>テチョウ</t>
    </rPh>
    <rPh sb="6" eb="8">
      <t>サンショウ</t>
    </rPh>
    <phoneticPr fontId="1"/>
  </si>
  <si>
    <t>健康状態</t>
    <rPh sb="0" eb="2">
      <t>ケンコウ</t>
    </rPh>
    <rPh sb="2" eb="4">
      <t>ジョウタイ</t>
    </rPh>
    <phoneticPr fontId="1"/>
  </si>
  <si>
    <t>医療機関</t>
    <rPh sb="0" eb="2">
      <t>イリョウ</t>
    </rPh>
    <rPh sb="2" eb="4">
      <t>キカン</t>
    </rPh>
    <phoneticPr fontId="1"/>
  </si>
  <si>
    <t>主治医</t>
    <rPh sb="0" eb="3">
      <t>シュジイ</t>
    </rPh>
    <phoneticPr fontId="1"/>
  </si>
  <si>
    <t>かかりつけ</t>
    <phoneticPr fontId="1"/>
  </si>
  <si>
    <t>内服薬</t>
    <rPh sb="0" eb="2">
      <t>ナイフク</t>
    </rPh>
    <rPh sb="2" eb="3">
      <t>ヤク</t>
    </rPh>
    <phoneticPr fontId="1"/>
  </si>
  <si>
    <t>連絡先</t>
    <rPh sb="0" eb="3">
      <t>レンラクサキ</t>
    </rPh>
    <phoneticPr fontId="1"/>
  </si>
  <si>
    <t>先生</t>
    <rPh sb="0" eb="2">
      <t>センセイ</t>
    </rPh>
    <phoneticPr fontId="1"/>
  </si>
  <si>
    <t>医療機関名</t>
    <rPh sb="0" eb="2">
      <t>イリョウ</t>
    </rPh>
    <rPh sb="2" eb="4">
      <t>キカン</t>
    </rPh>
    <rPh sb="4" eb="5">
      <t>メイ</t>
    </rPh>
    <phoneticPr fontId="1"/>
  </si>
  <si>
    <t>担当医</t>
    <rPh sb="0" eb="2">
      <t>タントウ</t>
    </rPh>
    <rPh sb="2" eb="3">
      <t>イ</t>
    </rPh>
    <phoneticPr fontId="1"/>
  </si>
  <si>
    <t>往診医</t>
    <rPh sb="0" eb="2">
      <t>オウシン</t>
    </rPh>
    <rPh sb="2" eb="3">
      <t>イ</t>
    </rPh>
    <phoneticPr fontId="1"/>
  </si>
  <si>
    <t>アレルギー</t>
    <phoneticPr fontId="1"/>
  </si>
  <si>
    <t>加藤医院</t>
    <rPh sb="0" eb="2">
      <t>カトウ</t>
    </rPh>
    <rPh sb="2" eb="4">
      <t>イイン</t>
    </rPh>
    <phoneticPr fontId="1"/>
  </si>
  <si>
    <t>遠山病院</t>
    <rPh sb="0" eb="2">
      <t>トオヤマ</t>
    </rPh>
    <rPh sb="2" eb="4">
      <t>ビョウイン</t>
    </rPh>
    <phoneticPr fontId="1"/>
  </si>
  <si>
    <t>武内病院</t>
    <rPh sb="0" eb="2">
      <t>タケウチ</t>
    </rPh>
    <rPh sb="2" eb="4">
      <t>ビョウイン</t>
    </rPh>
    <phoneticPr fontId="1"/>
  </si>
  <si>
    <t>津生協病院</t>
    <rPh sb="0" eb="1">
      <t>ツ</t>
    </rPh>
    <rPh sb="1" eb="3">
      <t>セイキョウ</t>
    </rPh>
    <rPh sb="3" eb="5">
      <t>ビョウイン</t>
    </rPh>
    <phoneticPr fontId="1"/>
  </si>
  <si>
    <t>三重大学医学部附属病院</t>
    <rPh sb="0" eb="11">
      <t>ミエダイガクイガクブフゾクビョウイン</t>
    </rPh>
    <phoneticPr fontId="1"/>
  </si>
  <si>
    <t>三重中央医療センター</t>
    <rPh sb="0" eb="6">
      <t>ミエチュウオウイリョウ</t>
    </rPh>
    <phoneticPr fontId="1"/>
  </si>
  <si>
    <t>永井病院</t>
    <rPh sb="0" eb="2">
      <t>ナガイ</t>
    </rPh>
    <rPh sb="2" eb="4">
      <t>ビョウイン</t>
    </rPh>
    <phoneticPr fontId="1"/>
  </si>
  <si>
    <t>やまもと総合診療クリニック</t>
    <rPh sb="4" eb="6">
      <t>ソウゴウ</t>
    </rPh>
    <rPh sb="6" eb="8">
      <t>シンリョウ</t>
    </rPh>
    <phoneticPr fontId="1"/>
  </si>
  <si>
    <t>やまもと総合診療クリニック</t>
    <rPh sb="4" eb="8">
      <t>ソウゴウシンリョウ</t>
    </rPh>
    <phoneticPr fontId="1"/>
  </si>
  <si>
    <t>無し</t>
    <rPh sb="0" eb="1">
      <t>ナシ</t>
    </rPh>
    <phoneticPr fontId="1"/>
  </si>
  <si>
    <t>ケアマネ</t>
    <phoneticPr fontId="1"/>
  </si>
  <si>
    <t>担当居宅</t>
    <rPh sb="0" eb="2">
      <t>タントウ</t>
    </rPh>
    <rPh sb="2" eb="4">
      <t>キョタク</t>
    </rPh>
    <phoneticPr fontId="1"/>
  </si>
  <si>
    <t>居宅介護支援事業所　Komorebi</t>
    <phoneticPr fontId="1"/>
  </si>
  <si>
    <t>しおりの里居宅介護支援事業所</t>
    <phoneticPr fontId="1"/>
  </si>
  <si>
    <t>居宅介護支援事業所　さくら</t>
    <phoneticPr fontId="1"/>
  </si>
  <si>
    <t>合同会社居宅介護支援センターはる</t>
    <phoneticPr fontId="1"/>
  </si>
  <si>
    <t>あおぞら居宅介護支援事業所</t>
  </si>
  <si>
    <t>ことのは</t>
    <phoneticPr fontId="1"/>
  </si>
  <si>
    <t>三重ケアマネセンター</t>
    <phoneticPr fontId="1"/>
  </si>
  <si>
    <t>居宅介護支援　はせやま</t>
  </si>
  <si>
    <t>居宅介護支援事業所　安濃津ろまん</t>
    <rPh sb="0" eb="9">
      <t>キョタクカイゴシエンジギョウショ</t>
    </rPh>
    <rPh sb="10" eb="12">
      <t>アノウ</t>
    </rPh>
    <rPh sb="12" eb="13">
      <t>ツ</t>
    </rPh>
    <phoneticPr fontId="1"/>
  </si>
  <si>
    <t>先生</t>
  </si>
  <si>
    <t>往診医</t>
  </si>
  <si>
    <t>かかりつけ</t>
  </si>
  <si>
    <t>通院状況</t>
  </si>
  <si>
    <t>アレルギー</t>
  </si>
  <si>
    <t>服薬状況</t>
  </si>
  <si>
    <t>安濃津ろまん　相談室</t>
    <rPh sb="0" eb="6">
      <t>ア</t>
    </rPh>
    <rPh sb="7" eb="10">
      <t>ソウダンシツ</t>
    </rPh>
    <phoneticPr fontId="15"/>
  </si>
  <si>
    <t>安濃津ろまん入居に伴い、介護サービスについて検討する</t>
    <rPh sb="0" eb="2">
      <t>アノウ</t>
    </rPh>
    <rPh sb="2" eb="3">
      <t>ツ</t>
    </rPh>
    <rPh sb="6" eb="8">
      <t>ニュウキョ</t>
    </rPh>
    <rPh sb="9" eb="10">
      <t>トモナ</t>
    </rPh>
    <rPh sb="12" eb="14">
      <t>カイゴ</t>
    </rPh>
    <rPh sb="22" eb="24">
      <t>ケントウ</t>
    </rPh>
    <phoneticPr fontId="15"/>
  </si>
  <si>
    <t>13：30</t>
    <phoneticPr fontId="1"/>
  </si>
  <si>
    <t>ローレル薬局</t>
    <phoneticPr fontId="15"/>
  </si>
  <si>
    <t>月</t>
    <phoneticPr fontId="1"/>
  </si>
  <si>
    <t>日</t>
    <phoneticPr fontId="1"/>
  </si>
  <si>
    <t>月</t>
    <rPh sb="0" eb="1">
      <t>ゲツ</t>
    </rPh>
    <phoneticPr fontId="1"/>
  </si>
  <si>
    <t>(</t>
    <phoneticPr fontId="1"/>
  </si>
  <si>
    <t>曜日 )</t>
    <rPh sb="0" eb="2">
      <t>ヨウビ</t>
    </rPh>
    <phoneticPr fontId="1"/>
  </si>
  <si>
    <t xml:space="preserve">  令和7年</t>
    <rPh sb="2" eb="4">
      <t>レイワ</t>
    </rPh>
    <rPh sb="5" eb="6">
      <t>ネン</t>
    </rPh>
    <phoneticPr fontId="1"/>
  </si>
  <si>
    <t>モニタリングシート!J3</t>
  </si>
  <si>
    <t>モニタリングシート!J39</t>
  </si>
  <si>
    <t>モニタリングシート!J57</t>
  </si>
  <si>
    <t>モニタリングシート!J75</t>
  </si>
  <si>
    <t>モニタリングシート!J93</t>
  </si>
  <si>
    <t>モニタリングシート!J21</t>
  </si>
  <si>
    <t>サービス担当者会議に出席します</t>
    <rPh sb="4" eb="7">
      <t>タントウシャ</t>
    </rPh>
    <rPh sb="7" eb="9">
      <t>カイギ</t>
    </rPh>
    <rPh sb="10" eb="12">
      <t>シュッセキ</t>
    </rPh>
    <phoneticPr fontId="15"/>
  </si>
  <si>
    <t>新規・変更</t>
    <phoneticPr fontId="1"/>
  </si>
  <si>
    <t>　　　 　年　 　月 　　日付　　　　　　　　　　　　　　　　　　　　　　　　　　　</t>
    <phoneticPr fontId="1"/>
  </si>
  <si>
    <r>
      <rPr>
        <sz val="9"/>
        <color theme="1"/>
        <rFont val="MS UI Gothic"/>
        <family val="3"/>
        <charset val="128"/>
      </rPr>
      <t>●</t>
    </r>
    <r>
      <rPr>
        <sz val="8"/>
        <color theme="1"/>
        <rFont val="MS UI Gothic"/>
        <family val="3"/>
        <charset val="128"/>
      </rPr>
      <t>住宅改修の必要性</t>
    </r>
    <phoneticPr fontId="73"/>
  </si>
  <si>
    <t>特別な
医療処置</t>
    <rPh sb="0" eb="2">
      <t>トクベツ</t>
    </rPh>
    <rPh sb="4" eb="6">
      <t>イリョウ</t>
    </rPh>
    <rPh sb="6" eb="8">
      <t>ショチ</t>
    </rPh>
    <phoneticPr fontId="73"/>
  </si>
  <si>
    <t>主治医
＊安濃津ろまん
　入居後(中)　</t>
    <phoneticPr fontId="73"/>
  </si>
  <si>
    <t>利用サ|ビス</t>
    <phoneticPr fontId="73"/>
  </si>
  <si>
    <t>介護サービス</t>
    <phoneticPr fontId="73"/>
  </si>
  <si>
    <t>インフォーマル
サービス</t>
    <phoneticPr fontId="73"/>
  </si>
  <si>
    <t>A  D  L</t>
  </si>
  <si>
    <t>会    話</t>
  </si>
  <si>
    <t>意思疎通</t>
  </si>
  <si>
    <t>年齢</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</si>
</sst>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ggge&quot;年&quot;m&quot;月&quot;d&quot;日&quot;;@" x16r2:formatCode16="[$-ja-JP-x-gannen]ggge&quot;年&quot;m&quot;月&quot;d&quot;日&quot;;@"/>
    <numFmt numFmtId="177" formatCode="[$]ggge&quot;年&quot;m&quot;月&quot;d&quot;日&quot;;@"/>
    <numFmt numFmtId="178" formatCode="[$-411]ggge&quot;年&quot;m&quot;月&quot;d&quot;日&quot;;@"/>
    <numFmt numFmtId="179" formatCode="[$]ggge&quot;年&quot;m&quot;月&quot;d&quot;日&quot;;@" x16r2:formatCode16="[$-ja-JP-x-gannen,80]ggge&quot;年&quot;m&quot;月&quot;d&quot;日&quot;;@"/>
    <numFmt numFmtId="180" formatCode="[$-411]ge\.m\.d;@"/>
    <numFmt numFmtId="181" formatCode="0_);[Red]\(0\)"/>
    <numFmt numFmtId="182" formatCode="0_ "/>
    <numFmt numFmtId="183" formatCode="[&lt;=99999999]####\-####;\(00\)\ ####\-####"/>
    <numFmt numFmtId="184" formatCode="yyyy/mm/dd"/>
  </numFmts>
  <fonts count="133" x14ac:knownFonts="1">
    <font>
      <sz val="11"/>
      <color theme="1"/>
      <name val="游ゴシック"/>
      <family val="2"/>
      <charset val="128"/>
      <scheme val="minor"/>
    </font>
    <font>
      <sz val="6"/>
      <name val="游ゴシック"/>
      <family val="2"/>
      <charset val="128"/>
      <scheme val="minor"/>
    </font>
    <font>
      <b/>
      <sz val="11"/>
      <color theme="1"/>
      <name val="游ゴシック"/>
      <family val="2"/>
      <charset val="128"/>
      <scheme val="minor"/>
    </font>
    <font>
      <sz val="11"/>
      <color theme="1"/>
      <name val="HGPｺﾞｼｯｸM"/>
      <family val="3"/>
      <charset val="128"/>
    </font>
    <font>
      <b/>
      <sz val="11"/>
      <color theme="1"/>
      <name val="HGPｺﾞｼｯｸM"/>
      <family val="3"/>
      <charset val="128"/>
    </font>
    <font>
      <sz val="10"/>
      <color theme="1"/>
      <name val="HGPｺﾞｼｯｸM"/>
      <family val="3"/>
      <charset val="128"/>
    </font>
    <font>
      <b/>
      <sz val="18"/>
      <color theme="1"/>
      <name val="HGPｺﾞｼｯｸM"/>
      <family val="3"/>
      <charset val="128"/>
    </font>
    <font>
      <sz val="10.5"/>
      <color theme="1"/>
      <name val="HGPｺﾞｼｯｸM"/>
      <family val="3"/>
      <charset val="128"/>
    </font>
    <font>
      <sz val="30"/>
      <color theme="1"/>
      <name val="ＭＳ 明朝"/>
      <family val="1"/>
      <charset val="128"/>
    </font>
    <font>
      <sz val="12"/>
      <color theme="1"/>
      <name val="ＭＳ 明朝"/>
      <family val="1"/>
      <charset val="128"/>
    </font>
    <font>
      <sz val="11"/>
      <color theme="1"/>
      <name val="ＭＳ 明朝"/>
      <family val="1"/>
      <charset val="128"/>
    </font>
    <font>
      <sz val="14"/>
      <color theme="1"/>
      <name val="HGPｺﾞｼｯｸM"/>
      <family val="3"/>
      <charset val="128"/>
    </font>
    <font>
      <sz val="11"/>
      <color rgb="FF000000"/>
      <name val="游ゴシック"/>
      <family val="2"/>
      <scheme val="minor"/>
    </font>
    <font>
      <sz val="11"/>
      <color theme="1"/>
      <name val="游ゴシック"/>
      <family val="3"/>
      <charset val="128"/>
      <scheme val="minor"/>
    </font>
    <font>
      <sz val="16"/>
      <color theme="1"/>
      <name val="游ゴシック"/>
      <family val="3"/>
      <charset val="128"/>
      <scheme val="minor"/>
    </font>
    <font>
      <sz val="6"/>
      <name val="ＭＳ Ｐゴシック"/>
      <family val="3"/>
      <charset val="128"/>
    </font>
    <font>
      <b/>
      <sz val="14"/>
      <color theme="1"/>
      <name val="HG丸ｺﾞｼｯｸM-PRO"/>
      <family val="3"/>
      <charset val="128"/>
    </font>
    <font>
      <u/>
      <sz val="11"/>
      <color theme="10"/>
      <name val="游ゴシック"/>
      <family val="2"/>
      <charset val="128"/>
      <scheme val="minor"/>
    </font>
    <font>
      <sz val="11"/>
      <name val="ＭＳ Ｐゴシック"/>
      <family val="3"/>
      <charset val="128"/>
    </font>
    <font>
      <sz val="11"/>
      <name val="ＭＳ 明朝"/>
      <family val="1"/>
      <charset val="128"/>
    </font>
    <font>
      <b/>
      <sz val="16"/>
      <name val="ＭＳ 明朝"/>
      <family val="1"/>
      <charset val="128"/>
    </font>
    <font>
      <sz val="8"/>
      <name val="ＭＳ 明朝"/>
      <family val="1"/>
      <charset val="128"/>
    </font>
    <font>
      <b/>
      <sz val="14"/>
      <name val="ＭＳ 明朝"/>
      <family val="1"/>
      <charset val="128"/>
    </font>
    <font>
      <b/>
      <sz val="12"/>
      <name val="ＭＳ 明朝"/>
      <family val="1"/>
      <charset val="128"/>
    </font>
    <font>
      <sz val="14"/>
      <name val="ＭＳ 明朝"/>
      <family val="1"/>
      <charset val="128"/>
    </font>
    <font>
      <sz val="10"/>
      <name val="ＭＳ 明朝"/>
      <family val="1"/>
      <charset val="128"/>
    </font>
    <font>
      <b/>
      <sz val="11"/>
      <name val="ＭＳ 明朝"/>
      <family val="1"/>
      <charset val="128"/>
    </font>
    <font>
      <sz val="12"/>
      <name val="ＭＳ 明朝"/>
      <family val="1"/>
      <charset val="128"/>
    </font>
    <font>
      <sz val="9"/>
      <name val="ＭＳ 明朝"/>
      <family val="1"/>
      <charset val="128"/>
    </font>
    <font>
      <sz val="6"/>
      <name val="ＭＳ 明朝"/>
      <family val="1"/>
      <charset val="128"/>
    </font>
    <font>
      <b/>
      <sz val="6"/>
      <name val="ＭＳ 明朝"/>
      <family val="1"/>
      <charset val="128"/>
    </font>
    <font>
      <sz val="12"/>
      <name val="ＭＳ Ｐゴシック"/>
      <family val="3"/>
      <charset val="128"/>
    </font>
    <font>
      <sz val="7"/>
      <name val="ＭＳ 明朝"/>
      <family val="1"/>
      <charset val="128"/>
    </font>
    <font>
      <sz val="7"/>
      <name val="ＭＳ Ｐゴシック"/>
      <family val="3"/>
      <charset val="128"/>
    </font>
    <font>
      <sz val="22"/>
      <name val="ＭＳ 明朝"/>
      <family val="1"/>
      <charset val="128"/>
    </font>
    <font>
      <b/>
      <sz val="9"/>
      <name val="ＭＳ 明朝"/>
      <family val="1"/>
      <charset val="128"/>
    </font>
    <font>
      <sz val="8.5"/>
      <name val="ＭＳ Ｐゴシック"/>
      <family val="3"/>
      <charset val="128"/>
    </font>
    <font>
      <sz val="9"/>
      <name val="ＭＳ Ｐゴシック"/>
      <family val="3"/>
      <charset val="128"/>
    </font>
    <font>
      <sz val="8"/>
      <name val="ＭＳ Ｐゴシック"/>
      <family val="3"/>
      <charset val="128"/>
    </font>
    <font>
      <b/>
      <sz val="12"/>
      <name val="ＭＳ Ｐ明朝"/>
      <family val="1"/>
      <charset val="128"/>
    </font>
    <font>
      <sz val="12"/>
      <name val="HG丸ｺﾞｼｯｸM-PRO"/>
      <family val="3"/>
      <charset val="128"/>
    </font>
    <font>
      <sz val="11"/>
      <name val="HG丸ｺﾞｼｯｸM-PRO"/>
      <family val="3"/>
      <charset val="128"/>
    </font>
    <font>
      <sz val="16"/>
      <name val="HG丸ｺﾞｼｯｸM-PRO"/>
      <family val="3"/>
      <charset val="128"/>
    </font>
    <font>
      <b/>
      <sz val="11"/>
      <name val="HG丸ｺﾞｼｯｸM-PRO"/>
      <family val="3"/>
      <charset val="128"/>
    </font>
    <font>
      <sz val="14"/>
      <name val="HG丸ｺﾞｼｯｸM-PRO"/>
      <family val="3"/>
      <charset val="128"/>
    </font>
    <font>
      <sz val="10"/>
      <name val="HG丸ｺﾞｼｯｸM-PRO"/>
      <family val="3"/>
      <charset val="128"/>
    </font>
    <font>
      <sz val="20"/>
      <color theme="1"/>
      <name val="BIZ UDPゴシック"/>
      <family val="3"/>
      <charset val="128"/>
    </font>
    <font>
      <sz val="20"/>
      <color theme="1"/>
      <name val="BIZ UDPゴシック"/>
      <family val="1"/>
      <charset val="128"/>
    </font>
    <font>
      <sz val="24"/>
      <color theme="1"/>
      <name val="Segoe UI Symbol"/>
      <family val="1"/>
    </font>
    <font>
      <sz val="9"/>
      <color theme="1"/>
      <name val="游ゴシック"/>
      <family val="3"/>
      <charset val="128"/>
      <scheme val="minor"/>
    </font>
    <font>
      <sz val="8"/>
      <color theme="1"/>
      <name val="游ゴシック"/>
      <family val="3"/>
      <charset val="128"/>
      <scheme val="minor"/>
    </font>
    <font>
      <b/>
      <sz val="12"/>
      <color theme="1"/>
      <name val="游ゴシック"/>
      <family val="3"/>
      <charset val="128"/>
      <scheme val="minor"/>
    </font>
    <font>
      <sz val="8"/>
      <color theme="1"/>
      <name val="游ゴシック"/>
      <family val="2"/>
      <charset val="128"/>
      <scheme val="minor"/>
    </font>
    <font>
      <sz val="10"/>
      <color theme="1"/>
      <name val="游ゴシック"/>
      <family val="2"/>
      <charset val="128"/>
      <scheme val="minor"/>
    </font>
    <font>
      <sz val="6"/>
      <color theme="1"/>
      <name val="游ゴシック"/>
      <family val="2"/>
      <charset val="128"/>
      <scheme val="minor"/>
    </font>
    <font>
      <sz val="6"/>
      <color theme="1"/>
      <name val="ＭＳ ゴシック"/>
      <family val="3"/>
      <charset val="128"/>
    </font>
    <font>
      <b/>
      <sz val="11"/>
      <name val="ＭＳ Ｐゴシック"/>
      <family val="3"/>
      <charset val="128"/>
    </font>
    <font>
      <u/>
      <sz val="11"/>
      <name val="ＭＳ 明朝"/>
      <family val="1"/>
      <charset val="128"/>
    </font>
    <font>
      <sz val="10"/>
      <name val="ＭＳ Ｐゴシック"/>
      <family val="3"/>
      <charset val="128"/>
    </font>
    <font>
      <sz val="10"/>
      <color theme="1"/>
      <name val="游ゴシック"/>
      <family val="3"/>
      <charset val="128"/>
      <scheme val="minor"/>
    </font>
    <font>
      <b/>
      <sz val="10"/>
      <name val="ＭＳ 明朝"/>
      <family val="1"/>
      <charset val="128"/>
    </font>
    <font>
      <b/>
      <sz val="10"/>
      <color theme="1"/>
      <name val="游ゴシック"/>
      <family val="2"/>
      <charset val="128"/>
      <scheme val="minor"/>
    </font>
    <font>
      <u/>
      <sz val="11"/>
      <color theme="1"/>
      <name val="游ゴシック"/>
      <family val="2"/>
      <charset val="128"/>
      <scheme val="minor"/>
    </font>
    <font>
      <sz val="10.45"/>
      <name val="ＭＳ 明朝"/>
      <family val="1"/>
      <charset val="128"/>
    </font>
    <font>
      <b/>
      <sz val="18"/>
      <color theme="1"/>
      <name val="游ゴシック"/>
      <family val="3"/>
      <charset val="128"/>
      <scheme val="minor"/>
    </font>
    <font>
      <sz val="20"/>
      <color theme="1"/>
      <name val="Segoe UI Symbol"/>
      <family val="3"/>
    </font>
    <font>
      <b/>
      <sz val="7.5"/>
      <color theme="1"/>
      <name val="游ゴシック"/>
      <family val="3"/>
      <charset val="128"/>
      <scheme val="minor"/>
    </font>
    <font>
      <b/>
      <sz val="9"/>
      <color theme="1"/>
      <name val="游ゴシック"/>
      <family val="3"/>
      <charset val="128"/>
      <scheme val="minor"/>
    </font>
    <font>
      <b/>
      <sz val="10"/>
      <color theme="1"/>
      <name val="游ゴシック"/>
      <family val="3"/>
      <charset val="128"/>
      <scheme val="minor"/>
    </font>
    <font>
      <b/>
      <sz val="7"/>
      <color theme="1"/>
      <name val="游ゴシック"/>
      <family val="3"/>
      <charset val="128"/>
      <scheme val="minor"/>
    </font>
    <font>
      <b/>
      <sz val="11"/>
      <color theme="1"/>
      <name val="游ゴシック"/>
      <family val="3"/>
      <charset val="128"/>
      <scheme val="minor"/>
    </font>
    <font>
      <b/>
      <sz val="8"/>
      <color theme="1"/>
      <name val="游ゴシック"/>
      <family val="3"/>
      <charset val="128"/>
      <scheme val="minor"/>
    </font>
    <font>
      <sz val="11"/>
      <color theme="1"/>
      <name val="游ゴシック"/>
      <family val="2"/>
      <scheme val="minor"/>
    </font>
    <font>
      <sz val="6"/>
      <name val="游ゴシック"/>
      <family val="3"/>
      <charset val="128"/>
      <scheme val="minor"/>
    </font>
    <font>
      <sz val="10"/>
      <color theme="1"/>
      <name val="游ゴシック"/>
      <family val="2"/>
      <scheme val="minor"/>
    </font>
    <font>
      <sz val="12"/>
      <color theme="1"/>
      <name val="游ゴシック"/>
      <family val="3"/>
      <charset val="128"/>
      <scheme val="minor"/>
    </font>
    <font>
      <sz val="9"/>
      <color theme="1"/>
      <name val="游ゴシック"/>
      <family val="2"/>
      <scheme val="minor"/>
    </font>
    <font>
      <b/>
      <sz val="6"/>
      <color theme="1"/>
      <name val="游ゴシック"/>
      <family val="3"/>
      <charset val="128"/>
      <scheme val="minor"/>
    </font>
    <font>
      <sz val="12"/>
      <color theme="1"/>
      <name val="HG丸ｺﾞｼｯｸM-PRO"/>
      <family val="3"/>
      <charset val="128"/>
    </font>
    <font>
      <sz val="12"/>
      <color theme="1"/>
      <name val="游ゴシック"/>
      <family val="2"/>
      <charset val="128"/>
      <scheme val="minor"/>
    </font>
    <font>
      <b/>
      <u/>
      <sz val="14"/>
      <color theme="1"/>
      <name val="HG丸ｺﾞｼｯｸM-PRO"/>
      <family val="3"/>
      <charset val="128"/>
    </font>
    <font>
      <sz val="11"/>
      <name val="游ゴシック"/>
      <family val="3"/>
      <charset val="128"/>
      <scheme val="minor"/>
    </font>
    <font>
      <sz val="9"/>
      <name val="游ゴシック"/>
      <family val="3"/>
      <charset val="128"/>
      <scheme val="minor"/>
    </font>
    <font>
      <b/>
      <sz val="16"/>
      <color theme="1"/>
      <name val="ＭＳ ゴシック"/>
      <family val="3"/>
      <charset val="128"/>
    </font>
    <font>
      <sz val="10.5"/>
      <color theme="1"/>
      <name val="Century"/>
      <family val="1"/>
    </font>
    <font>
      <sz val="10.5"/>
      <color rgb="FF000000"/>
      <name val="ＭＳ ゴシック"/>
      <family val="3"/>
      <charset val="128"/>
    </font>
    <font>
      <sz val="10"/>
      <color theme="1"/>
      <name val="Century"/>
      <family val="1"/>
    </font>
    <font>
      <sz val="10.5"/>
      <color theme="1"/>
      <name val="ＭＳ ゴシック"/>
      <family val="3"/>
      <charset val="128"/>
    </font>
    <font>
      <sz val="11"/>
      <color rgb="FF000000"/>
      <name val="ＭＳ ゴシック"/>
      <family val="3"/>
      <charset val="128"/>
    </font>
    <font>
      <sz val="11"/>
      <color rgb="FF000000"/>
      <name val="Century"/>
      <family val="1"/>
    </font>
    <font>
      <sz val="11"/>
      <color theme="1"/>
      <name val="ＭＳ ゴシック"/>
      <family val="3"/>
      <charset val="128"/>
    </font>
    <font>
      <sz val="11"/>
      <color theme="1"/>
      <name val="Century"/>
      <family val="1"/>
    </font>
    <font>
      <sz val="20"/>
      <color theme="1"/>
      <name val="ＭＳ ゴシック"/>
      <family val="3"/>
      <charset val="128"/>
    </font>
    <font>
      <sz val="10"/>
      <color theme="1"/>
      <name val="ＭＳ ゴシック"/>
      <family val="3"/>
      <charset val="128"/>
    </font>
    <font>
      <sz val="9"/>
      <color theme="1"/>
      <name val="ＭＳ ゴシック"/>
      <family val="3"/>
      <charset val="128"/>
    </font>
    <font>
      <sz val="8"/>
      <color theme="1"/>
      <name val="ＭＳ ゴシック"/>
      <family val="3"/>
      <charset val="128"/>
    </font>
    <font>
      <sz val="8"/>
      <color theme="1"/>
      <name val="Century"/>
      <family val="1"/>
    </font>
    <font>
      <sz val="8"/>
      <color theme="1"/>
      <name val="ＭＳ Ｐ明朝"/>
      <family val="1"/>
      <charset val="128"/>
    </font>
    <font>
      <b/>
      <sz val="14"/>
      <color theme="1"/>
      <name val="ＭＳ ゴシック"/>
      <family val="3"/>
      <charset val="128"/>
    </font>
    <font>
      <sz val="14"/>
      <color theme="1"/>
      <name val="游ゴシック"/>
      <family val="2"/>
      <charset val="128"/>
      <scheme val="minor"/>
    </font>
    <font>
      <b/>
      <sz val="11"/>
      <color rgb="FF0563C1"/>
      <name val="游ゴシック"/>
      <family val="3"/>
      <charset val="128"/>
      <scheme val="minor"/>
    </font>
    <font>
      <sz val="9"/>
      <color rgb="FF0563C1"/>
      <name val="游ゴシック"/>
      <family val="3"/>
      <charset val="128"/>
      <scheme val="minor"/>
    </font>
    <font>
      <b/>
      <sz val="11"/>
      <color theme="10"/>
      <name val="游ゴシック"/>
      <family val="3"/>
      <charset val="128"/>
      <scheme val="minor"/>
    </font>
    <font>
      <b/>
      <sz val="10"/>
      <color theme="10"/>
      <name val="游ゴシック"/>
      <family val="3"/>
      <charset val="128"/>
      <scheme val="minor"/>
    </font>
    <font>
      <sz val="11"/>
      <color theme="10"/>
      <name val="游ゴシック"/>
      <family val="3"/>
      <charset val="128"/>
      <scheme val="minor"/>
    </font>
    <font>
      <b/>
      <sz val="16"/>
      <color theme="10"/>
      <name val="游ゴシック"/>
      <family val="3"/>
      <charset val="128"/>
      <scheme val="minor"/>
    </font>
    <font>
      <sz val="10"/>
      <color theme="10"/>
      <name val="游ゴシック"/>
      <family val="3"/>
      <charset val="128"/>
      <scheme val="minor"/>
    </font>
    <font>
      <sz val="11"/>
      <color rgb="FF000000"/>
      <name val="Arial"/>
      <family val="2"/>
    </font>
    <font>
      <sz val="6"/>
      <color rgb="FF000000"/>
      <name val="Arial"/>
      <family val="2"/>
    </font>
    <font>
      <sz val="9"/>
      <color theme="1"/>
      <name val="HGPｺﾞｼｯｸM"/>
      <family val="3"/>
      <charset val="128"/>
    </font>
    <font>
      <b/>
      <sz val="16"/>
      <color theme="1"/>
      <name val="游ゴシック"/>
      <family val="3"/>
      <charset val="128"/>
      <scheme val="minor"/>
    </font>
    <font>
      <b/>
      <sz val="22"/>
      <color theme="1"/>
      <name val="HG丸ｺﾞｼｯｸM-PRO"/>
      <family val="3"/>
      <charset val="128"/>
    </font>
    <font>
      <b/>
      <sz val="20"/>
      <color theme="1"/>
      <name val="HG丸ｺﾞｼｯｸM-PRO"/>
      <family val="3"/>
      <charset val="128"/>
    </font>
    <font>
      <sz val="14"/>
      <color theme="1"/>
      <name val="HG丸ｺﾞｼｯｸM-PRO"/>
      <family val="3"/>
      <charset val="128"/>
    </font>
    <font>
      <sz val="6"/>
      <color rgb="FF212529"/>
      <name val="メイリオ"/>
      <family val="3"/>
      <charset val="128"/>
    </font>
    <font>
      <b/>
      <sz val="20"/>
      <color theme="1"/>
      <name val="游ゴシック"/>
      <family val="3"/>
      <charset val="128"/>
      <scheme val="minor"/>
    </font>
    <font>
      <b/>
      <sz val="16"/>
      <color theme="1"/>
      <name val="MS UI Gothic"/>
      <family val="3"/>
      <charset val="128"/>
    </font>
    <font>
      <b/>
      <sz val="16"/>
      <color rgb="FF000000"/>
      <name val="MS UI Gothic"/>
      <family val="3"/>
      <charset val="128"/>
    </font>
    <font>
      <sz val="10"/>
      <color rgb="FF000000"/>
      <name val="MS UI Gothic"/>
      <family val="3"/>
      <charset val="128"/>
    </font>
    <font>
      <sz val="9"/>
      <color theme="1"/>
      <name val="MS UI Gothic"/>
      <family val="3"/>
      <charset val="128"/>
    </font>
    <font>
      <sz val="9"/>
      <color rgb="FF000000"/>
      <name val="MS UI Gothic"/>
      <family val="3"/>
      <charset val="128"/>
    </font>
    <font>
      <sz val="10"/>
      <color theme="1"/>
      <name val="MS UI Gothic"/>
      <family val="3"/>
      <charset val="128"/>
    </font>
    <font>
      <b/>
      <sz val="16"/>
      <name val="MS UI Gothic"/>
      <family val="3"/>
      <charset val="128"/>
    </font>
    <font>
      <sz val="9"/>
      <name val="MS UI Gothic"/>
      <family val="3"/>
      <charset val="128"/>
    </font>
    <font>
      <sz val="10"/>
      <name val="MS UI Gothic"/>
      <family val="3"/>
      <charset val="128"/>
    </font>
    <font>
      <sz val="6"/>
      <color theme="1"/>
      <name val="MS UI Gothic"/>
      <family val="3"/>
      <charset val="128"/>
    </font>
    <font>
      <sz val="14"/>
      <color theme="1"/>
      <name val="MS UI Gothic"/>
      <family val="3"/>
      <charset val="128"/>
    </font>
    <font>
      <sz val="14"/>
      <color rgb="FF000000"/>
      <name val="MS UI Gothic"/>
      <family val="3"/>
      <charset val="128"/>
    </font>
    <font>
      <sz val="14"/>
      <name val="MS UI Gothic"/>
      <family val="3"/>
      <charset val="128"/>
    </font>
    <font>
      <sz val="6"/>
      <name val="MS UI Gothic"/>
      <family val="3"/>
      <charset val="128"/>
    </font>
    <font>
      <sz val="8"/>
      <color theme="1"/>
      <name val="MS UI Gothic"/>
      <family val="3"/>
      <charset val="128"/>
    </font>
    <font>
      <sz val="8"/>
      <color rgb="FF000000"/>
      <name val="MS UI Gothic"/>
      <family val="3"/>
      <charset val="128"/>
    </font>
    <font>
      <sz val="8"/>
      <name val="MS UI Gothic"/>
      <family val="3"/>
      <charset val="128"/>
    </font>
  </fonts>
  <fills count="13">
    <fill>
      <patternFill patternType="none"/>
    </fill>
    <fill>
      <patternFill patternType="gray125"/>
    </fill>
    <fill>
      <patternFill patternType="solid">
        <fgColor theme="0" tint="-0.249977111117893"/>
        <bgColor indexed="64"/>
      </patternFill>
    </fill>
    <fill>
      <patternFill patternType="solid">
        <fgColor theme="0" tint="-0.149845881527146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99FF"/>
        <bgColor indexed="64"/>
      </patternFill>
    </fill>
    <fill>
      <patternFill patternType="solid">
        <fgColor rgb="FF99FFCC"/>
        <bgColor indexed="64"/>
      </patternFill>
    </fill>
    <fill>
      <patternFill patternType="solid">
        <fgColor rgb="FFE5F5FF"/>
        <bgColor indexed="64"/>
      </patternFill>
    </fill>
    <fill>
      <patternFill patternType="solid">
        <fgColor theme="0" tint="-0.14999847407452621"/>
        <bgColor indexed="64"/>
      </patternFill>
    </fill>
    <fill>
      <patternFill patternType="solid">
        <fgColor rgb="FFFFFFFF"/>
        <bgColor rgb="FFFFFFFF"/>
      </patternFill>
    </fill>
    <fill>
      <patternFill patternType="solid">
        <fgColor theme="9" tint="0.59999389629810485"/>
        <bgColor rgb="FFA4C2F4"/>
      </patternFill>
    </fill>
  </fills>
  <borders count="16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hair">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thin">
        <color indexed="64"/>
      </top>
      <bottom style="dotted">
        <color indexed="64"/>
      </bottom>
      <diagonal/>
    </border>
    <border>
      <left/>
      <right style="thin">
        <color indexed="64"/>
      </right>
      <top style="dotted">
        <color indexed="64"/>
      </top>
      <bottom/>
      <diagonal/>
    </border>
    <border>
      <left/>
      <right style="hair">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style="medium">
        <color theme="5"/>
      </right>
      <top/>
      <bottom style="medium">
        <color theme="5"/>
      </bottom>
      <diagonal/>
    </border>
    <border>
      <left/>
      <right/>
      <top style="medium">
        <color theme="5"/>
      </top>
      <bottom/>
      <diagonal/>
    </border>
    <border>
      <left style="medium">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dotted">
        <color indexed="64"/>
      </left>
      <right style="dotted">
        <color indexed="64"/>
      </right>
      <top style="thin">
        <color indexed="64"/>
      </top>
      <bottom style="thin">
        <color indexed="64"/>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style="hair">
        <color indexed="64"/>
      </left>
      <right/>
      <top/>
      <bottom/>
      <diagonal/>
    </border>
    <border>
      <left style="hair">
        <color indexed="64"/>
      </left>
      <right/>
      <top style="thin">
        <color indexed="64"/>
      </top>
      <bottom/>
      <diagonal/>
    </border>
    <border>
      <left style="hair">
        <color indexed="64"/>
      </left>
      <right style="thin">
        <color indexed="64"/>
      </right>
      <top/>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right style="hair">
        <color indexed="64"/>
      </right>
      <top style="thin">
        <color indexed="64"/>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indexed="64"/>
      </right>
      <top style="thin">
        <color rgb="FF000000"/>
      </top>
      <bottom style="thin">
        <color rgb="FF000000"/>
      </bottom>
      <diagonal/>
    </border>
    <border>
      <left style="thin">
        <color rgb="FF000000"/>
      </left>
      <right/>
      <top style="thin">
        <color indexed="64"/>
      </top>
      <bottom/>
      <diagonal/>
    </border>
    <border>
      <left/>
      <right style="hair">
        <color indexed="64"/>
      </right>
      <top/>
      <bottom style="thin">
        <color rgb="FF000000"/>
      </bottom>
      <diagonal/>
    </border>
    <border>
      <left/>
      <right style="hair">
        <color indexed="64"/>
      </right>
      <top style="thin">
        <color rgb="FF000000"/>
      </top>
      <bottom/>
      <diagonal/>
    </border>
    <border>
      <left style="thin">
        <color indexed="64"/>
      </left>
      <right/>
      <top style="thin">
        <color rgb="FF000000"/>
      </top>
      <bottom/>
      <diagonal/>
    </border>
    <border>
      <left style="thin">
        <color rgb="FF000000"/>
      </left>
      <right style="thin">
        <color rgb="FF000000"/>
      </right>
      <top style="thin">
        <color indexed="64"/>
      </top>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indexed="64"/>
      </top>
      <bottom/>
      <diagonal/>
    </border>
    <border>
      <left style="hair">
        <color indexed="64"/>
      </left>
      <right/>
      <top style="thin">
        <color rgb="FF000000"/>
      </top>
      <bottom style="thin">
        <color rgb="FF000000"/>
      </bottom>
      <diagonal/>
    </border>
  </borders>
  <cellStyleXfs count="9">
    <xf numFmtId="0" fontId="0" fillId="0" borderId="0">
      <alignment vertical="center"/>
    </xf>
    <xf numFmtId="0" fontId="12" fillId="0" borderId="0"/>
    <xf numFmtId="0" fontId="13" fillId="0" borderId="0">
      <alignment vertical="center"/>
    </xf>
    <xf numFmtId="0" fontId="17" fillId="0" borderId="0" applyNumberFormat="0" applyFill="0" applyBorder="0" applyAlignment="0" applyProtection="0">
      <alignment vertical="center"/>
    </xf>
    <xf numFmtId="0" fontId="18" fillId="0" borderId="0"/>
    <xf numFmtId="0" fontId="19" fillId="0" borderId="0"/>
    <xf numFmtId="0" fontId="18" fillId="0" borderId="0">
      <alignment vertical="center"/>
    </xf>
    <xf numFmtId="0" fontId="18" fillId="0" borderId="0">
      <alignment vertical="center"/>
    </xf>
    <xf numFmtId="0" fontId="72" fillId="0" borderId="0"/>
  </cellStyleXfs>
  <cellXfs count="1899">
    <xf numFmtId="0" fontId="0" fillId="0" borderId="0" xfId="0">
      <alignment vertical="center"/>
    </xf>
    <xf numFmtId="0" fontId="3" fillId="0" borderId="0" xfId="0" applyFont="1">
      <alignment vertical="center"/>
    </xf>
    <xf numFmtId="0" fontId="4" fillId="0" borderId="0" xfId="0" applyFont="1">
      <alignment vertical="center"/>
    </xf>
    <xf numFmtId="0" fontId="3" fillId="0" borderId="3" xfId="0" applyFont="1" applyBorder="1">
      <alignment vertical="center"/>
    </xf>
    <xf numFmtId="0" fontId="2" fillId="0" borderId="0" xfId="0" applyFont="1">
      <alignment vertical="center"/>
    </xf>
    <xf numFmtId="0" fontId="3" fillId="0" borderId="22" xfId="0" applyFont="1" applyBorder="1">
      <alignment vertical="center"/>
    </xf>
    <xf numFmtId="0" fontId="0" fillId="0" borderId="0" xfId="0" applyAlignment="1">
      <alignment horizontal="right" vertical="center"/>
    </xf>
    <xf numFmtId="0" fontId="0" fillId="0" borderId="42" xfId="0" applyBorder="1">
      <alignment vertical="center"/>
    </xf>
    <xf numFmtId="0" fontId="3" fillId="0" borderId="3" xfId="0" applyFont="1" applyBorder="1" applyAlignment="1">
      <alignment horizontal="center" vertical="center" shrinkToFit="1"/>
    </xf>
    <xf numFmtId="0" fontId="9" fillId="0" borderId="0" xfId="0" applyFont="1" applyAlignment="1">
      <alignment horizontal="left" vertical="center"/>
    </xf>
    <xf numFmtId="0" fontId="9" fillId="0" borderId="0" xfId="0" applyFont="1">
      <alignment vertical="center"/>
    </xf>
    <xf numFmtId="0" fontId="9" fillId="0" borderId="0" xfId="0" applyFont="1" applyAlignment="1"/>
    <xf numFmtId="0" fontId="9" fillId="0" borderId="10" xfId="0" applyFont="1" applyBorder="1">
      <alignment vertical="center"/>
    </xf>
    <xf numFmtId="0" fontId="0" fillId="0" borderId="0" xfId="0" applyAlignment="1"/>
    <xf numFmtId="0" fontId="3" fillId="0" borderId="10" xfId="0" applyFont="1" applyBorder="1">
      <alignment vertical="center"/>
    </xf>
    <xf numFmtId="0" fontId="12" fillId="0" borderId="0" xfId="1" applyAlignment="1">
      <alignment vertical="center"/>
    </xf>
    <xf numFmtId="0" fontId="14" fillId="0" borderId="0" xfId="2" applyFont="1" applyAlignment="1">
      <alignment horizontal="center" vertical="center"/>
    </xf>
    <xf numFmtId="0" fontId="13" fillId="0" borderId="0" xfId="2" applyAlignment="1">
      <alignment horizontal="center" vertical="center"/>
    </xf>
    <xf numFmtId="0" fontId="13" fillId="0" borderId="0" xfId="2">
      <alignment vertical="center"/>
    </xf>
    <xf numFmtId="0" fontId="13" fillId="0" borderId="0" xfId="2" applyAlignment="1">
      <alignment horizontal="left" vertical="center"/>
    </xf>
    <xf numFmtId="0" fontId="13" fillId="0" borderId="39" xfId="2" applyBorder="1">
      <alignment vertical="center"/>
    </xf>
    <xf numFmtId="0" fontId="13" fillId="0" borderId="5" xfId="2" applyBorder="1" applyAlignment="1">
      <alignment horizontal="center" vertical="center"/>
    </xf>
    <xf numFmtId="0" fontId="13" fillId="0" borderId="5" xfId="2" applyBorder="1">
      <alignment vertical="center"/>
    </xf>
    <xf numFmtId="0" fontId="13" fillId="0" borderId="40" xfId="2" applyBorder="1">
      <alignment vertical="center"/>
    </xf>
    <xf numFmtId="0" fontId="13" fillId="0" borderId="41" xfId="2" applyBorder="1">
      <alignment vertical="center"/>
    </xf>
    <xf numFmtId="0" fontId="13" fillId="0" borderId="42" xfId="2" applyBorder="1">
      <alignment vertical="center"/>
    </xf>
    <xf numFmtId="0" fontId="13" fillId="0" borderId="43" xfId="2" applyBorder="1">
      <alignment vertical="center"/>
    </xf>
    <xf numFmtId="0" fontId="13" fillId="0" borderId="19" xfId="2" applyBorder="1">
      <alignment vertical="center"/>
    </xf>
    <xf numFmtId="0" fontId="13" fillId="0" borderId="20" xfId="2" applyBorder="1">
      <alignment vertical="center"/>
    </xf>
    <xf numFmtId="0" fontId="13" fillId="0" borderId="0" xfId="2" applyAlignment="1">
      <alignment horizontal="right" vertical="center"/>
    </xf>
    <xf numFmtId="0" fontId="13" fillId="0" borderId="57" xfId="2" applyBorder="1" applyAlignment="1">
      <alignment horizontal="center" vertical="center"/>
    </xf>
    <xf numFmtId="0" fontId="13" fillId="0" borderId="38" xfId="2" applyBorder="1">
      <alignment vertical="center"/>
    </xf>
    <xf numFmtId="0" fontId="13" fillId="0" borderId="15" xfId="2" applyBorder="1">
      <alignment vertical="center"/>
    </xf>
    <xf numFmtId="0" fontId="13" fillId="0" borderId="32" xfId="2" applyBorder="1">
      <alignment vertical="center"/>
    </xf>
    <xf numFmtId="0" fontId="19" fillId="0" borderId="0" xfId="4" applyFont="1"/>
    <xf numFmtId="0" fontId="20" fillId="0" borderId="0" xfId="4" applyFont="1" applyAlignment="1">
      <alignment vertical="center"/>
    </xf>
    <xf numFmtId="0" fontId="19" fillId="0" borderId="0" xfId="4" applyFont="1" applyAlignment="1">
      <alignment vertical="center"/>
    </xf>
    <xf numFmtId="0" fontId="21" fillId="0" borderId="0" xfId="4" applyFont="1" applyAlignment="1">
      <alignment vertical="center"/>
    </xf>
    <xf numFmtId="0" fontId="19" fillId="0" borderId="10" xfId="4" applyFont="1" applyBorder="1"/>
    <xf numFmtId="0" fontId="22" fillId="0" borderId="0" xfId="4" applyFont="1" applyAlignment="1">
      <alignment vertical="center" wrapText="1"/>
    </xf>
    <xf numFmtId="0" fontId="19" fillId="0" borderId="12" xfId="4" applyFont="1" applyBorder="1"/>
    <xf numFmtId="0" fontId="21" fillId="0" borderId="8" xfId="4" applyFont="1" applyBorder="1"/>
    <xf numFmtId="0" fontId="19" fillId="0" borderId="9" xfId="4" applyFont="1" applyBorder="1"/>
    <xf numFmtId="0" fontId="20" fillId="0" borderId="0" xfId="4" applyFont="1" applyAlignment="1">
      <alignment vertical="top"/>
    </xf>
    <xf numFmtId="0" fontId="21" fillId="0" borderId="0" xfId="4" applyFont="1"/>
    <xf numFmtId="0" fontId="23" fillId="0" borderId="0" xfId="4" applyFont="1" applyAlignment="1">
      <alignment vertical="center"/>
    </xf>
    <xf numFmtId="0" fontId="24" fillId="0" borderId="0" xfId="4" applyFont="1" applyAlignment="1">
      <alignment horizontal="left" vertical="center"/>
    </xf>
    <xf numFmtId="0" fontId="24" fillId="0" borderId="0" xfId="4" applyFont="1" applyAlignment="1">
      <alignment vertical="center"/>
    </xf>
    <xf numFmtId="0" fontId="24" fillId="0" borderId="45" xfId="4" applyFont="1" applyBorder="1" applyAlignment="1">
      <alignment vertical="center"/>
    </xf>
    <xf numFmtId="0" fontId="24" fillId="0" borderId="42" xfId="4" applyFont="1" applyBorder="1" applyAlignment="1">
      <alignment horizontal="left" vertical="center"/>
    </xf>
    <xf numFmtId="0" fontId="19" fillId="0" borderId="42" xfId="4" applyFont="1" applyBorder="1"/>
    <xf numFmtId="0" fontId="19" fillId="0" borderId="45" xfId="4" applyFont="1" applyBorder="1"/>
    <xf numFmtId="0" fontId="25" fillId="0" borderId="0" xfId="4" applyFont="1"/>
    <xf numFmtId="0" fontId="19" fillId="0" borderId="0" xfId="4" applyFont="1" applyAlignment="1">
      <alignment vertical="top"/>
    </xf>
    <xf numFmtId="0" fontId="19" fillId="0" borderId="42" xfId="4" applyFont="1" applyBorder="1" applyAlignment="1">
      <alignment horizontal="center" vertical="center"/>
    </xf>
    <xf numFmtId="0" fontId="19" fillId="0" borderId="42" xfId="4" applyFont="1" applyBorder="1" applyAlignment="1">
      <alignment vertical="center"/>
    </xf>
    <xf numFmtId="0" fontId="19" fillId="0" borderId="43" xfId="4" applyFont="1" applyBorder="1" applyAlignment="1">
      <alignment vertical="center"/>
    </xf>
    <xf numFmtId="0" fontId="26" fillId="0" borderId="0" xfId="4" applyFont="1" applyAlignment="1">
      <alignment vertical="center"/>
    </xf>
    <xf numFmtId="0" fontId="23" fillId="0" borderId="0" xfId="4" applyFont="1" applyAlignment="1">
      <alignment vertical="center" wrapText="1"/>
    </xf>
    <xf numFmtId="0" fontId="27" fillId="0" borderId="5" xfId="4" applyFont="1" applyBorder="1" applyAlignment="1">
      <alignment horizontal="center"/>
    </xf>
    <xf numFmtId="0" fontId="27" fillId="0" borderId="5" xfId="4" applyFont="1" applyBorder="1"/>
    <xf numFmtId="0" fontId="19" fillId="0" borderId="5" xfId="4" applyFont="1" applyBorder="1"/>
    <xf numFmtId="0" fontId="19" fillId="0" borderId="24" xfId="4" applyFont="1" applyBorder="1"/>
    <xf numFmtId="0" fontId="27" fillId="0" borderId="10" xfId="4" applyFont="1" applyBorder="1" applyAlignment="1">
      <alignment horizontal="center" vertical="center"/>
    </xf>
    <xf numFmtId="0" fontId="19" fillId="0" borderId="0" xfId="4" applyFont="1" applyAlignment="1">
      <alignment horizontal="left"/>
    </xf>
    <xf numFmtId="0" fontId="28" fillId="0" borderId="52" xfId="4" applyFont="1" applyBorder="1" applyAlignment="1">
      <alignment horizontal="center" vertical="center"/>
    </xf>
    <xf numFmtId="0" fontId="28" fillId="0" borderId="53" xfId="4" applyFont="1" applyBorder="1" applyAlignment="1">
      <alignment horizontal="center" vertical="center"/>
    </xf>
    <xf numFmtId="0" fontId="19" fillId="0" borderId="57" xfId="4" applyFont="1" applyBorder="1"/>
    <xf numFmtId="0" fontId="29" fillId="0" borderId="57" xfId="4" applyFont="1" applyBorder="1"/>
    <xf numFmtId="0" fontId="19" fillId="0" borderId="19" xfId="4" applyFont="1" applyBorder="1"/>
    <xf numFmtId="0" fontId="19" fillId="0" borderId="19" xfId="4" applyFont="1" applyBorder="1" applyAlignment="1">
      <alignment horizontal="left"/>
    </xf>
    <xf numFmtId="0" fontId="19" fillId="0" borderId="0" xfId="4" applyFont="1" applyAlignment="1">
      <alignment horizontal="left" vertical="center"/>
    </xf>
    <xf numFmtId="0" fontId="27" fillId="3" borderId="52" xfId="4" applyFont="1" applyFill="1" applyBorder="1"/>
    <xf numFmtId="0" fontId="25" fillId="0" borderId="0" xfId="4" applyFont="1" applyAlignment="1">
      <alignment horizontal="left" vertical="center"/>
    </xf>
    <xf numFmtId="0" fontId="27" fillId="0" borderId="5" xfId="4" applyFont="1" applyBorder="1" applyAlignment="1">
      <alignment horizontal="center" vertical="center"/>
    </xf>
    <xf numFmtId="0" fontId="27" fillId="0" borderId="0" xfId="4" applyFont="1" applyAlignment="1">
      <alignment horizontal="left"/>
    </xf>
    <xf numFmtId="0" fontId="27" fillId="0" borderId="0" xfId="4" applyFont="1" applyAlignment="1">
      <alignment horizontal="left" vertical="center"/>
    </xf>
    <xf numFmtId="0" fontId="19" fillId="0" borderId="0" xfId="4" applyFont="1" applyAlignment="1">
      <alignment horizontal="center"/>
    </xf>
    <xf numFmtId="0" fontId="19" fillId="0" borderId="40" xfId="4" applyFont="1" applyBorder="1"/>
    <xf numFmtId="0" fontId="19" fillId="0" borderId="10" xfId="4" applyFont="1" applyBorder="1" applyAlignment="1">
      <alignment horizontal="left"/>
    </xf>
    <xf numFmtId="0" fontId="19" fillId="0" borderId="3" xfId="4" applyFont="1" applyBorder="1" applyAlignment="1">
      <alignment horizontal="center" vertical="center" shrinkToFit="1"/>
    </xf>
    <xf numFmtId="0" fontId="19" fillId="0" borderId="0" xfId="4" applyFont="1" applyAlignment="1">
      <alignment vertical="center" wrapText="1"/>
    </xf>
    <xf numFmtId="0" fontId="19" fillId="0" borderId="0" xfId="4" applyFont="1" applyAlignment="1">
      <alignment wrapText="1"/>
    </xf>
    <xf numFmtId="0" fontId="27" fillId="0" borderId="57" xfId="4" applyFont="1" applyBorder="1" applyAlignment="1">
      <alignment horizontal="center" vertical="center" textRotation="255" wrapText="1"/>
    </xf>
    <xf numFmtId="0" fontId="27" fillId="0" borderId="57" xfId="4" applyFont="1" applyBorder="1" applyAlignment="1">
      <alignment horizontal="center" vertical="center"/>
    </xf>
    <xf numFmtId="0" fontId="19" fillId="0" borderId="42" xfId="4" applyFont="1" applyBorder="1" applyAlignment="1">
      <alignment horizontal="center"/>
    </xf>
    <xf numFmtId="0" fontId="19" fillId="0" borderId="17" xfId="4" applyFont="1" applyBorder="1" applyAlignment="1">
      <alignment vertical="top"/>
    </xf>
    <xf numFmtId="0" fontId="19" fillId="0" borderId="18" xfId="4" applyFont="1" applyBorder="1" applyAlignment="1">
      <alignment horizontal="left"/>
    </xf>
    <xf numFmtId="0" fontId="19" fillId="0" borderId="0" xfId="4" applyFont="1" applyAlignment="1">
      <alignment horizontal="left" vertical="top"/>
    </xf>
    <xf numFmtId="0" fontId="25" fillId="0" borderId="0" xfId="4" applyFont="1" applyAlignment="1">
      <alignment horizontal="left"/>
    </xf>
    <xf numFmtId="0" fontId="25" fillId="0" borderId="0" xfId="4" applyFont="1" applyAlignment="1">
      <alignment horizontal="center"/>
    </xf>
    <xf numFmtId="0" fontId="25" fillId="0" borderId="20" xfId="4" applyFont="1" applyBorder="1"/>
    <xf numFmtId="0" fontId="19" fillId="0" borderId="8" xfId="4" applyFont="1" applyBorder="1" applyAlignment="1">
      <alignment horizontal="left"/>
    </xf>
    <xf numFmtId="0" fontId="34" fillId="0" borderId="10" xfId="4" applyFont="1" applyBorder="1" applyAlignment="1">
      <alignment horizontal="left"/>
    </xf>
    <xf numFmtId="0" fontId="19" fillId="0" borderId="11" xfId="4" applyFont="1" applyBorder="1" applyAlignment="1">
      <alignment vertical="top"/>
    </xf>
    <xf numFmtId="0" fontId="27" fillId="0" borderId="0" xfId="4" applyFont="1" applyAlignment="1">
      <alignment vertical="top"/>
    </xf>
    <xf numFmtId="0" fontId="27" fillId="0" borderId="12" xfId="4" applyFont="1" applyBorder="1" applyAlignment="1">
      <alignment vertical="top"/>
    </xf>
    <xf numFmtId="0" fontId="27" fillId="0" borderId="5" xfId="4" applyFont="1" applyBorder="1" applyAlignment="1">
      <alignment vertical="top"/>
    </xf>
    <xf numFmtId="0" fontId="27" fillId="0" borderId="0" xfId="4" applyFont="1"/>
    <xf numFmtId="0" fontId="19" fillId="0" borderId="0" xfId="4" applyFont="1" applyAlignment="1">
      <alignment horizontal="center" vertical="center" textRotation="255" wrapText="1"/>
    </xf>
    <xf numFmtId="0" fontId="25" fillId="0" borderId="57" xfId="4" applyFont="1" applyBorder="1" applyAlignment="1">
      <alignment horizontal="center"/>
    </xf>
    <xf numFmtId="0" fontId="27" fillId="0" borderId="57" xfId="4" applyFont="1" applyBorder="1"/>
    <xf numFmtId="0" fontId="27" fillId="0" borderId="57" xfId="4" applyFont="1" applyBorder="1" applyAlignment="1">
      <alignment horizontal="center"/>
    </xf>
    <xf numFmtId="0" fontId="19" fillId="0" borderId="31" xfId="4" applyFont="1" applyBorder="1" applyAlignment="1">
      <alignment vertical="top"/>
    </xf>
    <xf numFmtId="0" fontId="25" fillId="0" borderId="15" xfId="4" applyFont="1" applyBorder="1" applyAlignment="1">
      <alignment vertical="center"/>
    </xf>
    <xf numFmtId="0" fontId="25" fillId="0" borderId="32" xfId="4" applyFont="1" applyBorder="1" applyAlignment="1">
      <alignment vertical="center"/>
    </xf>
    <xf numFmtId="0" fontId="26" fillId="0" borderId="0" xfId="4" applyFont="1" applyAlignment="1">
      <alignment vertical="top"/>
    </xf>
    <xf numFmtId="0" fontId="19" fillId="0" borderId="0" xfId="4" applyFont="1" applyAlignment="1">
      <alignment horizontal="center" wrapText="1"/>
    </xf>
    <xf numFmtId="0" fontId="19" fillId="0" borderId="8" xfId="4" applyFont="1" applyBorder="1"/>
    <xf numFmtId="0" fontId="19" fillId="0" borderId="10" xfId="4" applyFont="1" applyBorder="1" applyAlignment="1">
      <alignment vertical="top"/>
    </xf>
    <xf numFmtId="0" fontId="19" fillId="0" borderId="10" xfId="4" applyFont="1" applyBorder="1" applyAlignment="1">
      <alignment horizontal="center" wrapText="1"/>
    </xf>
    <xf numFmtId="0" fontId="19" fillId="0" borderId="23" xfId="4" applyFont="1" applyBorder="1"/>
    <xf numFmtId="0" fontId="19" fillId="0" borderId="5" xfId="4" applyFont="1" applyBorder="1" applyAlignment="1">
      <alignment vertical="center"/>
    </xf>
    <xf numFmtId="0" fontId="19" fillId="0" borderId="5" xfId="4" applyFont="1" applyBorder="1" applyAlignment="1">
      <alignment horizontal="left" vertical="top"/>
    </xf>
    <xf numFmtId="0" fontId="19" fillId="0" borderId="5" xfId="4" applyFont="1" applyBorder="1" applyAlignment="1">
      <alignment vertical="top"/>
    </xf>
    <xf numFmtId="0" fontId="19" fillId="0" borderId="8" xfId="4" applyFont="1" applyBorder="1" applyAlignment="1">
      <alignment vertical="center"/>
    </xf>
    <xf numFmtId="0" fontId="19" fillId="0" borderId="10" xfId="4" applyFont="1" applyBorder="1" applyAlignment="1">
      <alignment horizontal="left" vertical="top"/>
    </xf>
    <xf numFmtId="0" fontId="19" fillId="0" borderId="0" xfId="4" applyFont="1" applyAlignment="1">
      <alignment horizontal="right"/>
    </xf>
    <xf numFmtId="0" fontId="19" fillId="0" borderId="0" xfId="4" applyFont="1" applyAlignment="1">
      <alignment horizontal="right" vertical="center"/>
    </xf>
    <xf numFmtId="0" fontId="19" fillId="0" borderId="0" xfId="4" applyFont="1" applyAlignment="1">
      <alignment horizontal="center" vertical="center"/>
    </xf>
    <xf numFmtId="0" fontId="28" fillId="0" borderId="0" xfId="4" applyFont="1" applyAlignment="1">
      <alignment vertical="center" wrapText="1"/>
    </xf>
    <xf numFmtId="0" fontId="28" fillId="0" borderId="0" xfId="4" applyFont="1" applyAlignment="1">
      <alignment horizontal="left" vertical="center"/>
    </xf>
    <xf numFmtId="0" fontId="28" fillId="0" borderId="40" xfId="4" applyFont="1" applyBorder="1" applyAlignment="1">
      <alignment horizontal="left" vertical="center"/>
    </xf>
    <xf numFmtId="0" fontId="36" fillId="0" borderId="1" xfId="4" applyFont="1" applyBorder="1"/>
    <xf numFmtId="0" fontId="28" fillId="0" borderId="40" xfId="4" applyFont="1" applyBorder="1" applyAlignment="1">
      <alignment horizontal="left" vertical="center" wrapText="1"/>
    </xf>
    <xf numFmtId="0" fontId="23" fillId="0" borderId="0" xfId="4" applyFont="1"/>
    <xf numFmtId="0" fontId="24" fillId="0" borderId="0" xfId="4" applyFont="1"/>
    <xf numFmtId="0" fontId="19" fillId="0" borderId="0" xfId="5" applyAlignment="1">
      <alignment vertical="center"/>
    </xf>
    <xf numFmtId="0" fontId="19" fillId="0" borderId="0" xfId="5" applyAlignment="1">
      <alignment horizontal="distributed" vertical="top"/>
    </xf>
    <xf numFmtId="0" fontId="19" fillId="0" borderId="0" xfId="5" applyAlignment="1">
      <alignment vertical="top"/>
    </xf>
    <xf numFmtId="0" fontId="19" fillId="0" borderId="0" xfId="5" applyAlignment="1">
      <alignment horizontal="distributed" vertical="center"/>
    </xf>
    <xf numFmtId="0" fontId="19" fillId="0" borderId="0" xfId="5" applyAlignment="1">
      <alignment horizontal="distributed"/>
    </xf>
    <xf numFmtId="0" fontId="19" fillId="0" borderId="0" xfId="5"/>
    <xf numFmtId="0" fontId="19" fillId="0" borderId="69" xfId="5" applyBorder="1" applyAlignment="1">
      <alignment horizontal="distributed" vertical="center"/>
    </xf>
    <xf numFmtId="0" fontId="19" fillId="0" borderId="77" xfId="5" applyBorder="1" applyAlignment="1">
      <alignment horizontal="distributed" vertical="center"/>
    </xf>
    <xf numFmtId="0" fontId="19" fillId="0" borderId="80" xfId="5" applyBorder="1" applyAlignment="1">
      <alignment horizontal="distributed" vertical="center"/>
    </xf>
    <xf numFmtId="0" fontId="19" fillId="0" borderId="83" xfId="5" applyBorder="1" applyAlignment="1">
      <alignment horizontal="distributed" vertical="center"/>
    </xf>
    <xf numFmtId="0" fontId="19" fillId="0" borderId="84" xfId="5" applyBorder="1" applyAlignment="1">
      <alignment horizontal="distributed" vertical="center"/>
    </xf>
    <xf numFmtId="0" fontId="19" fillId="0" borderId="86" xfId="5" applyBorder="1" applyAlignment="1">
      <alignment horizontal="center" vertical="center" wrapText="1"/>
    </xf>
    <xf numFmtId="0" fontId="19" fillId="0" borderId="87" xfId="5" applyBorder="1" applyAlignment="1">
      <alignment horizontal="center" vertical="center" wrapText="1"/>
    </xf>
    <xf numFmtId="0" fontId="19" fillId="0" borderId="77" xfId="5" applyBorder="1" applyAlignment="1">
      <alignment horizontal="distributed" vertical="center" wrapText="1"/>
    </xf>
    <xf numFmtId="0" fontId="19" fillId="0" borderId="11" xfId="5" applyBorder="1" applyAlignment="1">
      <alignment vertical="center"/>
    </xf>
    <xf numFmtId="0" fontId="19" fillId="0" borderId="12" xfId="5" applyBorder="1" applyAlignment="1">
      <alignment vertical="center"/>
    </xf>
    <xf numFmtId="0" fontId="19" fillId="0" borderId="3" xfId="5" applyBorder="1" applyAlignment="1">
      <alignment vertical="center"/>
    </xf>
    <xf numFmtId="0" fontId="19" fillId="0" borderId="10" xfId="5" applyBorder="1" applyAlignment="1">
      <alignment vertical="center"/>
    </xf>
    <xf numFmtId="0" fontId="19" fillId="0" borderId="68" xfId="5" applyBorder="1" applyAlignment="1">
      <alignment horizontal="center" vertical="center"/>
    </xf>
    <xf numFmtId="0" fontId="19" fillId="0" borderId="69" xfId="5" applyBorder="1" applyAlignment="1">
      <alignment horizontal="center" vertical="center"/>
    </xf>
    <xf numFmtId="0" fontId="19" fillId="0" borderId="91" xfId="5" applyBorder="1" applyAlignment="1">
      <alignment horizontal="center" vertical="center"/>
    </xf>
    <xf numFmtId="0" fontId="19" fillId="0" borderId="76" xfId="5" applyBorder="1" applyAlignment="1">
      <alignment horizontal="center" vertical="center"/>
    </xf>
    <xf numFmtId="0" fontId="19" fillId="0" borderId="77" xfId="5" applyBorder="1" applyAlignment="1">
      <alignment horizontal="center" vertical="center"/>
    </xf>
    <xf numFmtId="0" fontId="19" fillId="0" borderId="5" xfId="5" applyBorder="1" applyAlignment="1">
      <alignment vertical="center"/>
    </xf>
    <xf numFmtId="58" fontId="19" fillId="0" borderId="0" xfId="5" applyNumberFormat="1" applyAlignment="1">
      <alignment horizontal="center" vertical="center"/>
    </xf>
    <xf numFmtId="0" fontId="3" fillId="0" borderId="27" xfId="0" applyFont="1" applyBorder="1" applyAlignment="1">
      <alignment horizontal="center" vertical="center"/>
    </xf>
    <xf numFmtId="0" fontId="40" fillId="0" borderId="0" xfId="6" applyFont="1" applyAlignment="1">
      <alignment horizontal="center" vertical="center" shrinkToFit="1"/>
    </xf>
    <xf numFmtId="0" fontId="41" fillId="0" borderId="0" xfId="6" applyFont="1" applyAlignment="1">
      <alignment horizontal="center" vertical="center" shrinkToFit="1"/>
    </xf>
    <xf numFmtId="0" fontId="41" fillId="0" borderId="0" xfId="6" applyFont="1" applyAlignment="1">
      <alignment vertical="center" shrinkToFit="1"/>
    </xf>
    <xf numFmtId="0" fontId="40" fillId="0" borderId="0" xfId="6" applyFont="1" applyAlignment="1">
      <alignment vertical="center" shrinkToFit="1"/>
    </xf>
    <xf numFmtId="0" fontId="18" fillId="0" borderId="0" xfId="6">
      <alignment vertical="center"/>
    </xf>
    <xf numFmtId="0" fontId="42" fillId="0" borderId="0" xfId="6" applyFont="1" applyAlignment="1">
      <alignment horizontal="center" vertical="center" shrinkToFit="1"/>
    </xf>
    <xf numFmtId="49" fontId="18" fillId="0" borderId="0" xfId="6" applyNumberFormat="1">
      <alignment vertical="center"/>
    </xf>
    <xf numFmtId="0" fontId="43" fillId="0" borderId="0" xfId="6" applyFont="1" applyAlignment="1">
      <alignment horizontal="center" vertical="center" shrinkToFit="1"/>
    </xf>
    <xf numFmtId="0" fontId="41" fillId="0" borderId="0" xfId="6" applyFont="1" applyAlignment="1">
      <alignment vertical="top" shrinkToFit="1"/>
    </xf>
    <xf numFmtId="0" fontId="41" fillId="0" borderId="98" xfId="6" applyFont="1" applyBorder="1" applyAlignment="1">
      <alignment vertical="top" shrinkToFit="1"/>
    </xf>
    <xf numFmtId="0" fontId="41" fillId="0" borderId="99" xfId="6" applyFont="1" applyBorder="1" applyAlignment="1">
      <alignment vertical="top" shrinkToFit="1"/>
    </xf>
    <xf numFmtId="0" fontId="41" fillId="0" borderId="98" xfId="6" applyFont="1" applyBorder="1" applyAlignment="1">
      <alignment vertical="center" shrinkToFit="1"/>
    </xf>
    <xf numFmtId="0" fontId="41" fillId="0" borderId="99" xfId="6" applyFont="1" applyBorder="1" applyAlignment="1">
      <alignment vertical="center" shrinkToFit="1"/>
    </xf>
    <xf numFmtId="0" fontId="45" fillId="0" borderId="0" xfId="6" applyFont="1" applyAlignment="1">
      <alignment vertical="center" shrinkToFit="1"/>
    </xf>
    <xf numFmtId="0" fontId="45" fillId="0" borderId="99" xfId="6" applyFont="1" applyBorder="1" applyAlignment="1">
      <alignment vertical="center" shrinkToFit="1"/>
    </xf>
    <xf numFmtId="0" fontId="41" fillId="0" borderId="100" xfId="6" applyFont="1" applyBorder="1" applyAlignment="1">
      <alignment vertical="center" shrinkToFit="1"/>
    </xf>
    <xf numFmtId="0" fontId="41" fillId="0" borderId="101" xfId="6" applyFont="1" applyBorder="1" applyAlignment="1">
      <alignment vertical="center" shrinkToFit="1"/>
    </xf>
    <xf numFmtId="0" fontId="41" fillId="0" borderId="102" xfId="6" applyFont="1" applyBorder="1" applyAlignment="1">
      <alignment vertical="center" shrinkToFit="1"/>
    </xf>
    <xf numFmtId="0" fontId="44" fillId="0" borderId="0" xfId="6" applyFont="1" applyAlignment="1">
      <alignment vertical="center" shrinkToFit="1"/>
    </xf>
    <xf numFmtId="0" fontId="44" fillId="0" borderId="10" xfId="6" applyFont="1" applyBorder="1" applyAlignment="1">
      <alignment vertical="center" shrinkToFit="1"/>
    </xf>
    <xf numFmtId="0" fontId="3" fillId="0" borderId="29" xfId="0" applyFont="1" applyBorder="1">
      <alignment vertical="center"/>
    </xf>
    <xf numFmtId="0" fontId="3" fillId="0" borderId="27" xfId="0" applyFont="1" applyBorder="1">
      <alignment vertical="center"/>
    </xf>
    <xf numFmtId="0" fontId="3" fillId="0" borderId="30" xfId="0" applyFont="1" applyBorder="1">
      <alignment vertical="center"/>
    </xf>
    <xf numFmtId="0" fontId="19" fillId="0" borderId="57" xfId="4" applyFont="1" applyBorder="1" applyAlignment="1">
      <alignment horizontal="center"/>
    </xf>
    <xf numFmtId="0" fontId="0" fillId="0" borderId="0" xfId="0" applyAlignment="1">
      <alignment horizontal="center" vertical="center"/>
    </xf>
    <xf numFmtId="0" fontId="51" fillId="0" borderId="0" xfId="0" applyFont="1" applyAlignment="1"/>
    <xf numFmtId="0" fontId="53" fillId="0" borderId="0" xfId="0" applyFont="1" applyAlignment="1">
      <alignment horizontal="center" vertical="center"/>
    </xf>
    <xf numFmtId="0" fontId="52" fillId="0" borderId="0" xfId="0" applyFont="1" applyAlignment="1">
      <alignment horizontal="left" vertical="center"/>
    </xf>
    <xf numFmtId="0" fontId="52" fillId="0" borderId="0" xfId="0" applyFont="1" applyAlignment="1">
      <alignment horizontal="center" vertical="center"/>
    </xf>
    <xf numFmtId="0" fontId="0" fillId="0" borderId="5" xfId="0" applyBorder="1">
      <alignment vertical="center"/>
    </xf>
    <xf numFmtId="0" fontId="0" fillId="0" borderId="7" xfId="0" applyBorder="1">
      <alignment vertical="center"/>
    </xf>
    <xf numFmtId="0" fontId="0" fillId="0" borderId="12" xfId="0" applyBorder="1">
      <alignment vertical="center"/>
    </xf>
    <xf numFmtId="0" fontId="51" fillId="0" borderId="0" xfId="0" applyFont="1" applyAlignment="1">
      <alignment horizontal="left"/>
    </xf>
    <xf numFmtId="0" fontId="52" fillId="0" borderId="0" xfId="0" applyFont="1">
      <alignment vertical="center"/>
    </xf>
    <xf numFmtId="0" fontId="0" fillId="0" borderId="3" xfId="0" applyBorder="1">
      <alignment vertical="center"/>
    </xf>
    <xf numFmtId="0" fontId="0" fillId="0" borderId="10" xfId="0" applyBorder="1" applyAlignment="1">
      <alignment horizontal="left" vertical="center"/>
    </xf>
    <xf numFmtId="0" fontId="0" fillId="0" borderId="5" xfId="0" applyBorder="1" applyAlignment="1">
      <alignment horizontal="left" vertical="center"/>
    </xf>
    <xf numFmtId="0" fontId="0" fillId="0" borderId="12" xfId="0" applyBorder="1" applyAlignment="1">
      <alignment horizontal="left" vertical="center"/>
    </xf>
    <xf numFmtId="0" fontId="0" fillId="0" borderId="0" xfId="0" applyAlignment="1">
      <alignment vertical="top" wrapText="1"/>
    </xf>
    <xf numFmtId="0" fontId="0" fillId="0" borderId="10" xfId="0" applyBorder="1">
      <alignment vertical="center"/>
    </xf>
    <xf numFmtId="0" fontId="54" fillId="0" borderId="0" xfId="0" applyFont="1">
      <alignment vertical="center"/>
    </xf>
    <xf numFmtId="0" fontId="15" fillId="0" borderId="0" xfId="6" applyFont="1">
      <alignment vertical="center"/>
    </xf>
    <xf numFmtId="0" fontId="55" fillId="0" borderId="0" xfId="0" applyFont="1">
      <alignment vertical="center"/>
    </xf>
    <xf numFmtId="0" fontId="0" fillId="0" borderId="0" xfId="0" applyAlignment="1">
      <alignment horizontal="left" vertical="center"/>
    </xf>
    <xf numFmtId="0" fontId="0" fillId="0" borderId="7" xfId="0" applyBorder="1" applyAlignment="1">
      <alignment horizontal="left" vertical="center"/>
    </xf>
    <xf numFmtId="0" fontId="19" fillId="0" borderId="0" xfId="7" applyFont="1">
      <alignment vertical="center"/>
    </xf>
    <xf numFmtId="0" fontId="18" fillId="0" borderId="0" xfId="7">
      <alignment vertical="center"/>
    </xf>
    <xf numFmtId="0" fontId="22" fillId="0" borderId="0" xfId="7" applyFont="1" applyAlignment="1">
      <alignment horizontal="center"/>
    </xf>
    <xf numFmtId="0" fontId="19" fillId="0" borderId="0" xfId="7" applyFont="1" applyAlignment="1">
      <alignment horizontal="right" vertical="center"/>
    </xf>
    <xf numFmtId="0" fontId="56" fillId="0" borderId="0" xfId="7" applyFont="1">
      <alignment vertical="center"/>
    </xf>
    <xf numFmtId="0" fontId="22" fillId="0" borderId="0" xfId="7" applyFont="1" applyAlignment="1">
      <alignment horizontal="center" vertical="center"/>
    </xf>
    <xf numFmtId="0" fontId="59" fillId="0" borderId="0" xfId="0" applyFont="1">
      <alignment vertical="center"/>
    </xf>
    <xf numFmtId="0" fontId="24" fillId="0" borderId="0" xfId="7" applyFont="1" applyAlignment="1">
      <alignment horizontal="center" vertical="center"/>
    </xf>
    <xf numFmtId="0" fontId="19" fillId="0" borderId="10" xfId="7" applyFont="1" applyBorder="1">
      <alignment vertical="center"/>
    </xf>
    <xf numFmtId="0" fontId="19" fillId="0" borderId="1" xfId="7" applyFont="1" applyBorder="1">
      <alignment vertical="center"/>
    </xf>
    <xf numFmtId="0" fontId="19" fillId="0" borderId="1" xfId="7" applyFont="1" applyBorder="1" applyAlignment="1">
      <alignment horizontal="center" vertical="center"/>
    </xf>
    <xf numFmtId="0" fontId="25" fillId="0" borderId="1" xfId="7" applyFont="1" applyBorder="1" applyAlignment="1">
      <alignment horizontal="center" vertical="center"/>
    </xf>
    <xf numFmtId="0" fontId="19" fillId="0" borderId="1" xfId="7" applyFont="1" applyBorder="1" applyAlignment="1">
      <alignment horizontal="center" vertical="center" shrinkToFit="1"/>
    </xf>
    <xf numFmtId="0" fontId="26" fillId="0" borderId="5" xfId="7" applyFont="1" applyBorder="1" applyAlignment="1">
      <alignment horizontal="center" vertical="center"/>
    </xf>
    <xf numFmtId="0" fontId="26" fillId="0" borderId="12" xfId="7" applyFont="1" applyBorder="1">
      <alignment vertical="center"/>
    </xf>
    <xf numFmtId="0" fontId="26" fillId="0" borderId="0" xfId="7" applyFont="1" applyAlignment="1">
      <alignment horizontal="center" vertical="center"/>
    </xf>
    <xf numFmtId="0" fontId="19" fillId="0" borderId="0" xfId="7" applyFont="1" applyAlignment="1">
      <alignment horizontal="center" vertical="center"/>
    </xf>
    <xf numFmtId="0" fontId="10" fillId="0" borderId="0" xfId="0" applyFont="1">
      <alignment vertical="center"/>
    </xf>
    <xf numFmtId="0" fontId="53" fillId="0" borderId="0" xfId="0" applyFont="1">
      <alignment vertical="center"/>
    </xf>
    <xf numFmtId="0" fontId="60" fillId="0" borderId="0" xfId="7" applyFont="1">
      <alignment vertical="center"/>
    </xf>
    <xf numFmtId="0" fontId="26" fillId="0" borderId="0" xfId="7" applyFont="1">
      <alignment vertical="center"/>
    </xf>
    <xf numFmtId="0" fontId="62" fillId="0" borderId="0" xfId="0" applyFont="1">
      <alignment vertical="center"/>
    </xf>
    <xf numFmtId="176" fontId="19" fillId="0" borderId="0" xfId="7" applyNumberFormat="1" applyFont="1">
      <alignment vertical="center"/>
    </xf>
    <xf numFmtId="0" fontId="63" fillId="0" borderId="1" xfId="0" applyFont="1" applyBorder="1" applyAlignment="1">
      <alignment horizontal="center" vertical="center" shrinkToFit="1"/>
    </xf>
    <xf numFmtId="0" fontId="0" fillId="0" borderId="6" xfId="0" applyBorder="1">
      <alignment vertical="center"/>
    </xf>
    <xf numFmtId="0" fontId="53" fillId="0" borderId="5" xfId="0" applyFont="1" applyBorder="1" applyAlignment="1">
      <alignment horizontal="left" vertical="center"/>
    </xf>
    <xf numFmtId="0" fontId="53" fillId="0" borderId="5" xfId="0" applyFont="1" applyBorder="1">
      <alignment vertical="center"/>
    </xf>
    <xf numFmtId="0" fontId="0" fillId="0" borderId="11" xfId="0" applyBorder="1">
      <alignment vertical="center"/>
    </xf>
    <xf numFmtId="0" fontId="59" fillId="0" borderId="12" xfId="0" applyFont="1" applyBorder="1" applyAlignment="1">
      <alignment horizontal="left" vertical="center"/>
    </xf>
    <xf numFmtId="0" fontId="0" fillId="0" borderId="8" xfId="0" applyBorder="1">
      <alignment vertical="center"/>
    </xf>
    <xf numFmtId="0" fontId="0" fillId="0" borderId="9" xfId="0" applyBorder="1">
      <alignment vertical="center"/>
    </xf>
    <xf numFmtId="0" fontId="70" fillId="0" borderId="0" xfId="0" applyFont="1">
      <alignment vertical="center"/>
    </xf>
    <xf numFmtId="0" fontId="53" fillId="0" borderId="10" xfId="0" applyFont="1" applyBorder="1" applyAlignment="1">
      <alignment horizontal="left" vertical="center"/>
    </xf>
    <xf numFmtId="0" fontId="53" fillId="0" borderId="10" xfId="0" applyFont="1" applyBorder="1">
      <alignment vertical="center"/>
    </xf>
    <xf numFmtId="0" fontId="59" fillId="0" borderId="5" xfId="0" applyFont="1" applyBorder="1">
      <alignment vertical="center"/>
    </xf>
    <xf numFmtId="0" fontId="50" fillId="0" borderId="5" xfId="0" applyFont="1" applyBorder="1">
      <alignment vertical="center"/>
    </xf>
    <xf numFmtId="0" fontId="59" fillId="0" borderId="10" xfId="0" applyFont="1" applyBorder="1">
      <alignment vertical="center"/>
    </xf>
    <xf numFmtId="0" fontId="53" fillId="0" borderId="7" xfId="0" applyFont="1" applyBorder="1" applyAlignment="1">
      <alignment horizontal="left" vertical="center"/>
    </xf>
    <xf numFmtId="0" fontId="53" fillId="0" borderId="9" xfId="0" applyFont="1" applyBorder="1">
      <alignment vertical="center"/>
    </xf>
    <xf numFmtId="0" fontId="59" fillId="0" borderId="12" xfId="0" applyFont="1" applyBorder="1">
      <alignment vertical="center"/>
    </xf>
    <xf numFmtId="0" fontId="53" fillId="0" borderId="12" xfId="0" applyFont="1" applyBorder="1">
      <alignment vertical="center"/>
    </xf>
    <xf numFmtId="0" fontId="53" fillId="0" borderId="6" xfId="0" applyFont="1" applyBorder="1">
      <alignment vertical="center"/>
    </xf>
    <xf numFmtId="0" fontId="53" fillId="0" borderId="11" xfId="0" applyFont="1" applyBorder="1">
      <alignment vertical="center"/>
    </xf>
    <xf numFmtId="0" fontId="53" fillId="0" borderId="7" xfId="0" applyFont="1" applyBorder="1">
      <alignment vertical="center"/>
    </xf>
    <xf numFmtId="0" fontId="67" fillId="0" borderId="6" xfId="0" applyFont="1" applyBorder="1" applyAlignment="1"/>
    <xf numFmtId="0" fontId="72" fillId="0" borderId="4" xfId="8" applyBorder="1" applyAlignment="1">
      <alignment vertical="center"/>
    </xf>
    <xf numFmtId="0" fontId="74" fillId="0" borderId="4" xfId="8" applyFont="1" applyBorder="1" applyAlignment="1">
      <alignment vertical="center"/>
    </xf>
    <xf numFmtId="0" fontId="72" fillId="0" borderId="0" xfId="8"/>
    <xf numFmtId="0" fontId="74" fillId="0" borderId="10" xfId="8" applyFont="1" applyBorder="1" applyAlignment="1">
      <alignment vertical="center"/>
    </xf>
    <xf numFmtId="180" fontId="74" fillId="0" borderId="10" xfId="8" applyNumberFormat="1" applyFont="1" applyBorder="1" applyAlignment="1">
      <alignment horizontal="center" vertical="center"/>
    </xf>
    <xf numFmtId="0" fontId="74" fillId="0" borderId="10" xfId="8" applyFont="1" applyBorder="1" applyAlignment="1">
      <alignment horizontal="center" vertical="center"/>
    </xf>
    <xf numFmtId="0" fontId="49" fillId="0" borderId="6" xfId="8" applyFont="1" applyBorder="1" applyAlignment="1">
      <alignment vertical="center"/>
    </xf>
    <xf numFmtId="0" fontId="76" fillId="0" borderId="5" xfId="8" applyFont="1" applyBorder="1" applyAlignment="1">
      <alignment horizontal="center" vertical="center"/>
    </xf>
    <xf numFmtId="0" fontId="49" fillId="0" borderId="7" xfId="8" applyFont="1" applyBorder="1" applyAlignment="1">
      <alignment vertical="center"/>
    </xf>
    <xf numFmtId="0" fontId="49" fillId="0" borderId="6" xfId="8" applyFont="1" applyBorder="1" applyAlignment="1">
      <alignment horizontal="left" vertical="center" shrinkToFit="1"/>
    </xf>
    <xf numFmtId="0" fontId="49" fillId="0" borderId="5" xfId="8" applyFont="1" applyBorder="1" applyAlignment="1">
      <alignment horizontal="left" vertical="center" shrinkToFit="1"/>
    </xf>
    <xf numFmtId="0" fontId="49" fillId="0" borderId="7" xfId="8" applyFont="1" applyBorder="1" applyAlignment="1">
      <alignment vertical="center" wrapText="1"/>
    </xf>
    <xf numFmtId="0" fontId="49" fillId="0" borderId="11" xfId="8" applyFont="1" applyBorder="1" applyAlignment="1">
      <alignment horizontal="left" vertical="top" wrapText="1"/>
    </xf>
    <xf numFmtId="0" fontId="49" fillId="0" borderId="0" xfId="8" applyFont="1" applyAlignment="1">
      <alignment horizontal="left" vertical="top" wrapText="1"/>
    </xf>
    <xf numFmtId="0" fontId="49" fillId="0" borderId="12" xfId="8" applyFont="1" applyBorder="1" applyAlignment="1">
      <alignment vertical="center" wrapText="1"/>
    </xf>
    <xf numFmtId="0" fontId="49" fillId="0" borderId="10" xfId="8" applyFont="1" applyBorder="1" applyAlignment="1">
      <alignment horizontal="left" vertical="top" wrapText="1"/>
    </xf>
    <xf numFmtId="0" fontId="72" fillId="0" borderId="0" xfId="8" applyAlignment="1">
      <alignment horizontal="left"/>
    </xf>
    <xf numFmtId="0" fontId="49" fillId="0" borderId="103" xfId="8" applyFont="1" applyBorder="1" applyAlignment="1">
      <alignment horizontal="left" vertical="center"/>
    </xf>
    <xf numFmtId="0" fontId="49" fillId="0" borderId="104" xfId="8" applyFont="1" applyBorder="1" applyAlignment="1">
      <alignment horizontal="left" vertical="center"/>
    </xf>
    <xf numFmtId="0" fontId="49" fillId="0" borderId="11" xfId="8" applyFont="1" applyBorder="1" applyAlignment="1">
      <alignment horizontal="left" vertical="center"/>
    </xf>
    <xf numFmtId="0" fontId="49" fillId="0" borderId="0" xfId="8" applyFont="1" applyAlignment="1">
      <alignment horizontal="left" vertical="center"/>
    </xf>
    <xf numFmtId="0" fontId="49" fillId="0" borderId="11" xfId="8" applyFont="1" applyBorder="1" applyAlignment="1">
      <alignment horizontal="center" vertical="top" wrapText="1"/>
    </xf>
    <xf numFmtId="181" fontId="49" fillId="0" borderId="0" xfId="8" applyNumberFormat="1" applyFont="1" applyAlignment="1">
      <alignment horizontal="center" vertical="top" wrapText="1"/>
    </xf>
    <xf numFmtId="0" fontId="49" fillId="0" borderId="12" xfId="8" applyFont="1" applyBorder="1" applyAlignment="1">
      <alignment vertical="top" wrapText="1"/>
    </xf>
    <xf numFmtId="0" fontId="49" fillId="0" borderId="11" xfId="8" applyFont="1" applyBorder="1" applyAlignment="1">
      <alignment vertical="top"/>
    </xf>
    <xf numFmtId="0" fontId="49" fillId="0" borderId="0" xfId="8" applyFont="1" applyAlignment="1">
      <alignment vertical="top"/>
    </xf>
    <xf numFmtId="0" fontId="49" fillId="0" borderId="12" xfId="8" applyFont="1" applyBorder="1" applyAlignment="1">
      <alignment vertical="top"/>
    </xf>
    <xf numFmtId="0" fontId="49" fillId="0" borderId="8" xfId="8" applyFont="1" applyBorder="1" applyAlignment="1">
      <alignment horizontal="left" vertical="top" wrapText="1"/>
    </xf>
    <xf numFmtId="0" fontId="49" fillId="0" borderId="9" xfId="8" applyFont="1" applyBorder="1" applyAlignment="1">
      <alignment vertical="center" wrapText="1"/>
    </xf>
    <xf numFmtId="182" fontId="76" fillId="0" borderId="5" xfId="8" applyNumberFormat="1" applyFont="1" applyBorder="1" applyAlignment="1">
      <alignment horizontal="center" vertical="center"/>
    </xf>
    <xf numFmtId="0" fontId="49" fillId="0" borderId="5" xfId="8" applyFont="1" applyBorder="1" applyAlignment="1">
      <alignment vertical="center"/>
    </xf>
    <xf numFmtId="0" fontId="13" fillId="0" borderId="0" xfId="8" applyFont="1" applyAlignment="1">
      <alignment horizontal="left" vertical="center"/>
    </xf>
    <xf numFmtId="0" fontId="13" fillId="0" borderId="12" xfId="8" applyFont="1" applyBorder="1" applyAlignment="1">
      <alignment horizontal="left" vertical="center"/>
    </xf>
    <xf numFmtId="0" fontId="49" fillId="0" borderId="104" xfId="8" applyFont="1" applyBorder="1" applyAlignment="1">
      <alignment vertical="center"/>
    </xf>
    <xf numFmtId="0" fontId="49" fillId="0" borderId="11" xfId="8" applyFont="1" applyBorder="1" applyAlignment="1">
      <alignment vertical="center"/>
    </xf>
    <xf numFmtId="0" fontId="49" fillId="0" borderId="7" xfId="8" applyFont="1" applyBorder="1" applyAlignment="1">
      <alignment horizontal="left" vertical="center"/>
    </xf>
    <xf numFmtId="0" fontId="49" fillId="0" borderId="46" xfId="8" applyFont="1" applyBorder="1" applyAlignment="1">
      <alignment vertical="center"/>
    </xf>
    <xf numFmtId="0" fontId="49" fillId="0" borderId="3" xfId="8" applyFont="1" applyBorder="1" applyAlignment="1">
      <alignment vertical="center"/>
    </xf>
    <xf numFmtId="0" fontId="49" fillId="0" borderId="4" xfId="8" applyFont="1" applyBorder="1" applyAlignment="1">
      <alignment vertical="center"/>
    </xf>
    <xf numFmtId="0" fontId="72" fillId="0" borderId="0" xfId="8" applyAlignment="1">
      <alignment vertical="center"/>
    </xf>
    <xf numFmtId="0" fontId="53" fillId="0" borderId="0" xfId="0" applyFont="1" applyAlignment="1">
      <alignment horizontal="left" vertical="center"/>
    </xf>
    <xf numFmtId="0" fontId="59" fillId="0" borderId="6" xfId="0" applyFont="1" applyBorder="1">
      <alignment vertical="center"/>
    </xf>
    <xf numFmtId="0" fontId="59" fillId="0" borderId="7" xfId="0" applyFont="1" applyBorder="1">
      <alignment vertical="center"/>
    </xf>
    <xf numFmtId="0" fontId="59" fillId="0" borderId="11" xfId="0" applyFont="1" applyBorder="1">
      <alignment vertical="center"/>
    </xf>
    <xf numFmtId="0" fontId="59" fillId="0" borderId="0" xfId="0" applyFont="1" applyAlignment="1">
      <alignment horizontal="center" vertical="center"/>
    </xf>
    <xf numFmtId="0" fontId="59" fillId="0" borderId="8" xfId="0" applyFont="1" applyBorder="1">
      <alignment vertical="center"/>
    </xf>
    <xf numFmtId="0" fontId="59" fillId="0" borderId="9" xfId="0" applyFont="1" applyBorder="1">
      <alignment vertical="center"/>
    </xf>
    <xf numFmtId="0" fontId="53" fillId="0" borderId="6" xfId="0" applyFont="1" applyBorder="1" applyAlignment="1">
      <alignment horizontal="left" vertical="center"/>
    </xf>
    <xf numFmtId="0" fontId="53" fillId="0" borderId="8" xfId="0" applyFont="1" applyBorder="1">
      <alignment vertical="center"/>
    </xf>
    <xf numFmtId="0" fontId="79" fillId="0" borderId="0" xfId="0" applyFont="1">
      <alignment vertical="center"/>
    </xf>
    <xf numFmtId="0" fontId="78" fillId="0" borderId="111" xfId="0" applyFont="1" applyBorder="1">
      <alignment vertical="center"/>
    </xf>
    <xf numFmtId="0" fontId="78" fillId="0" borderId="112" xfId="0" applyFont="1" applyBorder="1">
      <alignment vertical="center"/>
    </xf>
    <xf numFmtId="0" fontId="78" fillId="0" borderId="113" xfId="0" applyFont="1" applyBorder="1">
      <alignment vertical="center"/>
    </xf>
    <xf numFmtId="0" fontId="78" fillId="0" borderId="114" xfId="0" applyFont="1" applyBorder="1">
      <alignment vertical="center"/>
    </xf>
    <xf numFmtId="0" fontId="0" fillId="0" borderId="117" xfId="0" applyBorder="1">
      <alignment vertical="center"/>
    </xf>
    <xf numFmtId="0" fontId="23" fillId="0" borderId="0" xfId="7" applyFont="1" applyAlignment="1">
      <alignment horizontal="center" vertical="center"/>
    </xf>
    <xf numFmtId="0" fontId="27" fillId="0" borderId="0" xfId="7" applyFont="1">
      <alignment vertical="center"/>
    </xf>
    <xf numFmtId="0" fontId="31" fillId="0" borderId="0" xfId="7" applyFont="1">
      <alignment vertical="center"/>
    </xf>
    <xf numFmtId="176" fontId="27" fillId="0" borderId="0" xfId="7" applyNumberFormat="1" applyFont="1">
      <alignment vertical="center"/>
    </xf>
    <xf numFmtId="0" fontId="23" fillId="4" borderId="0" xfId="7" applyFont="1" applyFill="1" applyAlignment="1">
      <alignment horizontal="center" vertical="center"/>
    </xf>
    <xf numFmtId="0" fontId="81" fillId="0" borderId="0" xfId="0" applyFont="1">
      <alignment vertical="center"/>
    </xf>
    <xf numFmtId="0" fontId="84" fillId="0" borderId="0" xfId="0" applyFont="1" applyAlignment="1">
      <alignment horizontal="justify" vertical="center" wrapText="1"/>
    </xf>
    <xf numFmtId="0" fontId="86" fillId="0" borderId="0" xfId="0" applyFont="1" applyAlignment="1">
      <alignment vertical="center" wrapText="1"/>
    </xf>
    <xf numFmtId="0" fontId="87" fillId="0" borderId="0" xfId="0" applyFont="1" applyAlignment="1">
      <alignment horizontal="justify" vertical="top" wrapText="1"/>
    </xf>
    <xf numFmtId="0" fontId="87" fillId="0" borderId="40" xfId="0" applyFont="1" applyBorder="1" applyAlignment="1">
      <alignment horizontal="justify" vertical="top" wrapText="1"/>
    </xf>
    <xf numFmtId="0" fontId="84" fillId="0" borderId="25" xfId="0" applyFont="1" applyBorder="1" applyAlignment="1">
      <alignment horizontal="center" vertical="center" wrapText="1" justifyLastLine="1"/>
    </xf>
    <xf numFmtId="0" fontId="84" fillId="0" borderId="121" xfId="0" applyFont="1" applyBorder="1" applyAlignment="1">
      <alignment horizontal="center" vertical="center" wrapText="1" justifyLastLine="1"/>
    </xf>
    <xf numFmtId="0" fontId="84" fillId="0" borderId="3" xfId="0" applyFont="1" applyBorder="1" applyAlignment="1">
      <alignment horizontal="center" vertical="center" wrapText="1" justifyLastLine="1"/>
    </xf>
    <xf numFmtId="0" fontId="87" fillId="0" borderId="0" xfId="0" applyFont="1" applyAlignment="1">
      <alignment vertical="center" wrapText="1"/>
    </xf>
    <xf numFmtId="0" fontId="87" fillId="0" borderId="40" xfId="0" applyFont="1" applyBorder="1" applyAlignment="1">
      <alignment vertical="center" wrapText="1"/>
    </xf>
    <xf numFmtId="0" fontId="87" fillId="0" borderId="39" xfId="0" applyFont="1" applyBorder="1" applyAlignment="1">
      <alignment vertical="top" wrapText="1"/>
    </xf>
    <xf numFmtId="0" fontId="87" fillId="0" borderId="0" xfId="0" applyFont="1" applyAlignment="1">
      <alignment horizontal="left" vertical="top" wrapText="1"/>
    </xf>
    <xf numFmtId="0" fontId="87" fillId="0" borderId="40" xfId="0" applyFont="1" applyBorder="1" applyAlignment="1">
      <alignment horizontal="left" vertical="top" wrapText="1"/>
    </xf>
    <xf numFmtId="0" fontId="87" fillId="0" borderId="122" xfId="0" applyFont="1" applyBorder="1" applyAlignment="1">
      <alignment vertical="top" wrapText="1"/>
    </xf>
    <xf numFmtId="0" fontId="87" fillId="0" borderId="39" xfId="0" applyFont="1" applyBorder="1" applyAlignment="1">
      <alignment vertical="top"/>
    </xf>
    <xf numFmtId="0" fontId="84" fillId="0" borderId="40" xfId="0" applyFont="1" applyBorder="1" applyAlignment="1">
      <alignment horizontal="justify" vertical="center" wrapText="1"/>
    </xf>
    <xf numFmtId="0" fontId="87" fillId="0" borderId="39" xfId="0" applyFont="1" applyBorder="1" applyAlignment="1">
      <alignment vertical="center" wrapText="1"/>
    </xf>
    <xf numFmtId="0" fontId="95" fillId="0" borderId="0" xfId="0" applyFont="1" applyAlignment="1">
      <alignment vertical="center" wrapText="1"/>
    </xf>
    <xf numFmtId="0" fontId="87" fillId="0" borderId="42" xfId="0" applyFont="1" applyBorder="1" applyAlignment="1">
      <alignment vertical="center" wrapText="1"/>
    </xf>
    <xf numFmtId="0" fontId="96" fillId="0" borderId="0" xfId="0" applyFont="1" applyAlignment="1">
      <alignment vertical="top" wrapText="1"/>
    </xf>
    <xf numFmtId="0" fontId="93" fillId="0" borderId="0" xfId="0" applyFont="1" applyAlignment="1">
      <alignment horizontal="center" vertical="top" wrapText="1"/>
    </xf>
    <xf numFmtId="0" fontId="93" fillId="0" borderId="0" xfId="0" applyFont="1" applyAlignment="1">
      <alignment horizontal="left" vertical="top" wrapText="1"/>
    </xf>
    <xf numFmtId="0" fontId="93" fillId="0" borderId="0" xfId="0" applyFont="1" applyAlignment="1">
      <alignment horizontal="justify" vertical="center"/>
    </xf>
    <xf numFmtId="58" fontId="87" fillId="0" borderId="2" xfId="0" applyNumberFormat="1" applyFont="1" applyBorder="1" applyAlignment="1">
      <alignment vertical="center" wrapText="1"/>
    </xf>
    <xf numFmtId="0" fontId="87" fillId="0" borderId="3" xfId="0" applyFont="1" applyBorder="1" applyAlignment="1">
      <alignment vertical="center" wrapText="1"/>
    </xf>
    <xf numFmtId="0" fontId="87" fillId="0" borderId="22" xfId="0" applyFont="1" applyBorder="1" applyAlignment="1">
      <alignment vertical="center" wrapText="1"/>
    </xf>
    <xf numFmtId="0" fontId="91" fillId="0" borderId="6" xfId="0" applyFont="1" applyBorder="1" applyAlignment="1">
      <alignment vertical="center" wrapText="1"/>
    </xf>
    <xf numFmtId="0" fontId="91" fillId="0" borderId="5" xfId="0" applyFont="1" applyBorder="1" applyAlignment="1">
      <alignment vertical="center" wrapText="1"/>
    </xf>
    <xf numFmtId="0" fontId="91" fillId="0" borderId="24" xfId="0" applyFont="1" applyBorder="1" applyAlignment="1">
      <alignment vertical="center" wrapText="1"/>
    </xf>
    <xf numFmtId="0" fontId="91" fillId="0" borderId="8" xfId="0" applyFont="1" applyBorder="1" applyAlignment="1">
      <alignment vertical="center" wrapText="1"/>
    </xf>
    <xf numFmtId="0" fontId="91" fillId="0" borderId="10" xfId="0" applyFont="1" applyBorder="1" applyAlignment="1">
      <alignment vertical="center" wrapText="1"/>
    </xf>
    <xf numFmtId="0" fontId="91" fillId="0" borderId="23" xfId="0" applyFont="1" applyBorder="1" applyAlignment="1">
      <alignment vertical="center" wrapText="1"/>
    </xf>
    <xf numFmtId="0" fontId="87" fillId="0" borderId="40" xfId="0" applyFont="1" applyBorder="1" applyAlignment="1">
      <alignment vertical="top" wrapText="1"/>
    </xf>
    <xf numFmtId="0" fontId="87" fillId="0" borderId="101" xfId="0" applyFont="1" applyBorder="1" applyAlignment="1">
      <alignment vertical="top" wrapText="1"/>
    </xf>
    <xf numFmtId="0" fontId="87" fillId="0" borderId="125" xfId="0" applyFont="1" applyBorder="1" applyAlignment="1">
      <alignment vertical="top" wrapText="1"/>
    </xf>
    <xf numFmtId="0" fontId="87" fillId="0" borderId="0" xfId="0" applyFont="1" applyAlignment="1">
      <alignment vertical="top" wrapText="1"/>
    </xf>
    <xf numFmtId="0" fontId="49" fillId="0" borderId="0" xfId="0" applyFont="1" applyAlignment="1">
      <alignment horizontal="left" vertical="center" wrapText="1"/>
    </xf>
    <xf numFmtId="0" fontId="49" fillId="0" borderId="0" xfId="0" applyFont="1" applyAlignment="1">
      <alignment horizontal="left" vertical="top" wrapText="1"/>
    </xf>
    <xf numFmtId="0" fontId="13" fillId="0" borderId="0" xfId="0" applyFont="1" applyAlignment="1">
      <alignment horizontal="left" vertical="center"/>
    </xf>
    <xf numFmtId="0" fontId="49" fillId="0" borderId="0" xfId="0" applyFont="1" applyAlignment="1">
      <alignment horizontal="left" wrapText="1"/>
    </xf>
    <xf numFmtId="0" fontId="49" fillId="0" borderId="79" xfId="0" applyFont="1" applyBorder="1" applyAlignment="1">
      <alignment horizontal="left" vertical="center" wrapText="1"/>
    </xf>
    <xf numFmtId="0" fontId="49" fillId="0" borderId="82" xfId="0" applyFont="1" applyBorder="1" applyAlignment="1">
      <alignment horizontal="left" vertical="center" wrapText="1"/>
    </xf>
    <xf numFmtId="0" fontId="49" fillId="0" borderId="85" xfId="0" applyFont="1" applyBorder="1" applyAlignment="1">
      <alignment horizontal="left" vertical="center" wrapText="1"/>
    </xf>
    <xf numFmtId="0" fontId="49" fillId="0" borderId="82" xfId="0" applyFont="1" applyBorder="1" applyAlignment="1">
      <alignment horizontal="left" wrapText="1"/>
    </xf>
    <xf numFmtId="0" fontId="49" fillId="0" borderId="82" xfId="0" applyFont="1" applyBorder="1" applyAlignment="1">
      <alignment horizontal="left" vertical="top" wrapText="1"/>
    </xf>
    <xf numFmtId="0" fontId="81" fillId="0" borderId="12" xfId="0" applyFont="1" applyBorder="1">
      <alignment vertical="center"/>
    </xf>
    <xf numFmtId="0" fontId="13" fillId="0" borderId="79" xfId="0" applyFont="1" applyBorder="1" applyAlignment="1">
      <alignment vertical="center" wrapText="1"/>
    </xf>
    <xf numFmtId="0" fontId="49" fillId="0" borderId="85" xfId="0" applyFont="1" applyBorder="1" applyAlignment="1">
      <alignment horizontal="left" vertical="top" wrapText="1"/>
    </xf>
    <xf numFmtId="0" fontId="70" fillId="0" borderId="0" xfId="0" applyFont="1" applyAlignment="1">
      <alignment horizontal="center" vertical="center"/>
    </xf>
    <xf numFmtId="0" fontId="81" fillId="0" borderId="0" xfId="3" applyFont="1" applyFill="1" applyBorder="1" applyAlignment="1">
      <alignment horizontal="left" vertical="center" wrapText="1"/>
    </xf>
    <xf numFmtId="0" fontId="81" fillId="0" borderId="0" xfId="3" applyFont="1" applyFill="1" applyBorder="1" applyAlignment="1">
      <alignment horizontal="left" vertical="center"/>
    </xf>
    <xf numFmtId="0" fontId="107" fillId="0" borderId="0" xfId="0" applyFont="1">
      <alignment vertical="center"/>
    </xf>
    <xf numFmtId="0" fontId="108" fillId="0" borderId="0" xfId="0" applyFont="1">
      <alignment vertical="center"/>
    </xf>
    <xf numFmtId="0" fontId="87" fillId="0" borderId="11" xfId="0" applyFont="1" applyBorder="1" applyAlignment="1">
      <alignment vertical="top" wrapText="1"/>
    </xf>
    <xf numFmtId="0" fontId="0" fillId="0" borderId="3" xfId="0" applyBorder="1" applyAlignment="1">
      <alignment horizontal="center" vertical="center"/>
    </xf>
    <xf numFmtId="0" fontId="49" fillId="0" borderId="0" xfId="0" applyFont="1">
      <alignment vertical="center"/>
    </xf>
    <xf numFmtId="0" fontId="67" fillId="0" borderId="0" xfId="0" applyFont="1">
      <alignment vertical="center"/>
    </xf>
    <xf numFmtId="0" fontId="70" fillId="0" borderId="3" xfId="0" applyFont="1" applyBorder="1">
      <alignment vertical="center"/>
    </xf>
    <xf numFmtId="0" fontId="0" fillId="0" borderId="22" xfId="0" applyBorder="1">
      <alignment vertical="center"/>
    </xf>
    <xf numFmtId="0" fontId="70" fillId="0" borderId="101" xfId="0" applyFont="1" applyBorder="1">
      <alignment vertical="center"/>
    </xf>
    <xf numFmtId="0" fontId="0" fillId="0" borderId="101" xfId="0" applyBorder="1">
      <alignment vertical="center"/>
    </xf>
    <xf numFmtId="0" fontId="0" fillId="0" borderId="97" xfId="0" applyBorder="1">
      <alignment vertical="center"/>
    </xf>
    <xf numFmtId="0" fontId="0" fillId="0" borderId="99" xfId="0" applyBorder="1">
      <alignment vertical="center"/>
    </xf>
    <xf numFmtId="0" fontId="0" fillId="0" borderId="102" xfId="0" applyBorder="1">
      <alignment vertical="center"/>
    </xf>
    <xf numFmtId="0" fontId="70" fillId="0" borderId="98" xfId="0" applyFont="1" applyBorder="1">
      <alignment vertical="center"/>
    </xf>
    <xf numFmtId="0" fontId="70" fillId="0" borderId="100" xfId="0" applyFont="1" applyBorder="1">
      <alignment vertical="center"/>
    </xf>
    <xf numFmtId="0" fontId="0" fillId="0" borderId="131" xfId="0" applyBorder="1">
      <alignment vertical="center"/>
    </xf>
    <xf numFmtId="0" fontId="0" fillId="0" borderId="131" xfId="0" applyBorder="1" applyAlignment="1">
      <alignment horizontal="center" vertical="center"/>
    </xf>
    <xf numFmtId="0" fontId="53" fillId="0" borderId="0" xfId="0" applyFont="1" applyAlignment="1">
      <alignment horizontal="right" vertical="center"/>
    </xf>
    <xf numFmtId="0" fontId="67" fillId="10" borderId="1" xfId="0" applyFont="1" applyFill="1" applyBorder="1" applyAlignment="1">
      <alignment horizontal="center" vertical="center"/>
    </xf>
    <xf numFmtId="0" fontId="59" fillId="0" borderId="0" xfId="0" applyFont="1" applyAlignment="1"/>
    <xf numFmtId="0" fontId="99" fillId="0" borderId="0" xfId="0" applyFont="1">
      <alignment vertical="center"/>
    </xf>
    <xf numFmtId="0" fontId="80" fillId="0" borderId="0" xfId="3" applyFont="1" applyFill="1" applyAlignment="1">
      <alignment vertical="center" wrapText="1"/>
    </xf>
    <xf numFmtId="0" fontId="16" fillId="0" borderId="0" xfId="0" applyFont="1" applyAlignment="1">
      <alignment horizontal="left" vertical="center"/>
    </xf>
    <xf numFmtId="0" fontId="111" fillId="0" borderId="0" xfId="0" applyFont="1" applyAlignment="1">
      <alignment horizontal="center" vertical="center"/>
    </xf>
    <xf numFmtId="0" fontId="113" fillId="0" borderId="0" xfId="3" applyFont="1" applyFill="1" applyAlignment="1">
      <alignment horizontal="left" vertical="center"/>
    </xf>
    <xf numFmtId="0" fontId="113" fillId="0" borderId="0" xfId="3" applyFont="1" applyFill="1" applyAlignment="1">
      <alignment horizontal="left" vertical="center" wrapText="1"/>
    </xf>
    <xf numFmtId="0" fontId="16" fillId="0" borderId="0" xfId="0" applyFont="1">
      <alignment vertical="center"/>
    </xf>
    <xf numFmtId="0" fontId="16" fillId="5" borderId="1" xfId="0" applyFont="1" applyFill="1" applyBorder="1" applyAlignment="1">
      <alignment horizontal="left" vertical="center"/>
    </xf>
    <xf numFmtId="0" fontId="113" fillId="0" borderId="65" xfId="3" applyFont="1" applyFill="1" applyBorder="1" applyAlignment="1">
      <alignment horizontal="left" vertical="center"/>
    </xf>
    <xf numFmtId="0" fontId="113" fillId="0" borderId="66" xfId="3" applyFont="1" applyFill="1" applyBorder="1" applyAlignment="1">
      <alignment horizontal="left" vertical="center"/>
    </xf>
    <xf numFmtId="0" fontId="113" fillId="0" borderId="67" xfId="3" applyFont="1" applyFill="1" applyBorder="1" applyAlignment="1">
      <alignment horizontal="left" vertical="center"/>
    </xf>
    <xf numFmtId="0" fontId="113" fillId="0" borderId="66" xfId="0" applyFont="1" applyBorder="1" applyAlignment="1">
      <alignment horizontal="left" vertical="center"/>
    </xf>
    <xf numFmtId="0" fontId="44" fillId="0" borderId="66" xfId="3" applyFont="1" applyFill="1" applyBorder="1" applyAlignment="1">
      <alignment horizontal="left" vertical="center"/>
    </xf>
    <xf numFmtId="0" fontId="0" fillId="0" borderId="124" xfId="0" applyBorder="1">
      <alignment vertical="center"/>
    </xf>
    <xf numFmtId="0" fontId="0" fillId="0" borderId="123" xfId="0" applyBorder="1">
      <alignment vertical="center"/>
    </xf>
    <xf numFmtId="0" fontId="0" fillId="0" borderId="22" xfId="0" applyBorder="1" applyAlignment="1">
      <alignment horizontal="right" vertical="center"/>
    </xf>
    <xf numFmtId="0" fontId="110" fillId="0" borderId="0" xfId="0" applyFont="1">
      <alignment vertical="center"/>
    </xf>
    <xf numFmtId="0" fontId="113" fillId="0" borderId="66" xfId="3" applyFont="1" applyFill="1" applyBorder="1" applyAlignment="1">
      <alignment horizontal="left" vertical="center" wrapText="1"/>
    </xf>
    <xf numFmtId="0" fontId="44" fillId="0" borderId="67" xfId="3" applyFont="1" applyFill="1" applyBorder="1" applyAlignment="1">
      <alignment horizontal="left" vertical="center"/>
    </xf>
    <xf numFmtId="0" fontId="0" fillId="0" borderId="0" xfId="0" applyAlignment="1">
      <alignment horizontal="distributed" vertical="center"/>
    </xf>
    <xf numFmtId="0" fontId="78" fillId="0" borderId="0" xfId="0" applyFont="1">
      <alignment vertical="center"/>
    </xf>
    <xf numFmtId="0" fontId="114" fillId="0" borderId="0" xfId="0" applyFont="1">
      <alignment vertical="center"/>
    </xf>
    <xf numFmtId="0" fontId="52" fillId="0" borderId="9" xfId="0" applyFont="1" applyBorder="1">
      <alignment vertical="center"/>
    </xf>
    <xf numFmtId="0" fontId="52" fillId="0" borderId="10" xfId="0" applyFont="1" applyBorder="1">
      <alignment vertical="center"/>
    </xf>
    <xf numFmtId="0" fontId="0" fillId="0" borderId="4" xfId="0" applyBorder="1">
      <alignment vertical="center"/>
    </xf>
    <xf numFmtId="0" fontId="13" fillId="0" borderId="136" xfId="2" applyBorder="1">
      <alignment vertical="center"/>
    </xf>
    <xf numFmtId="0" fontId="13" fillId="0" borderId="137" xfId="2" applyBorder="1">
      <alignment vertical="center"/>
    </xf>
    <xf numFmtId="0" fontId="13" fillId="0" borderId="138" xfId="2" applyBorder="1">
      <alignment vertical="center"/>
    </xf>
    <xf numFmtId="0" fontId="0" fillId="0" borderId="5" xfId="0" applyBorder="1" applyAlignment="1">
      <alignment horizontal="center" vertical="center"/>
    </xf>
    <xf numFmtId="0" fontId="49" fillId="0" borderId="0" xfId="8" applyFont="1" applyAlignment="1">
      <alignment horizontal="center" vertical="top" wrapText="1"/>
    </xf>
    <xf numFmtId="0" fontId="118" fillId="0" borderId="0" xfId="0" applyFont="1" applyAlignment="1"/>
    <xf numFmtId="0" fontId="0" fillId="0" borderId="6"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70" fillId="6" borderId="6" xfId="0" applyFont="1" applyFill="1" applyBorder="1" applyAlignment="1">
      <alignment horizontal="center" vertical="center"/>
    </xf>
    <xf numFmtId="0" fontId="70" fillId="6" borderId="5" xfId="0" applyFont="1" applyFill="1" applyBorder="1" applyAlignment="1">
      <alignment horizontal="center" vertical="center"/>
    </xf>
    <xf numFmtId="0" fontId="70" fillId="6" borderId="7" xfId="0" applyFont="1" applyFill="1" applyBorder="1" applyAlignment="1">
      <alignment horizontal="center" vertical="center"/>
    </xf>
    <xf numFmtId="0" fontId="70" fillId="6" borderId="8" xfId="0" applyFont="1" applyFill="1" applyBorder="1" applyAlignment="1">
      <alignment horizontal="center" vertical="center"/>
    </xf>
    <xf numFmtId="0" fontId="70" fillId="6" borderId="10" xfId="0" applyFont="1" applyFill="1" applyBorder="1" applyAlignment="1">
      <alignment horizontal="center" vertical="center"/>
    </xf>
    <xf numFmtId="0" fontId="70" fillId="6" borderId="9" xfId="0" applyFont="1" applyFill="1" applyBorder="1" applyAlignment="1">
      <alignment horizontal="center" vertical="center"/>
    </xf>
    <xf numFmtId="0" fontId="68" fillId="6" borderId="6" xfId="0" applyFont="1" applyFill="1" applyBorder="1" applyAlignment="1">
      <alignment horizontal="center" vertical="center"/>
    </xf>
    <xf numFmtId="0" fontId="68" fillId="6" borderId="5" xfId="0" applyFont="1" applyFill="1" applyBorder="1" applyAlignment="1">
      <alignment horizontal="center" vertical="center"/>
    </xf>
    <xf numFmtId="0" fontId="68" fillId="6" borderId="7" xfId="0" applyFont="1" applyFill="1" applyBorder="1" applyAlignment="1">
      <alignment horizontal="center" vertical="center"/>
    </xf>
    <xf numFmtId="0" fontId="68" fillId="6" borderId="8" xfId="0" applyFont="1" applyFill="1" applyBorder="1" applyAlignment="1">
      <alignment horizontal="center" vertical="center"/>
    </xf>
    <xf numFmtId="0" fontId="68" fillId="6" borderId="10" xfId="0" applyFont="1" applyFill="1" applyBorder="1" applyAlignment="1">
      <alignment horizontal="center" vertical="center"/>
    </xf>
    <xf numFmtId="0" fontId="68" fillId="6" borderId="9" xfId="0" applyFont="1"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68" fillId="0" borderId="6" xfId="0" applyFont="1" applyBorder="1" applyAlignment="1">
      <alignment horizontal="left" vertical="center"/>
    </xf>
    <xf numFmtId="0" fontId="68" fillId="0" borderId="5" xfId="0" applyFont="1" applyBorder="1" applyAlignment="1">
      <alignment horizontal="left" vertical="center"/>
    </xf>
    <xf numFmtId="0" fontId="68" fillId="0" borderId="24" xfId="0" applyFont="1" applyBorder="1" applyAlignment="1">
      <alignment horizontal="left" vertical="center"/>
    </xf>
    <xf numFmtId="0" fontId="68" fillId="0" borderId="11" xfId="0" applyFont="1" applyBorder="1" applyAlignment="1">
      <alignment horizontal="left" vertical="center"/>
    </xf>
    <xf numFmtId="0" fontId="68" fillId="0" borderId="0" xfId="0" applyFont="1" applyAlignment="1">
      <alignment horizontal="left" vertical="center"/>
    </xf>
    <xf numFmtId="0" fontId="68" fillId="0" borderId="40" xfId="0" applyFont="1" applyBorder="1" applyAlignment="1">
      <alignment horizontal="left" vertical="center"/>
    </xf>
    <xf numFmtId="0" fontId="70" fillId="0" borderId="11" xfId="0" applyFont="1" applyBorder="1" applyAlignment="1">
      <alignment horizontal="left" vertical="center"/>
    </xf>
    <xf numFmtId="0" fontId="70" fillId="0" borderId="0" xfId="0" applyFont="1" applyAlignment="1">
      <alignment horizontal="left" vertical="center"/>
    </xf>
    <xf numFmtId="0" fontId="70" fillId="0" borderId="40" xfId="0" applyFont="1" applyBorder="1" applyAlignment="1">
      <alignment horizontal="left" vertical="center"/>
    </xf>
    <xf numFmtId="0" fontId="53" fillId="0" borderId="0" xfId="0" applyFont="1" applyAlignment="1">
      <alignment horizontal="right" vertical="center"/>
    </xf>
    <xf numFmtId="0" fontId="64" fillId="10" borderId="38" xfId="0" applyFont="1" applyFill="1" applyBorder="1" applyAlignment="1">
      <alignment horizontal="center"/>
    </xf>
    <xf numFmtId="0" fontId="64" fillId="10" borderId="19" xfId="0" applyFont="1" applyFill="1" applyBorder="1" applyAlignment="1">
      <alignment horizontal="center"/>
    </xf>
    <xf numFmtId="0" fontId="64" fillId="10" borderId="20" xfId="0" applyFont="1" applyFill="1" applyBorder="1" applyAlignment="1">
      <alignment horizontal="center"/>
    </xf>
    <xf numFmtId="0" fontId="64" fillId="10" borderId="34" xfId="0" applyFont="1" applyFill="1" applyBorder="1" applyAlignment="1">
      <alignment horizontal="center"/>
    </xf>
    <xf numFmtId="0" fontId="64" fillId="10" borderId="10" xfId="0" applyFont="1" applyFill="1" applyBorder="1" applyAlignment="1">
      <alignment horizontal="center"/>
    </xf>
    <xf numFmtId="0" fontId="64" fillId="10" borderId="23" xfId="0" applyFont="1" applyFill="1" applyBorder="1" applyAlignment="1">
      <alignment horizontal="center"/>
    </xf>
    <xf numFmtId="0" fontId="70" fillId="0" borderId="0" xfId="0" applyFont="1" applyAlignment="1">
      <alignment horizontal="right" vertical="top"/>
    </xf>
    <xf numFmtId="0" fontId="67" fillId="10" borderId="21" xfId="0" applyFont="1" applyFill="1" applyBorder="1" applyAlignment="1">
      <alignment horizontal="center" vertical="center"/>
    </xf>
    <xf numFmtId="0" fontId="67" fillId="10" borderId="1" xfId="0" applyFont="1" applyFill="1" applyBorder="1" applyAlignment="1">
      <alignment horizontal="center" vertical="center"/>
    </xf>
    <xf numFmtId="0" fontId="50" fillId="0" borderId="21" xfId="0" applyFont="1" applyBorder="1" applyAlignment="1">
      <alignment horizontal="center" vertical="center"/>
    </xf>
    <xf numFmtId="0" fontId="50" fillId="0" borderId="1" xfId="0" applyFont="1" applyBorder="1" applyAlignment="1">
      <alignment horizontal="center" vertical="center"/>
    </xf>
    <xf numFmtId="0" fontId="50" fillId="0" borderId="51" xfId="0" applyFont="1" applyBorder="1" applyAlignment="1">
      <alignment horizontal="center" vertical="center"/>
    </xf>
    <xf numFmtId="0" fontId="50" fillId="0" borderId="52" xfId="0" applyFont="1" applyBorder="1" applyAlignment="1">
      <alignment horizontal="center" vertical="center"/>
    </xf>
    <xf numFmtId="0" fontId="70" fillId="0" borderId="11" xfId="0" applyFont="1" applyBorder="1" applyAlignment="1">
      <alignment horizontal="center" vertical="center"/>
    </xf>
    <xf numFmtId="0" fontId="70" fillId="0" borderId="0" xfId="0" applyFont="1" applyAlignment="1">
      <alignment horizontal="center" vertical="center"/>
    </xf>
    <xf numFmtId="0" fontId="70" fillId="0" borderId="40" xfId="0" applyFont="1" applyBorder="1" applyAlignment="1">
      <alignment horizontal="center" vertical="center"/>
    </xf>
    <xf numFmtId="0" fontId="70" fillId="6" borderId="11" xfId="0" applyFont="1" applyFill="1" applyBorder="1" applyAlignment="1">
      <alignment horizontal="center" vertical="center"/>
    </xf>
    <xf numFmtId="0" fontId="70" fillId="6" borderId="0" xfId="0" applyFont="1" applyFill="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50" fillId="6" borderId="1" xfId="0" applyFont="1" applyFill="1" applyBorder="1" applyAlignment="1">
      <alignment horizontal="center" vertical="center"/>
    </xf>
    <xf numFmtId="0" fontId="13" fillId="0" borderId="1" xfId="0" applyFont="1" applyBorder="1" applyAlignment="1">
      <alignment horizontal="center" vertical="center" wrapText="1"/>
    </xf>
    <xf numFmtId="0" fontId="0" fillId="0" borderId="6" xfId="0" applyBorder="1" applyAlignment="1">
      <alignment horizontal="center" vertical="center" shrinkToFit="1"/>
    </xf>
    <xf numFmtId="0" fontId="0" fillId="0" borderId="5" xfId="0" applyBorder="1" applyAlignment="1">
      <alignment horizontal="center" vertical="center" shrinkToFit="1"/>
    </xf>
    <xf numFmtId="0" fontId="0" fillId="0" borderId="8" xfId="0" applyBorder="1" applyAlignment="1">
      <alignment horizontal="center" vertical="center" shrinkToFit="1"/>
    </xf>
    <xf numFmtId="0" fontId="0" fillId="0" borderId="10" xfId="0" applyBorder="1" applyAlignment="1">
      <alignment horizontal="center" vertical="center" shrinkToFi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135"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87" xfId="0" applyBorder="1" applyAlignment="1">
      <alignment horizontal="center" vertical="center" wrapText="1"/>
    </xf>
    <xf numFmtId="0" fontId="67" fillId="10" borderId="1" xfId="0" applyFont="1" applyFill="1" applyBorder="1" applyAlignment="1">
      <alignment horizontal="center" vertical="center" wrapText="1"/>
    </xf>
    <xf numFmtId="0" fontId="0" fillId="0" borderId="1" xfId="0" applyBorder="1" applyAlignment="1">
      <alignment horizontal="center" vertical="center" shrinkToFit="1"/>
    </xf>
    <xf numFmtId="0" fontId="67" fillId="10" borderId="2" xfId="0" applyFont="1" applyFill="1" applyBorder="1" applyAlignment="1">
      <alignment horizontal="center" vertical="center" wrapText="1"/>
    </xf>
    <xf numFmtId="0" fontId="67" fillId="10" borderId="3" xfId="0" applyFont="1" applyFill="1" applyBorder="1" applyAlignment="1">
      <alignment horizontal="center" vertical="center" wrapText="1"/>
    </xf>
    <xf numFmtId="0" fontId="67" fillId="10" borderId="4" xfId="0" applyFont="1" applyFill="1" applyBorder="1" applyAlignment="1">
      <alignment horizontal="center" vertical="center" wrapText="1"/>
    </xf>
    <xf numFmtId="0" fontId="0" fillId="0" borderId="11" xfId="0" applyBorder="1" applyAlignment="1">
      <alignment horizontal="center" vertical="center" shrinkToFit="1"/>
    </xf>
    <xf numFmtId="0" fontId="0" fillId="0" borderId="0" xfId="0" applyAlignment="1">
      <alignment horizontal="center" vertical="center" shrinkToFit="1"/>
    </xf>
    <xf numFmtId="0" fontId="70" fillId="10" borderId="6" xfId="0" applyFont="1" applyFill="1" applyBorder="1" applyAlignment="1">
      <alignment horizontal="center" vertical="center" wrapText="1"/>
    </xf>
    <xf numFmtId="0" fontId="70" fillId="10" borderId="5" xfId="0" applyFont="1" applyFill="1" applyBorder="1" applyAlignment="1">
      <alignment horizontal="center" vertical="center" wrapText="1"/>
    </xf>
    <xf numFmtId="0" fontId="70" fillId="10" borderId="7" xfId="0" applyFont="1" applyFill="1" applyBorder="1" applyAlignment="1">
      <alignment horizontal="center" vertical="center" wrapText="1"/>
    </xf>
    <xf numFmtId="0" fontId="70" fillId="10" borderId="8" xfId="0" applyFont="1" applyFill="1" applyBorder="1" applyAlignment="1">
      <alignment horizontal="center" vertical="center" wrapText="1"/>
    </xf>
    <xf numFmtId="0" fontId="70" fillId="10" borderId="10" xfId="0" applyFont="1" applyFill="1" applyBorder="1" applyAlignment="1">
      <alignment horizontal="center" vertical="center" wrapText="1"/>
    </xf>
    <xf numFmtId="0" fontId="70" fillId="10" borderId="9" xfId="0" applyFont="1" applyFill="1" applyBorder="1" applyAlignment="1">
      <alignment horizontal="center" vertical="center" wrapText="1"/>
    </xf>
    <xf numFmtId="0" fontId="0" fillId="0" borderId="0" xfId="0" applyAlignment="1">
      <alignment horizontal="right" vertical="center"/>
    </xf>
    <xf numFmtId="0" fontId="49" fillId="0" borderId="5" xfId="0" applyFont="1" applyBorder="1" applyAlignment="1">
      <alignment horizontal="left" vertical="center" wrapText="1"/>
    </xf>
    <xf numFmtId="0" fontId="49" fillId="0" borderId="24" xfId="0" applyFont="1" applyBorder="1" applyAlignment="1">
      <alignment horizontal="left" vertical="center" wrapText="1"/>
    </xf>
    <xf numFmtId="0" fontId="49" fillId="0" borderId="0" xfId="0" applyFont="1" applyAlignment="1">
      <alignment horizontal="left" vertical="center" wrapText="1"/>
    </xf>
    <xf numFmtId="0" fontId="49" fillId="0" borderId="40" xfId="0" applyFont="1" applyBorder="1" applyAlignment="1">
      <alignment horizontal="left" vertical="center" wrapText="1"/>
    </xf>
    <xf numFmtId="0" fontId="49" fillId="0" borderId="10" xfId="0" applyFont="1" applyBorder="1" applyAlignment="1">
      <alignment horizontal="left" vertical="center" wrapText="1"/>
    </xf>
    <xf numFmtId="0" fontId="49" fillId="0" borderId="23" xfId="0" applyFont="1" applyBorder="1" applyAlignment="1">
      <alignment horizontal="left" vertical="center" wrapText="1"/>
    </xf>
    <xf numFmtId="0" fontId="0" fillId="0" borderId="0" xfId="0" applyAlignment="1">
      <alignment horizontal="left" vertical="center"/>
    </xf>
    <xf numFmtId="0" fontId="0" fillId="0" borderId="40" xfId="0" applyBorder="1" applyAlignment="1">
      <alignment horizontal="left" vertical="center"/>
    </xf>
    <xf numFmtId="0" fontId="70" fillId="10" borderId="38" xfId="0" applyFont="1" applyFill="1" applyBorder="1" applyAlignment="1">
      <alignment horizontal="center" vertical="center"/>
    </xf>
    <xf numFmtId="0" fontId="70" fillId="10" borderId="18" xfId="0" applyFont="1" applyFill="1" applyBorder="1" applyAlignment="1">
      <alignment horizontal="center" vertical="center"/>
    </xf>
    <xf numFmtId="0" fontId="70" fillId="10" borderId="39" xfId="0" applyFont="1" applyFill="1" applyBorder="1" applyAlignment="1">
      <alignment horizontal="center" vertical="center"/>
    </xf>
    <xf numFmtId="0" fontId="70" fillId="10" borderId="12" xfId="0" applyFont="1" applyFill="1" applyBorder="1" applyAlignment="1">
      <alignment horizontal="center" vertical="center"/>
    </xf>
    <xf numFmtId="0" fontId="70" fillId="10" borderId="34" xfId="0" applyFont="1" applyFill="1" applyBorder="1" applyAlignment="1">
      <alignment horizontal="center" vertical="center"/>
    </xf>
    <xf numFmtId="0" fontId="70" fillId="10" borderId="9" xfId="0" applyFont="1" applyFill="1" applyBorder="1" applyAlignment="1">
      <alignment horizontal="center" vertical="center"/>
    </xf>
    <xf numFmtId="0" fontId="70" fillId="10" borderId="33" xfId="0" applyFont="1" applyFill="1" applyBorder="1" applyAlignment="1">
      <alignment horizontal="center" vertical="center"/>
    </xf>
    <xf numFmtId="0" fontId="70" fillId="10" borderId="7" xfId="0" applyFont="1" applyFill="1"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xf>
    <xf numFmtId="0" fontId="0" fillId="0" borderId="40" xfId="0" applyBorder="1" applyAlignment="1">
      <alignment horizontal="center" vertical="center"/>
    </xf>
    <xf numFmtId="0" fontId="67" fillId="10" borderId="2" xfId="0" applyFont="1" applyFill="1" applyBorder="1" applyAlignment="1">
      <alignment horizontal="center" vertical="center"/>
    </xf>
    <xf numFmtId="0" fontId="67" fillId="10" borderId="3" xfId="0" applyFont="1" applyFill="1" applyBorder="1" applyAlignment="1">
      <alignment horizontal="center" vertical="center"/>
    </xf>
    <xf numFmtId="0" fontId="67" fillId="10" borderId="22" xfId="0" applyFont="1" applyFill="1" applyBorder="1" applyAlignment="1">
      <alignment horizontal="center" vertical="center"/>
    </xf>
    <xf numFmtId="0" fontId="49" fillId="0" borderId="31" xfId="0" applyFont="1" applyBorder="1" applyAlignment="1">
      <alignment horizontal="left" vertical="center"/>
    </xf>
    <xf numFmtId="0" fontId="49" fillId="0" borderId="15" xfId="0" applyFont="1" applyBorder="1" applyAlignment="1">
      <alignment horizontal="left" vertical="center"/>
    </xf>
    <xf numFmtId="0" fontId="49" fillId="0" borderId="32" xfId="0" applyFont="1" applyBorder="1" applyAlignment="1">
      <alignment horizontal="left" vertical="center"/>
    </xf>
    <xf numFmtId="0" fontId="0" fillId="0" borderId="5" xfId="0" applyBorder="1" applyAlignment="1">
      <alignment horizontal="right" vertical="center"/>
    </xf>
    <xf numFmtId="0" fontId="0" fillId="0" borderId="10" xfId="0" applyBorder="1" applyAlignment="1">
      <alignment horizontal="right" vertical="center"/>
    </xf>
    <xf numFmtId="0" fontId="0" fillId="0" borderId="5" xfId="0" applyBorder="1" applyAlignment="1">
      <alignment horizontal="left" vertical="center"/>
    </xf>
    <xf numFmtId="0" fontId="0" fillId="0" borderId="24" xfId="0" applyBorder="1" applyAlignment="1">
      <alignment horizontal="left" vertical="center"/>
    </xf>
    <xf numFmtId="0" fontId="0" fillId="0" borderId="10" xfId="0" applyBorder="1" applyAlignment="1">
      <alignment horizontal="left" vertical="center"/>
    </xf>
    <xf numFmtId="0" fontId="0" fillId="0" borderId="23" xfId="0" applyBorder="1" applyAlignment="1">
      <alignment horizontal="left" vertical="center"/>
    </xf>
    <xf numFmtId="0" fontId="70" fillId="10" borderId="33" xfId="0" applyFont="1" applyFill="1" applyBorder="1" applyAlignment="1">
      <alignment horizontal="center" vertical="center" wrapText="1"/>
    </xf>
    <xf numFmtId="0" fontId="70" fillId="10" borderId="39" xfId="0" applyFont="1" applyFill="1" applyBorder="1" applyAlignment="1">
      <alignment horizontal="center" vertical="center" wrapText="1"/>
    </xf>
    <xf numFmtId="0" fontId="70" fillId="10" borderId="12" xfId="0" applyFont="1" applyFill="1" applyBorder="1" applyAlignment="1">
      <alignment horizontal="center" vertical="center" wrapText="1"/>
    </xf>
    <xf numFmtId="0" fontId="70" fillId="10" borderId="34" xfId="0" applyFont="1" applyFill="1" applyBorder="1" applyAlignment="1">
      <alignment horizontal="center" vertical="center" wrapText="1"/>
    </xf>
    <xf numFmtId="0" fontId="13" fillId="0" borderId="1" xfId="0" applyFont="1" applyBorder="1" applyAlignment="1">
      <alignment horizontal="center" vertical="center"/>
    </xf>
    <xf numFmtId="0" fontId="13" fillId="0" borderId="49" xfId="0" applyFont="1" applyBorder="1" applyAlignment="1">
      <alignment horizontal="center" vertical="center"/>
    </xf>
    <xf numFmtId="0" fontId="0" fillId="6" borderId="1" xfId="0" applyFill="1" applyBorder="1" applyAlignment="1">
      <alignment horizontal="center" vertical="center" shrinkToFit="1"/>
    </xf>
    <xf numFmtId="0" fontId="13" fillId="6" borderId="1" xfId="0" applyFont="1" applyFill="1" applyBorder="1" applyAlignment="1">
      <alignment horizontal="center" vertical="center" wrapText="1"/>
    </xf>
    <xf numFmtId="0" fontId="13" fillId="0" borderId="49" xfId="0" applyFont="1" applyBorder="1" applyAlignment="1">
      <alignment horizontal="center" vertical="center" wrapText="1"/>
    </xf>
    <xf numFmtId="0" fontId="0" fillId="0" borderId="0" xfId="0" applyAlignment="1">
      <alignment horizontal="center" vertical="center" wrapText="1"/>
    </xf>
    <xf numFmtId="0" fontId="67" fillId="10" borderId="4" xfId="0" applyFont="1" applyFill="1" applyBorder="1" applyAlignment="1">
      <alignment horizontal="center" vertical="center"/>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2" xfId="0" applyBorder="1" applyAlignment="1">
      <alignment horizontal="center" vertical="center" wrapText="1"/>
    </xf>
    <xf numFmtId="0" fontId="13" fillId="0" borderId="7" xfId="0" applyFont="1" applyBorder="1" applyAlignment="1">
      <alignment horizontal="center" vertical="center" wrapText="1"/>
    </xf>
    <xf numFmtId="0" fontId="13" fillId="0" borderId="0" xfId="0" applyFont="1" applyAlignment="1">
      <alignment horizontal="center" vertical="center" wrapText="1"/>
    </xf>
    <xf numFmtId="0" fontId="13" fillId="0" borderId="12"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9" xfId="0" applyFont="1" applyBorder="1" applyAlignment="1">
      <alignment horizontal="center" vertical="center" wrapText="1"/>
    </xf>
    <xf numFmtId="0" fontId="0" fillId="0" borderId="12" xfId="0" applyBorder="1" applyAlignment="1">
      <alignment horizontal="center" vertical="center"/>
    </xf>
    <xf numFmtId="0" fontId="0" fillId="0" borderId="11" xfId="0" applyBorder="1" applyAlignment="1">
      <alignment horizontal="left" vertical="top" wrapText="1" shrinkToFit="1"/>
    </xf>
    <xf numFmtId="0" fontId="0" fillId="0" borderId="0" xfId="0" applyAlignment="1">
      <alignment horizontal="left" vertical="top" wrapText="1" shrinkToFit="1"/>
    </xf>
    <xf numFmtId="0" fontId="0" fillId="0" borderId="40" xfId="0" applyBorder="1" applyAlignment="1">
      <alignment horizontal="left" vertical="top" wrapText="1" shrinkToFit="1"/>
    </xf>
    <xf numFmtId="0" fontId="67" fillId="10" borderId="49" xfId="0" applyFont="1" applyFill="1" applyBorder="1" applyAlignment="1">
      <alignment horizontal="center" vertical="center" wrapText="1"/>
    </xf>
    <xf numFmtId="0" fontId="0" fillId="0" borderId="131" xfId="0" applyBorder="1" applyAlignment="1">
      <alignment horizontal="left" vertical="center"/>
    </xf>
    <xf numFmtId="0" fontId="0" fillId="0" borderId="133"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70" fillId="0" borderId="132" xfId="0" applyFont="1" applyBorder="1" applyAlignment="1">
      <alignment horizontal="left" vertical="center"/>
    </xf>
    <xf numFmtId="0" fontId="70" fillId="0" borderId="131" xfId="0" applyFont="1" applyBorder="1" applyAlignment="1">
      <alignment horizontal="left" vertical="center"/>
    </xf>
    <xf numFmtId="0" fontId="70" fillId="0" borderId="133" xfId="0" applyFont="1" applyBorder="1" applyAlignment="1">
      <alignment horizontal="left" vertical="center"/>
    </xf>
    <xf numFmtId="0" fontId="70" fillId="0" borderId="134" xfId="0" applyFont="1" applyBorder="1" applyAlignment="1">
      <alignment horizontal="left" vertical="center"/>
    </xf>
    <xf numFmtId="0" fontId="70" fillId="0" borderId="3" xfId="0" applyFont="1" applyBorder="1" applyAlignment="1">
      <alignment horizontal="left" vertical="center"/>
    </xf>
    <xf numFmtId="0" fontId="70" fillId="0" borderId="4" xfId="0" applyFont="1" applyBorder="1" applyAlignment="1">
      <alignment horizontal="left" vertical="center"/>
    </xf>
    <xf numFmtId="0" fontId="70" fillId="10" borderId="37" xfId="0" applyFont="1" applyFill="1" applyBorder="1" applyAlignment="1">
      <alignment horizontal="center" vertical="center"/>
    </xf>
    <xf numFmtId="0" fontId="70" fillId="10" borderId="62" xfId="0" applyFont="1" applyFill="1" applyBorder="1" applyAlignment="1">
      <alignment horizontal="center" vertical="center"/>
    </xf>
    <xf numFmtId="0" fontId="70" fillId="10" borderId="29" xfId="0" applyFont="1" applyFill="1" applyBorder="1" applyAlignment="1">
      <alignment horizontal="center" vertical="center"/>
    </xf>
    <xf numFmtId="0" fontId="70" fillId="10" borderId="27" xfId="0" applyFont="1" applyFill="1" applyBorder="1" applyAlignment="1">
      <alignment horizontal="center" vertical="center"/>
    </xf>
    <xf numFmtId="0" fontId="70" fillId="10" borderId="28" xfId="0" applyFont="1" applyFill="1"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6" borderId="1" xfId="0" applyFill="1" applyBorder="1" applyAlignment="1">
      <alignment horizontal="center" vertical="center"/>
    </xf>
    <xf numFmtId="0" fontId="0" fillId="6" borderId="49" xfId="0" applyFill="1" applyBorder="1" applyAlignment="1">
      <alignment horizontal="center" vertical="center"/>
    </xf>
    <xf numFmtId="0" fontId="70" fillId="10" borderId="21" xfId="0" applyFont="1" applyFill="1" applyBorder="1" applyAlignment="1">
      <alignment horizontal="center" vertical="center"/>
    </xf>
    <xf numFmtId="0" fontId="70" fillId="10" borderId="1" xfId="0" applyFont="1" applyFill="1" applyBorder="1" applyAlignment="1">
      <alignment horizontal="center" vertical="center"/>
    </xf>
    <xf numFmtId="0" fontId="70" fillId="0" borderId="3" xfId="0" applyFont="1" applyBorder="1" applyAlignment="1">
      <alignment horizontal="center" vertical="center"/>
    </xf>
    <xf numFmtId="0" fontId="70" fillId="10" borderId="5" xfId="0" applyFont="1" applyFill="1" applyBorder="1" applyAlignment="1">
      <alignment horizontal="center" vertical="center"/>
    </xf>
    <xf numFmtId="0" fontId="70" fillId="10" borderId="0" xfId="0" applyFont="1" applyFill="1" applyAlignment="1">
      <alignment horizontal="center" vertical="center"/>
    </xf>
    <xf numFmtId="0" fontId="70" fillId="10" borderId="10" xfId="0" applyFont="1" applyFill="1" applyBorder="1" applyAlignment="1">
      <alignment horizontal="center" vertical="center"/>
    </xf>
    <xf numFmtId="0" fontId="70" fillId="0" borderId="11" xfId="0" applyFont="1" applyBorder="1" applyAlignment="1">
      <alignment horizontal="left" vertical="top"/>
    </xf>
    <xf numFmtId="0" fontId="70" fillId="0" borderId="0" xfId="0" applyFont="1" applyAlignment="1">
      <alignment horizontal="left" vertical="top"/>
    </xf>
    <xf numFmtId="0" fontId="70" fillId="0" borderId="40" xfId="0" applyFont="1" applyBorder="1" applyAlignment="1">
      <alignment horizontal="left" vertical="top"/>
    </xf>
    <xf numFmtId="0" fontId="70" fillId="0" borderId="12" xfId="0" applyFont="1" applyBorder="1" applyAlignment="1">
      <alignment horizontal="left" vertical="center"/>
    </xf>
    <xf numFmtId="0" fontId="70" fillId="0" borderId="12" xfId="0" applyFont="1" applyBorder="1" applyAlignment="1">
      <alignment horizontal="left" vertical="top"/>
    </xf>
    <xf numFmtId="0" fontId="70" fillId="0" borderId="8" xfId="0" applyFont="1" applyBorder="1" applyAlignment="1">
      <alignment horizontal="left" vertical="top"/>
    </xf>
    <xf numFmtId="0" fontId="70" fillId="0" borderId="10" xfId="0" applyFont="1" applyBorder="1" applyAlignment="1">
      <alignment horizontal="left" vertical="top"/>
    </xf>
    <xf numFmtId="0" fontId="70" fillId="0" borderId="9" xfId="0" applyFont="1" applyBorder="1" applyAlignment="1">
      <alignment horizontal="left" vertical="top"/>
    </xf>
    <xf numFmtId="0" fontId="0" fillId="0" borderId="24" xfId="0" applyBorder="1" applyAlignment="1">
      <alignment horizontal="center" vertical="center" wrapText="1"/>
    </xf>
    <xf numFmtId="0" fontId="0" fillId="0" borderId="23" xfId="0" applyBorder="1" applyAlignment="1">
      <alignment horizontal="center" vertical="center" wrapText="1"/>
    </xf>
    <xf numFmtId="0" fontId="53" fillId="0" borderId="0" xfId="0" applyFont="1" applyAlignment="1">
      <alignment horizontal="right"/>
    </xf>
    <xf numFmtId="0" fontId="70" fillId="0" borderId="0" xfId="0" applyFont="1" applyAlignment="1">
      <alignment horizontal="left"/>
    </xf>
    <xf numFmtId="0" fontId="70" fillId="0" borderId="40" xfId="0" applyFont="1" applyBorder="1" applyAlignment="1">
      <alignment horizontal="left"/>
    </xf>
    <xf numFmtId="0" fontId="0" fillId="0" borderId="1" xfId="0" applyBorder="1" applyAlignment="1">
      <alignment horizontal="center" vertical="center"/>
    </xf>
    <xf numFmtId="0" fontId="68" fillId="0" borderId="101" xfId="0" applyFont="1" applyBorder="1" applyAlignment="1">
      <alignment horizontal="left"/>
    </xf>
    <xf numFmtId="0" fontId="0" fillId="0" borderId="6" xfId="0" applyBorder="1" applyAlignment="1">
      <alignment horizontal="left" vertical="center" wrapText="1"/>
    </xf>
    <xf numFmtId="0" fontId="0" fillId="0" borderId="5" xfId="0" applyBorder="1" applyAlignment="1">
      <alignment horizontal="left" vertical="center" wrapText="1"/>
    </xf>
    <xf numFmtId="0" fontId="0" fillId="0" borderId="8" xfId="0" applyBorder="1" applyAlignment="1">
      <alignment horizontal="left" vertical="center" wrapText="1"/>
    </xf>
    <xf numFmtId="0" fontId="0" fillId="0" borderId="10" xfId="0" applyBorder="1" applyAlignment="1">
      <alignment horizontal="left" vertical="center" wrapText="1"/>
    </xf>
    <xf numFmtId="0" fontId="64" fillId="0" borderId="0" xfId="0" applyFont="1" applyAlignment="1">
      <alignment horizontal="center"/>
    </xf>
    <xf numFmtId="0" fontId="64" fillId="0" borderId="5" xfId="0" applyFont="1" applyBorder="1" applyAlignment="1">
      <alignment horizontal="left" vertical="center"/>
    </xf>
    <xf numFmtId="0" fontId="64" fillId="0" borderId="0" xfId="0" applyFont="1" applyAlignment="1">
      <alignment horizontal="left" vertical="center"/>
    </xf>
    <xf numFmtId="0" fontId="64" fillId="0" borderId="10" xfId="0" applyFont="1" applyBorder="1" applyAlignment="1">
      <alignment horizontal="left" vertical="center"/>
    </xf>
    <xf numFmtId="0" fontId="0" fillId="0" borderId="52" xfId="0" applyBorder="1" applyAlignment="1">
      <alignment horizontal="center" vertical="center"/>
    </xf>
    <xf numFmtId="0" fontId="67" fillId="10" borderId="49" xfId="0" applyFont="1" applyFill="1" applyBorder="1" applyAlignment="1">
      <alignment horizontal="center" vertical="center"/>
    </xf>
    <xf numFmtId="0" fontId="0" fillId="0" borderId="49" xfId="0" applyBorder="1" applyAlignment="1">
      <alignment horizontal="center" vertical="center"/>
    </xf>
    <xf numFmtId="0" fontId="0" fillId="0" borderId="53" xfId="0" applyBorder="1" applyAlignment="1">
      <alignment horizontal="center" vertical="center"/>
    </xf>
    <xf numFmtId="0" fontId="0" fillId="0" borderId="65" xfId="0" applyBorder="1" applyAlignment="1">
      <alignment horizontal="center" vertical="center"/>
    </xf>
    <xf numFmtId="0" fontId="0" fillId="0" borderId="67" xfId="0" applyBorder="1" applyAlignment="1">
      <alignment horizontal="center" vertical="center"/>
    </xf>
    <xf numFmtId="0" fontId="53" fillId="0" borderId="1" xfId="0" applyFont="1" applyBorder="1" applyAlignment="1">
      <alignment horizontal="center" vertical="center"/>
    </xf>
    <xf numFmtId="0" fontId="70" fillId="10" borderId="11" xfId="0" applyFont="1" applyFill="1" applyBorder="1" applyAlignment="1">
      <alignment horizontal="center" vertical="center"/>
    </xf>
    <xf numFmtId="0" fontId="70" fillId="10" borderId="8" xfId="0" applyFont="1" applyFill="1" applyBorder="1" applyAlignment="1">
      <alignment horizontal="center" vertical="center"/>
    </xf>
    <xf numFmtId="0" fontId="0" fillId="0" borderId="66" xfId="0" applyBorder="1" applyAlignment="1">
      <alignment horizontal="center" vertical="center"/>
    </xf>
    <xf numFmtId="0" fontId="100" fillId="0" borderId="10" xfId="3" applyFont="1" applyBorder="1" applyAlignment="1">
      <alignment horizontal="left" vertical="center"/>
    </xf>
    <xf numFmtId="0" fontId="100" fillId="0" borderId="9" xfId="3" applyFont="1" applyBorder="1" applyAlignment="1">
      <alignment horizontal="left" vertical="center"/>
    </xf>
    <xf numFmtId="0" fontId="51" fillId="0" borderId="10" xfId="0" applyFont="1" applyBorder="1" applyAlignment="1">
      <alignment horizontal="left" vertical="center"/>
    </xf>
    <xf numFmtId="0" fontId="0" fillId="0" borderId="12" xfId="0" applyBorder="1" applyAlignment="1">
      <alignment horizontal="left" vertical="center"/>
    </xf>
    <xf numFmtId="0" fontId="13" fillId="0" borderId="128" xfId="0" applyFont="1" applyBorder="1" applyAlignment="1">
      <alignment horizontal="left" vertical="center"/>
    </xf>
    <xf numFmtId="0" fontId="13" fillId="0" borderId="0" xfId="0" applyFont="1" applyAlignment="1">
      <alignment horizontal="left" vertical="center"/>
    </xf>
    <xf numFmtId="0" fontId="13" fillId="0" borderId="12" xfId="0" applyFont="1" applyBorder="1" applyAlignment="1">
      <alignment horizontal="left" vertical="center"/>
    </xf>
    <xf numFmtId="0" fontId="100" fillId="0" borderId="12" xfId="3" applyFont="1" applyBorder="1" applyAlignment="1">
      <alignment horizontal="left" vertical="center"/>
    </xf>
    <xf numFmtId="0" fontId="70" fillId="9" borderId="2" xfId="0" applyFont="1" applyFill="1" applyBorder="1" applyAlignment="1">
      <alignment horizontal="center" vertical="center"/>
    </xf>
    <xf numFmtId="0" fontId="70" fillId="9" borderId="3" xfId="0" applyFont="1" applyFill="1" applyBorder="1" applyAlignment="1">
      <alignment horizontal="center" vertical="center"/>
    </xf>
    <xf numFmtId="0" fontId="70" fillId="9" borderId="4" xfId="0" applyFont="1" applyFill="1" applyBorder="1" applyAlignment="1">
      <alignment horizontal="center" vertical="center"/>
    </xf>
    <xf numFmtId="0" fontId="81" fillId="0" borderId="6" xfId="0" applyFont="1" applyBorder="1" applyAlignment="1">
      <alignment horizontal="center" vertical="center"/>
    </xf>
    <xf numFmtId="0" fontId="81" fillId="0" borderId="11" xfId="0" applyFont="1" applyBorder="1" applyAlignment="1">
      <alignment horizontal="center" vertical="center"/>
    </xf>
    <xf numFmtId="0" fontId="102" fillId="0" borderId="129" xfId="3" applyFont="1" applyBorder="1" applyAlignment="1">
      <alignment horizontal="left" vertical="center" wrapText="1"/>
    </xf>
    <xf numFmtId="0" fontId="102" fillId="0" borderId="5" xfId="3" applyFont="1" applyBorder="1" applyAlignment="1">
      <alignment horizontal="left" vertical="center" wrapText="1"/>
    </xf>
    <xf numFmtId="0" fontId="102" fillId="0" borderId="7" xfId="3" applyFont="1" applyBorder="1" applyAlignment="1">
      <alignment horizontal="left" vertical="center" wrapText="1"/>
    </xf>
    <xf numFmtId="0" fontId="102" fillId="0" borderId="128" xfId="3" applyFont="1" applyBorder="1" applyAlignment="1">
      <alignment horizontal="left" vertical="center" wrapText="1"/>
    </xf>
    <xf numFmtId="0" fontId="102" fillId="0" borderId="0" xfId="3" applyFont="1" applyBorder="1" applyAlignment="1">
      <alignment horizontal="left" vertical="center" wrapText="1"/>
    </xf>
    <xf numFmtId="0" fontId="102" fillId="0" borderId="12" xfId="3" applyFont="1" applyBorder="1" applyAlignment="1">
      <alignment horizontal="left" vertical="center" wrapText="1"/>
    </xf>
    <xf numFmtId="0" fontId="100" fillId="0" borderId="130" xfId="3" applyFont="1" applyBorder="1" applyAlignment="1">
      <alignment horizontal="left" vertical="center" wrapText="1"/>
    </xf>
    <xf numFmtId="0" fontId="100" fillId="0" borderId="12" xfId="3" applyFont="1" applyBorder="1" applyAlignment="1">
      <alignment horizontal="left" vertical="center" wrapText="1"/>
    </xf>
    <xf numFmtId="0" fontId="81" fillId="0" borderId="129" xfId="0" applyFont="1" applyBorder="1" applyAlignment="1">
      <alignment horizontal="left" vertical="center"/>
    </xf>
    <xf numFmtId="0" fontId="81" fillId="0" borderId="5" xfId="0" applyFont="1" applyBorder="1" applyAlignment="1">
      <alignment horizontal="left" vertical="center"/>
    </xf>
    <xf numFmtId="0" fontId="81" fillId="0" borderId="7" xfId="0" applyFont="1" applyBorder="1" applyAlignment="1">
      <alignment horizontal="left" vertical="center"/>
    </xf>
    <xf numFmtId="0" fontId="100" fillId="0" borderId="128" xfId="3" applyFont="1" applyBorder="1" applyAlignment="1">
      <alignment horizontal="left" vertical="center"/>
    </xf>
    <xf numFmtId="0" fontId="100" fillId="0" borderId="0" xfId="3" applyFont="1" applyBorder="1" applyAlignment="1">
      <alignment horizontal="left" vertical="center"/>
    </xf>
    <xf numFmtId="0" fontId="104" fillId="0" borderId="128" xfId="3" applyFont="1" applyBorder="1" applyAlignment="1">
      <alignment horizontal="left" vertical="center" wrapText="1"/>
    </xf>
    <xf numFmtId="0" fontId="104" fillId="0" borderId="0" xfId="3" applyFont="1" applyAlignment="1">
      <alignment horizontal="left" vertical="center" wrapText="1"/>
    </xf>
    <xf numFmtId="0" fontId="104" fillId="0" borderId="12" xfId="3" applyFont="1" applyBorder="1" applyAlignment="1">
      <alignment horizontal="left" vertical="center" wrapText="1"/>
    </xf>
    <xf numFmtId="0" fontId="81" fillId="0" borderId="86" xfId="3" applyFont="1" applyBorder="1" applyAlignment="1">
      <alignment horizontal="left" vertical="center"/>
    </xf>
    <xf numFmtId="0" fontId="81" fillId="0" borderId="10" xfId="3" applyFont="1" applyBorder="1" applyAlignment="1">
      <alignment horizontal="left" vertical="center"/>
    </xf>
    <xf numFmtId="0" fontId="81" fillId="0" borderId="9" xfId="3" applyFont="1" applyBorder="1" applyAlignment="1">
      <alignment horizontal="left" vertical="center"/>
    </xf>
    <xf numFmtId="0" fontId="13" fillId="0" borderId="5" xfId="0" applyFont="1" applyBorder="1" applyAlignment="1">
      <alignment horizontal="left" vertical="center" wrapText="1"/>
    </xf>
    <xf numFmtId="0" fontId="13" fillId="0" borderId="7" xfId="0" applyFont="1" applyBorder="1" applyAlignment="1">
      <alignment horizontal="left" vertical="center" wrapText="1"/>
    </xf>
    <xf numFmtId="0" fontId="81" fillId="0" borderId="128" xfId="0" applyFont="1" applyBorder="1" applyAlignment="1">
      <alignment horizontal="left" vertical="center"/>
    </xf>
    <xf numFmtId="0" fontId="81" fillId="0" borderId="0" xfId="0" applyFont="1" applyAlignment="1">
      <alignment horizontal="left" vertical="center"/>
    </xf>
    <xf numFmtId="0" fontId="81" fillId="0" borderId="12" xfId="0" applyFont="1" applyBorder="1" applyAlignment="1">
      <alignment horizontal="left" vertical="center"/>
    </xf>
    <xf numFmtId="0" fontId="115" fillId="0" borderId="0" xfId="0" applyFont="1" applyAlignment="1">
      <alignment horizontal="center" vertical="center"/>
    </xf>
    <xf numFmtId="0" fontId="100" fillId="0" borderId="129" xfId="3" applyFont="1" applyBorder="1" applyAlignment="1">
      <alignment horizontal="left" vertical="center" wrapText="1"/>
    </xf>
    <xf numFmtId="0" fontId="100" fillId="0" borderId="5" xfId="3" applyFont="1" applyBorder="1" applyAlignment="1">
      <alignment horizontal="left" vertical="center" wrapText="1"/>
    </xf>
    <xf numFmtId="0" fontId="100" fillId="0" borderId="7" xfId="3" applyFont="1" applyBorder="1" applyAlignment="1">
      <alignment horizontal="left" vertical="center" wrapText="1"/>
    </xf>
    <xf numFmtId="0" fontId="100" fillId="0" borderId="86" xfId="3" applyFont="1" applyBorder="1" applyAlignment="1">
      <alignment horizontal="left" vertical="center" wrapText="1"/>
    </xf>
    <xf numFmtId="0" fontId="100" fillId="0" borderId="10" xfId="3" applyFont="1" applyBorder="1" applyAlignment="1">
      <alignment horizontal="left" vertical="center" wrapText="1"/>
    </xf>
    <xf numFmtId="0" fontId="100" fillId="0" borderId="9" xfId="3" applyFont="1" applyBorder="1" applyAlignment="1">
      <alignment horizontal="left" vertical="center" wrapText="1"/>
    </xf>
    <xf numFmtId="0" fontId="100" fillId="0" borderId="128" xfId="3" applyFont="1" applyBorder="1" applyAlignment="1">
      <alignment horizontal="left" vertical="center" wrapText="1"/>
    </xf>
    <xf numFmtId="0" fontId="100" fillId="0" borderId="0" xfId="3" applyFont="1" applyBorder="1" applyAlignment="1">
      <alignment horizontal="left" vertical="center" wrapText="1"/>
    </xf>
    <xf numFmtId="0" fontId="49" fillId="0" borderId="82" xfId="0" applyFont="1" applyBorder="1" applyAlignment="1">
      <alignment horizontal="center" vertical="top" wrapText="1"/>
    </xf>
    <xf numFmtId="0" fontId="104" fillId="0" borderId="12" xfId="3" applyFont="1" applyBorder="1" applyAlignment="1">
      <alignment horizontal="left" vertical="center"/>
    </xf>
    <xf numFmtId="0" fontId="104" fillId="0" borderId="0" xfId="3" applyFont="1" applyBorder="1" applyAlignment="1">
      <alignment horizontal="left" vertical="center" wrapText="1"/>
    </xf>
    <xf numFmtId="0" fontId="49" fillId="0" borderId="82" xfId="0" applyFont="1" applyBorder="1" applyAlignment="1">
      <alignment horizontal="center" vertical="center" wrapText="1"/>
    </xf>
    <xf numFmtId="0" fontId="49" fillId="0" borderId="85" xfId="0" applyFont="1" applyBorder="1" applyAlignment="1">
      <alignment horizontal="center" vertical="center" wrapText="1"/>
    </xf>
    <xf numFmtId="0" fontId="112" fillId="0" borderId="0" xfId="0" applyFont="1" applyAlignment="1">
      <alignment horizontal="left" vertical="center"/>
    </xf>
    <xf numFmtId="0" fontId="78" fillId="0" borderId="113" xfId="0" applyFont="1" applyBorder="1" applyAlignment="1">
      <alignment horizontal="left" vertical="center"/>
    </xf>
    <xf numFmtId="0" fontId="78" fillId="0" borderId="115" xfId="0" applyFont="1" applyBorder="1" applyAlignment="1">
      <alignment horizontal="left" vertical="center"/>
    </xf>
    <xf numFmtId="0" fontId="78" fillId="0" borderId="114" xfId="0" applyFont="1" applyBorder="1" applyAlignment="1">
      <alignment horizontal="left" vertical="center" wrapText="1"/>
    </xf>
    <xf numFmtId="0" fontId="78" fillId="0" borderId="116" xfId="0" applyFont="1" applyBorder="1" applyAlignment="1">
      <alignment horizontal="left" vertical="center" wrapText="1"/>
    </xf>
    <xf numFmtId="0" fontId="116" fillId="11" borderId="0" xfId="0" applyFont="1" applyFill="1">
      <alignment vertical="center"/>
    </xf>
    <xf numFmtId="0" fontId="117" fillId="0" borderId="0" xfId="0" applyFont="1" applyAlignment="1"/>
    <xf numFmtId="0" fontId="122" fillId="0" borderId="0" xfId="0" applyFont="1" applyAlignment="1"/>
    <xf numFmtId="0" fontId="119" fillId="0" borderId="0" xfId="0" applyFont="1" applyAlignment="1">
      <alignment horizontal="center" vertical="center"/>
    </xf>
    <xf numFmtId="0" fontId="120" fillId="0" borderId="0" xfId="0" applyFont="1" applyAlignment="1"/>
    <xf numFmtId="184" fontId="121" fillId="0" borderId="0" xfId="0" applyNumberFormat="1" applyFont="1" applyAlignment="1">
      <alignment horizontal="center" vertical="center" shrinkToFit="1"/>
    </xf>
    <xf numFmtId="0" fontId="118" fillId="0" borderId="0" xfId="0" applyFont="1" applyAlignment="1">
      <alignment shrinkToFit="1"/>
    </xf>
    <xf numFmtId="0" fontId="119" fillId="0" borderId="0" xfId="0" applyFont="1" applyAlignment="1">
      <alignment horizontal="center"/>
    </xf>
    <xf numFmtId="0" fontId="123" fillId="0" borderId="0" xfId="0" applyFont="1" applyAlignment="1"/>
    <xf numFmtId="0" fontId="123" fillId="0" borderId="139" xfId="0" applyFont="1" applyBorder="1" applyAlignment="1"/>
    <xf numFmtId="0" fontId="119" fillId="12" borderId="1" xfId="0" applyFont="1" applyFill="1" applyBorder="1" applyAlignment="1">
      <alignment horizontal="center" vertical="center"/>
    </xf>
    <xf numFmtId="0" fontId="119" fillId="0" borderId="1" xfId="0" applyFont="1" applyBorder="1" applyAlignment="1">
      <alignment horizontal="center" vertical="center" shrinkToFit="1"/>
    </xf>
    <xf numFmtId="0" fontId="119" fillId="12" borderId="2" xfId="0" applyFont="1" applyFill="1" applyBorder="1" applyAlignment="1">
      <alignment horizontal="center" vertical="center" wrapText="1"/>
    </xf>
    <xf numFmtId="0" fontId="119" fillId="12" borderId="3" xfId="0" applyFont="1" applyFill="1" applyBorder="1" applyAlignment="1">
      <alignment horizontal="center" vertical="center" wrapText="1"/>
    </xf>
    <xf numFmtId="0" fontId="119" fillId="12" borderId="4" xfId="0" applyFont="1" applyFill="1" applyBorder="1" applyAlignment="1">
      <alignment horizontal="center" vertical="center" wrapText="1"/>
    </xf>
    <xf numFmtId="0" fontId="119" fillId="0" borderId="2" xfId="0" applyFont="1" applyBorder="1" applyAlignment="1">
      <alignment horizontal="center" vertical="center" shrinkToFit="1"/>
    </xf>
    <xf numFmtId="0" fontId="119" fillId="0" borderId="3" xfId="0" applyFont="1" applyBorder="1" applyAlignment="1">
      <alignment horizontal="center" vertical="center" shrinkToFit="1"/>
    </xf>
    <xf numFmtId="0" fontId="119" fillId="0" borderId="4" xfId="0" applyFont="1" applyBorder="1" applyAlignment="1">
      <alignment horizontal="center" vertical="center" shrinkToFit="1"/>
    </xf>
    <xf numFmtId="0" fontId="119" fillId="12" borderId="139" xfId="0" applyFont="1" applyFill="1" applyBorder="1" applyAlignment="1">
      <alignment horizontal="center" vertical="center" wrapText="1"/>
    </xf>
    <xf numFmtId="0" fontId="124" fillId="5" borderId="139" xfId="0" applyFont="1" applyFill="1" applyBorder="1" applyAlignment="1"/>
    <xf numFmtId="0" fontId="124" fillId="5" borderId="140" xfId="0" applyFont="1" applyFill="1" applyBorder="1" applyAlignment="1"/>
    <xf numFmtId="0" fontId="119" fillId="0" borderId="139" xfId="0" applyFont="1" applyBorder="1" applyAlignment="1">
      <alignment horizontal="center" vertical="center" shrinkToFit="1"/>
    </xf>
    <xf numFmtId="0" fontId="124" fillId="0" borderId="139" xfId="0" applyFont="1" applyBorder="1" applyAlignment="1">
      <alignment shrinkToFit="1"/>
    </xf>
    <xf numFmtId="0" fontId="124" fillId="0" borderId="140" xfId="0" applyFont="1" applyBorder="1" applyAlignment="1">
      <alignment shrinkToFit="1"/>
    </xf>
    <xf numFmtId="0" fontId="119" fillId="12" borderId="141" xfId="0" applyFont="1" applyFill="1" applyBorder="1" applyAlignment="1">
      <alignment horizontal="center" vertical="center" textRotation="255"/>
    </xf>
    <xf numFmtId="0" fontId="123" fillId="5" borderId="141" xfId="0" applyFont="1" applyFill="1" applyBorder="1" applyAlignment="1"/>
    <xf numFmtId="0" fontId="123" fillId="5" borderId="143" xfId="0" applyFont="1" applyFill="1" applyBorder="1" applyAlignment="1"/>
    <xf numFmtId="0" fontId="125" fillId="12" borderId="139" xfId="0" applyFont="1" applyFill="1" applyBorder="1" applyAlignment="1">
      <alignment horizontal="center" vertical="center"/>
    </xf>
    <xf numFmtId="0" fontId="119" fillId="12" borderId="139" xfId="0" applyFont="1" applyFill="1" applyBorder="1" applyAlignment="1">
      <alignment horizontal="center" vertical="center"/>
    </xf>
    <xf numFmtId="0" fontId="121" fillId="12" borderId="0" xfId="0" applyFont="1" applyFill="1" applyAlignment="1">
      <alignment horizontal="center" vertical="center"/>
    </xf>
    <xf numFmtId="0" fontId="124" fillId="5" borderId="142" xfId="0" applyFont="1" applyFill="1" applyBorder="1" applyAlignment="1"/>
    <xf numFmtId="0" fontId="126" fillId="0" borderId="0" xfId="0" applyFont="1" applyAlignment="1">
      <alignment horizontal="center" vertical="center" shrinkToFit="1"/>
    </xf>
    <xf numFmtId="0" fontId="127" fillId="0" borderId="0" xfId="0" applyFont="1" applyAlignment="1">
      <alignment shrinkToFit="1"/>
    </xf>
    <xf numFmtId="0" fontId="128" fillId="0" borderId="139" xfId="0" applyFont="1" applyBorder="1" applyAlignment="1">
      <alignment shrinkToFit="1"/>
    </xf>
    <xf numFmtId="0" fontId="121" fillId="0" borderId="0" xfId="0" applyFont="1" applyAlignment="1">
      <alignment horizontal="center" vertical="center" shrinkToFit="1"/>
    </xf>
    <xf numFmtId="0" fontId="124" fillId="0" borderId="142" xfId="0" applyFont="1" applyBorder="1" applyAlignment="1">
      <alignment shrinkToFit="1"/>
    </xf>
    <xf numFmtId="0" fontId="119" fillId="0" borderId="0" xfId="0" applyFont="1" applyAlignment="1">
      <alignment horizontal="center" vertical="center" shrinkToFit="1"/>
    </xf>
    <xf numFmtId="176" fontId="119" fillId="0" borderId="0" xfId="0" applyNumberFormat="1" applyFont="1" applyAlignment="1">
      <alignment horizontal="center" vertical="center" shrinkToFit="1"/>
    </xf>
    <xf numFmtId="176" fontId="118" fillId="0" borderId="0" xfId="0" applyNumberFormat="1" applyFont="1" applyAlignment="1">
      <alignment shrinkToFit="1"/>
    </xf>
    <xf numFmtId="176" fontId="124" fillId="0" borderId="142" xfId="0" applyNumberFormat="1" applyFont="1" applyBorder="1" applyAlignment="1">
      <alignment shrinkToFit="1"/>
    </xf>
    <xf numFmtId="176" fontId="124" fillId="0" borderId="139" xfId="0" applyNumberFormat="1" applyFont="1" applyBorder="1" applyAlignment="1">
      <alignment shrinkToFit="1"/>
    </xf>
    <xf numFmtId="176" fontId="124" fillId="0" borderId="140" xfId="0" applyNumberFormat="1" applyFont="1" applyBorder="1" applyAlignment="1">
      <alignment shrinkToFit="1"/>
    </xf>
    <xf numFmtId="0" fontId="119" fillId="12" borderId="0" xfId="0" applyFont="1" applyFill="1" applyAlignment="1">
      <alignment horizontal="center" vertical="center"/>
    </xf>
    <xf numFmtId="0" fontId="118" fillId="5" borderId="0" xfId="0" applyFont="1" applyFill="1" applyAlignment="1"/>
    <xf numFmtId="0" fontId="120" fillId="5" borderId="0" xfId="0" applyFont="1" applyFill="1" applyAlignment="1"/>
    <xf numFmtId="0" fontId="123" fillId="5" borderId="142" xfId="0" applyFont="1" applyFill="1" applyBorder="1" applyAlignment="1"/>
    <xf numFmtId="0" fontId="123" fillId="5" borderId="139" xfId="0" applyFont="1" applyFill="1" applyBorder="1" applyAlignment="1"/>
    <xf numFmtId="0" fontId="123" fillId="5" borderId="140" xfId="0" applyFont="1" applyFill="1" applyBorder="1" applyAlignment="1"/>
    <xf numFmtId="0" fontId="119" fillId="12" borderId="144" xfId="0" applyFont="1" applyFill="1" applyBorder="1" applyAlignment="1">
      <alignment horizontal="center" vertical="center"/>
    </xf>
    <xf numFmtId="0" fontId="123" fillId="5" borderId="145" xfId="0" applyFont="1" applyFill="1" applyBorder="1" applyAlignment="1"/>
    <xf numFmtId="0" fontId="123" fillId="5" borderId="146" xfId="0" applyFont="1" applyFill="1" applyBorder="1" applyAlignment="1"/>
    <xf numFmtId="0" fontId="119" fillId="0" borderId="147" xfId="0" applyFont="1" applyBorder="1" applyAlignment="1">
      <alignment horizontal="center" vertical="center" shrinkToFit="1"/>
    </xf>
    <xf numFmtId="0" fontId="124" fillId="0" borderId="148" xfId="0" applyFont="1" applyBorder="1" applyAlignment="1">
      <alignment shrinkToFit="1"/>
    </xf>
    <xf numFmtId="0" fontId="124" fillId="0" borderId="139" xfId="0" applyFont="1" applyBorder="1" applyAlignment="1"/>
    <xf numFmtId="0" fontId="129" fillId="5" borderId="139" xfId="0" applyFont="1" applyFill="1" applyBorder="1" applyAlignment="1"/>
    <xf numFmtId="0" fontId="129" fillId="5" borderId="140" xfId="0" applyFont="1" applyFill="1" applyBorder="1" applyAlignment="1"/>
    <xf numFmtId="0" fontId="119" fillId="0" borderId="149" xfId="0" applyFont="1" applyBorder="1" applyAlignment="1">
      <alignment horizontal="center" vertical="center" shrinkToFit="1"/>
    </xf>
    <xf numFmtId="0" fontId="119" fillId="0" borderId="150" xfId="0" applyFont="1" applyBorder="1" applyAlignment="1">
      <alignment horizontal="center" vertical="center" shrinkToFit="1"/>
    </xf>
    <xf numFmtId="0" fontId="119" fillId="0" borderId="151" xfId="0" applyFont="1" applyBorder="1" applyAlignment="1">
      <alignment horizontal="center" vertical="center" shrinkToFit="1"/>
    </xf>
    <xf numFmtId="0" fontId="119" fillId="0" borderId="148" xfId="0" applyFont="1" applyBorder="1" applyAlignment="1">
      <alignment horizontal="center" vertical="center" shrinkToFit="1"/>
    </xf>
    <xf numFmtId="0" fontId="119" fillId="0" borderId="140" xfId="0" applyFont="1" applyBorder="1" applyAlignment="1">
      <alignment horizontal="center" vertical="center" shrinkToFit="1"/>
    </xf>
    <xf numFmtId="0" fontId="123" fillId="5" borderId="145" xfId="0" applyFont="1" applyFill="1" applyBorder="1">
      <alignment vertical="center"/>
    </xf>
    <xf numFmtId="0" fontId="123" fillId="5" borderId="146" xfId="0" applyFont="1" applyFill="1" applyBorder="1">
      <alignment vertical="center"/>
    </xf>
    <xf numFmtId="0" fontId="119" fillId="11" borderId="0" xfId="0" applyFont="1" applyFill="1" applyAlignment="1">
      <alignment horizontal="center" vertical="center"/>
    </xf>
    <xf numFmtId="0" fontId="119" fillId="0" borderId="142" xfId="0" applyFont="1" applyBorder="1" applyAlignment="1">
      <alignment horizontal="center" vertical="center"/>
    </xf>
    <xf numFmtId="0" fontId="124" fillId="0" borderId="140" xfId="0" applyFont="1" applyBorder="1" applyAlignment="1"/>
    <xf numFmtId="0" fontId="124" fillId="0" borderId="150" xfId="0" applyFont="1" applyBorder="1" applyAlignment="1">
      <alignment shrinkToFit="1"/>
    </xf>
    <xf numFmtId="0" fontId="124" fillId="0" borderId="151" xfId="0" applyFont="1" applyBorder="1" applyAlignment="1">
      <alignment shrinkToFit="1"/>
    </xf>
    <xf numFmtId="0" fontId="121" fillId="0" borderId="149" xfId="0" applyFont="1" applyBorder="1" applyAlignment="1">
      <alignment horizontal="center" vertical="center" shrinkToFit="1"/>
    </xf>
    <xf numFmtId="0" fontId="124" fillId="0" borderId="150" xfId="0" applyFont="1" applyBorder="1" applyAlignment="1">
      <alignment horizontal="center" vertical="center" shrinkToFit="1"/>
    </xf>
    <xf numFmtId="0" fontId="124" fillId="0" borderId="151" xfId="0" applyFont="1" applyBorder="1" applyAlignment="1">
      <alignment horizontal="center" vertical="center" shrinkToFit="1"/>
    </xf>
    <xf numFmtId="0" fontId="124" fillId="0" borderId="148" xfId="0" applyFont="1" applyBorder="1" applyAlignment="1">
      <alignment horizontal="center" vertical="center" shrinkToFit="1"/>
    </xf>
    <xf numFmtId="0" fontId="124" fillId="0" borderId="139" xfId="0" applyFont="1" applyBorder="1" applyAlignment="1">
      <alignment horizontal="center" vertical="center" shrinkToFit="1"/>
    </xf>
    <xf numFmtId="0" fontId="124" fillId="0" borderId="140" xfId="0" applyFont="1" applyBorder="1" applyAlignment="1">
      <alignment horizontal="center" vertical="center" shrinkToFit="1"/>
    </xf>
    <xf numFmtId="0" fontId="121" fillId="12" borderId="141" xfId="0" applyFont="1" applyFill="1" applyBorder="1" applyAlignment="1">
      <alignment horizontal="center" vertical="center" textRotation="255"/>
    </xf>
    <xf numFmtId="0" fontId="124" fillId="5" borderId="141" xfId="0" applyFont="1" applyFill="1" applyBorder="1" applyAlignment="1"/>
    <xf numFmtId="0" fontId="119" fillId="12" borderId="139" xfId="0" applyFont="1" applyFill="1" applyBorder="1">
      <alignment vertical="center"/>
    </xf>
    <xf numFmtId="0" fontId="119" fillId="0" borderId="144" xfId="0" applyFont="1" applyBorder="1" applyAlignment="1">
      <alignment horizontal="center" vertical="center" shrinkToFit="1"/>
    </xf>
    <xf numFmtId="0" fontId="119" fillId="0" borderId="145" xfId="0" applyFont="1" applyBorder="1" applyAlignment="1">
      <alignment horizontal="center" vertical="center" shrinkToFit="1"/>
    </xf>
    <xf numFmtId="0" fontId="119" fillId="0" borderId="146" xfId="0" applyFont="1" applyBorder="1" applyAlignment="1">
      <alignment horizontal="center" vertical="center" shrinkToFit="1"/>
    </xf>
    <xf numFmtId="0" fontId="119" fillId="12" borderId="0" xfId="0" applyFont="1" applyFill="1">
      <alignment vertical="center"/>
    </xf>
    <xf numFmtId="0" fontId="124" fillId="5" borderId="0" xfId="0" applyFont="1" applyFill="1" applyAlignment="1"/>
    <xf numFmtId="0" fontId="124" fillId="0" borderId="0" xfId="0" applyFont="1" applyAlignment="1">
      <alignment shrinkToFit="1"/>
    </xf>
    <xf numFmtId="0" fontId="119" fillId="0" borderId="152" xfId="0" applyFont="1" applyBorder="1" applyAlignment="1">
      <alignment horizontal="center" vertical="center" shrinkToFit="1"/>
    </xf>
    <xf numFmtId="0" fontId="130" fillId="12" borderId="1" xfId="0" applyFont="1" applyFill="1" applyBorder="1" applyAlignment="1">
      <alignment horizontal="center" vertical="center"/>
    </xf>
    <xf numFmtId="0" fontId="124" fillId="0" borderId="1" xfId="0" applyFont="1" applyBorder="1" applyAlignment="1">
      <alignment horizontal="center" vertical="center" shrinkToFit="1"/>
    </xf>
    <xf numFmtId="0" fontId="119" fillId="12" borderId="1" xfId="0" applyFont="1" applyFill="1" applyBorder="1" applyAlignment="1">
      <alignment horizontal="left" vertical="center"/>
    </xf>
    <xf numFmtId="0" fontId="121" fillId="12" borderId="1" xfId="0" applyFont="1" applyFill="1" applyBorder="1" applyAlignment="1">
      <alignment horizontal="center" vertical="center" textRotation="255"/>
    </xf>
    <xf numFmtId="0" fontId="121" fillId="12" borderId="139" xfId="0" applyFont="1" applyFill="1" applyBorder="1" applyAlignment="1">
      <alignment horizontal="center" vertical="center"/>
    </xf>
    <xf numFmtId="0" fontId="121" fillId="12" borderId="144" xfId="0" applyFont="1" applyFill="1" applyBorder="1" applyAlignment="1">
      <alignment horizontal="center" vertical="center"/>
    </xf>
    <xf numFmtId="0" fontId="124" fillId="5" borderId="145" xfId="0" applyFont="1" applyFill="1" applyBorder="1" applyAlignment="1"/>
    <xf numFmtId="0" fontId="124" fillId="5" borderId="146" xfId="0" applyFont="1" applyFill="1" applyBorder="1" applyAlignment="1"/>
    <xf numFmtId="0" fontId="130" fillId="0" borderId="0" xfId="0" applyFont="1" applyAlignment="1">
      <alignment horizontal="center" vertical="center" shrinkToFit="1"/>
    </xf>
    <xf numFmtId="0" fontId="118" fillId="0" borderId="0" xfId="0" applyFont="1" applyAlignment="1">
      <alignment vertical="center" shrinkToFit="1"/>
    </xf>
    <xf numFmtId="0" fontId="119" fillId="0" borderId="1" xfId="0" applyFont="1" applyBorder="1" applyAlignment="1">
      <alignment horizontal="left" vertical="center" wrapText="1"/>
    </xf>
    <xf numFmtId="0" fontId="130" fillId="0" borderId="1" xfId="0" applyFont="1" applyBorder="1" applyAlignment="1">
      <alignment horizontal="center" vertical="center" shrinkToFit="1"/>
    </xf>
    <xf numFmtId="0" fontId="130" fillId="0" borderId="2" xfId="0" applyFont="1" applyBorder="1" applyAlignment="1">
      <alignment horizontal="center" vertical="center" shrinkToFit="1"/>
    </xf>
    <xf numFmtId="0" fontId="123" fillId="5" borderId="1" xfId="0" applyFont="1" applyFill="1" applyBorder="1" applyAlignment="1">
      <alignment horizontal="center" vertical="center" wrapText="1"/>
    </xf>
    <xf numFmtId="0" fontId="124" fillId="0" borderId="1" xfId="0" applyFont="1" applyBorder="1" applyAlignment="1">
      <alignment horizontal="left" vertical="center" wrapText="1"/>
    </xf>
    <xf numFmtId="0" fontId="125" fillId="12" borderId="0" xfId="0" applyFont="1" applyFill="1" applyAlignment="1">
      <alignment horizontal="center" vertical="center" wrapText="1"/>
    </xf>
    <xf numFmtId="0" fontId="129" fillId="5" borderId="0" xfId="0" applyFont="1" applyFill="1" applyAlignment="1"/>
    <xf numFmtId="0" fontId="129" fillId="5" borderId="142" xfId="0" applyFont="1" applyFill="1" applyBorder="1" applyAlignment="1"/>
    <xf numFmtId="0" fontId="119" fillId="0" borderId="153" xfId="0" applyFont="1" applyBorder="1" applyAlignment="1">
      <alignment horizontal="center" vertical="center" shrinkToFit="1"/>
    </xf>
    <xf numFmtId="0" fontId="119" fillId="0" borderId="5" xfId="0" applyFont="1" applyBorder="1" applyAlignment="1">
      <alignment horizontal="center" vertical="center" shrinkToFit="1"/>
    </xf>
    <xf numFmtId="0" fontId="119" fillId="0" borderId="135" xfId="0" applyFont="1" applyBorder="1" applyAlignment="1">
      <alignment horizontal="center" vertical="center" shrinkToFit="1"/>
    </xf>
    <xf numFmtId="0" fontId="119" fillId="0" borderId="154" xfId="0" applyFont="1" applyBorder="1" applyAlignment="1">
      <alignment horizontal="center" vertical="center" shrinkToFit="1"/>
    </xf>
    <xf numFmtId="0" fontId="124" fillId="0" borderId="5" xfId="0" applyFont="1" applyBorder="1" applyAlignment="1">
      <alignment horizontal="center" vertical="center" shrinkToFit="1"/>
    </xf>
    <xf numFmtId="0" fontId="121" fillId="0" borderId="0" xfId="0" applyFont="1">
      <alignment vertical="center"/>
    </xf>
    <xf numFmtId="0" fontId="124" fillId="0" borderId="142" xfId="0" applyFont="1" applyBorder="1" applyAlignment="1"/>
    <xf numFmtId="0" fontId="119" fillId="12" borderId="150" xfId="0" applyFont="1" applyFill="1" applyBorder="1" applyAlignment="1">
      <alignment horizontal="center" vertical="center"/>
    </xf>
    <xf numFmtId="0" fontId="124" fillId="5" borderId="150" xfId="0" applyFont="1" applyFill="1" applyBorder="1" applyAlignment="1"/>
    <xf numFmtId="0" fontId="124" fillId="5" borderId="151" xfId="0" applyFont="1" applyFill="1" applyBorder="1" applyAlignment="1"/>
    <xf numFmtId="0" fontId="119" fillId="0" borderId="155" xfId="0" applyFont="1" applyBorder="1" applyAlignment="1">
      <alignment horizontal="center" vertical="center" shrinkToFit="1"/>
    </xf>
    <xf numFmtId="0" fontId="121" fillId="0" borderId="150" xfId="0" applyFont="1" applyBorder="1">
      <alignment vertical="center"/>
    </xf>
    <xf numFmtId="0" fontId="124" fillId="0" borderId="151" xfId="0" applyFont="1" applyBorder="1" applyAlignment="1"/>
    <xf numFmtId="0" fontId="124" fillId="0" borderId="145" xfId="0" applyFont="1" applyBorder="1" applyAlignment="1">
      <alignment horizontal="center" shrinkToFit="1"/>
    </xf>
    <xf numFmtId="0" fontId="124" fillId="0" borderId="146" xfId="0" applyFont="1" applyBorder="1" applyAlignment="1">
      <alignment horizontal="center" shrinkToFit="1"/>
    </xf>
    <xf numFmtId="0" fontId="121" fillId="0" borderId="144" xfId="0" applyFont="1" applyBorder="1" applyAlignment="1">
      <alignment horizontal="center" vertical="center" shrinkToFit="1"/>
    </xf>
    <xf numFmtId="0" fontId="119" fillId="12" borderId="156" xfId="0" applyFont="1" applyFill="1" applyBorder="1" applyAlignment="1">
      <alignment horizontal="center" vertical="center"/>
    </xf>
    <xf numFmtId="0" fontId="119" fillId="12" borderId="151" xfId="0" applyFont="1" applyFill="1" applyBorder="1" applyAlignment="1">
      <alignment horizontal="center" vertical="center"/>
    </xf>
    <xf numFmtId="0" fontId="119" fillId="12" borderId="11" xfId="0" applyFont="1" applyFill="1" applyBorder="1" applyAlignment="1">
      <alignment horizontal="center" vertical="center"/>
    </xf>
    <xf numFmtId="0" fontId="119" fillId="12" borderId="142" xfId="0" applyFont="1" applyFill="1" applyBorder="1" applyAlignment="1">
      <alignment horizontal="center" vertical="center"/>
    </xf>
    <xf numFmtId="0" fontId="121" fillId="0" borderId="149" xfId="0" applyFont="1" applyBorder="1" applyAlignment="1">
      <alignment horizontal="center" vertical="center" wrapText="1"/>
    </xf>
    <xf numFmtId="0" fontId="121" fillId="0" borderId="150" xfId="0" applyFont="1" applyBorder="1" applyAlignment="1">
      <alignment horizontal="center" vertical="center" wrapText="1"/>
    </xf>
    <xf numFmtId="0" fontId="121" fillId="0" borderId="151" xfId="0" applyFont="1" applyBorder="1" applyAlignment="1">
      <alignment horizontal="center" vertical="center" wrapText="1"/>
    </xf>
    <xf numFmtId="0" fontId="121" fillId="0" borderId="147" xfId="0" applyFont="1" applyBorder="1" applyAlignment="1">
      <alignment horizontal="center" vertical="center" wrapText="1"/>
    </xf>
    <xf numFmtId="0" fontId="121" fillId="0" borderId="0" xfId="0" applyFont="1" applyAlignment="1">
      <alignment horizontal="center" vertical="center" wrapText="1"/>
    </xf>
    <xf numFmtId="0" fontId="121" fillId="0" borderId="142" xfId="0" applyFont="1" applyBorder="1" applyAlignment="1">
      <alignment horizontal="center" vertical="center" wrapText="1"/>
    </xf>
    <xf numFmtId="0" fontId="124" fillId="0" borderId="0" xfId="0" applyFont="1" applyAlignment="1">
      <alignment horizontal="center" vertical="center" shrinkToFit="1"/>
    </xf>
    <xf numFmtId="0" fontId="124" fillId="0" borderId="10" xfId="0" applyFont="1" applyBorder="1" applyAlignment="1">
      <alignment horizontal="center" vertical="center" shrinkToFit="1"/>
    </xf>
    <xf numFmtId="0" fontId="124" fillId="0" borderId="129" xfId="0" applyFont="1" applyBorder="1" applyAlignment="1">
      <alignment horizontal="center" vertical="center" wrapText="1"/>
    </xf>
    <xf numFmtId="0" fontId="124" fillId="0" borderId="5" xfId="0" applyFont="1" applyBorder="1" applyAlignment="1">
      <alignment horizontal="center" vertical="center" wrapText="1"/>
    </xf>
    <xf numFmtId="0" fontId="124" fillId="0" borderId="7" xfId="0" applyFont="1" applyBorder="1" applyAlignment="1">
      <alignment horizontal="center" vertical="center" wrapText="1"/>
    </xf>
    <xf numFmtId="0" fontId="124" fillId="0" borderId="128" xfId="0" applyFont="1" applyBorder="1" applyAlignment="1">
      <alignment horizontal="center" vertical="center" wrapText="1"/>
    </xf>
    <xf numFmtId="0" fontId="124" fillId="0" borderId="0" xfId="0" applyFont="1" applyAlignment="1">
      <alignment horizontal="center" vertical="center" wrapText="1"/>
    </xf>
    <xf numFmtId="0" fontId="124" fillId="0" borderId="12" xfId="0" applyFont="1" applyBorder="1" applyAlignment="1">
      <alignment horizontal="center" vertical="center" wrapText="1"/>
    </xf>
    <xf numFmtId="0" fontId="124" fillId="0" borderId="86" xfId="0" applyFont="1" applyBorder="1" applyAlignment="1">
      <alignment horizontal="center" vertical="center" wrapText="1"/>
    </xf>
    <xf numFmtId="0" fontId="124" fillId="0" borderId="10" xfId="0" applyFont="1" applyBorder="1" applyAlignment="1">
      <alignment horizontal="center" vertical="center" wrapText="1"/>
    </xf>
    <xf numFmtId="0" fontId="124" fillId="0" borderId="9" xfId="0" applyFont="1" applyBorder="1" applyAlignment="1">
      <alignment horizontal="center" vertical="center" wrapText="1"/>
    </xf>
    <xf numFmtId="0" fontId="124" fillId="5" borderId="1" xfId="0" applyFont="1" applyFill="1" applyBorder="1" applyAlignment="1"/>
    <xf numFmtId="0" fontId="118" fillId="0" borderId="1" xfId="0" applyFont="1" applyBorder="1" applyAlignment="1">
      <alignment horizontal="left" vertical="center"/>
    </xf>
    <xf numFmtId="0" fontId="124" fillId="0" borderId="1" xfId="0" applyFont="1" applyBorder="1" applyAlignment="1">
      <alignment horizontal="left" vertical="center"/>
    </xf>
    <xf numFmtId="0" fontId="124" fillId="5" borderId="143" xfId="0" applyFont="1" applyFill="1" applyBorder="1" applyAlignment="1"/>
    <xf numFmtId="0" fontId="130" fillId="12" borderId="0" xfId="0" applyFont="1" applyFill="1" applyAlignment="1">
      <alignment horizontal="center" vertical="center"/>
    </xf>
    <xf numFmtId="0" fontId="131" fillId="5" borderId="0" xfId="0" applyFont="1" applyFill="1" applyAlignment="1"/>
    <xf numFmtId="0" fontId="132" fillId="5" borderId="142" xfId="0" applyFont="1" applyFill="1" applyBorder="1" applyAlignment="1"/>
    <xf numFmtId="0" fontId="132" fillId="5" borderId="139" xfId="0" applyFont="1" applyFill="1" applyBorder="1" applyAlignment="1"/>
    <xf numFmtId="0" fontId="132" fillId="5" borderId="140" xfId="0" applyFont="1" applyFill="1" applyBorder="1" applyAlignment="1"/>
    <xf numFmtId="0" fontId="119" fillId="0" borderId="0" xfId="0" applyFont="1" applyAlignment="1">
      <alignment horizontal="left" vertical="center" wrapText="1"/>
    </xf>
    <xf numFmtId="0" fontId="118" fillId="0" borderId="0" xfId="0" applyFont="1" applyAlignment="1">
      <alignment horizontal="left"/>
    </xf>
    <xf numFmtId="0" fontId="124" fillId="0" borderId="139" xfId="0" applyFont="1" applyBorder="1" applyAlignment="1">
      <alignment horizontal="left"/>
    </xf>
    <xf numFmtId="0" fontId="119" fillId="12" borderId="147" xfId="0" applyFont="1" applyFill="1" applyBorder="1" applyAlignment="1">
      <alignment horizontal="center" vertical="center"/>
    </xf>
    <xf numFmtId="0" fontId="124" fillId="5" borderId="148" xfId="0" applyFont="1" applyFill="1" applyBorder="1" applyAlignment="1"/>
    <xf numFmtId="0" fontId="118" fillId="0" borderId="0" xfId="0" applyFont="1" applyAlignment="1">
      <alignment horizontal="left" vertical="center"/>
    </xf>
    <xf numFmtId="0" fontId="124" fillId="0" borderId="142" xfId="0" applyFont="1" applyBorder="1" applyAlignment="1">
      <alignment horizontal="left" vertical="center"/>
    </xf>
    <xf numFmtId="0" fontId="124" fillId="0" borderId="139" xfId="0" applyFont="1" applyBorder="1" applyAlignment="1">
      <alignment horizontal="left" vertical="center"/>
    </xf>
    <xf numFmtId="0" fontId="124" fillId="0" borderId="140" xfId="0" applyFont="1" applyBorder="1" applyAlignment="1">
      <alignment horizontal="left" vertical="center"/>
    </xf>
    <xf numFmtId="0" fontId="119" fillId="0" borderId="139" xfId="0" applyFont="1" applyBorder="1" applyAlignment="1">
      <alignment horizontal="left" vertical="center" shrinkToFit="1"/>
    </xf>
    <xf numFmtId="0" fontId="124" fillId="0" borderId="139" xfId="0" applyFont="1" applyBorder="1" applyAlignment="1">
      <alignment horizontal="left" vertical="center" shrinkToFit="1"/>
    </xf>
    <xf numFmtId="0" fontId="124" fillId="0" borderId="140" xfId="0" applyFont="1" applyBorder="1" applyAlignment="1">
      <alignment horizontal="left" vertical="center" shrinkToFit="1"/>
    </xf>
    <xf numFmtId="0" fontId="130" fillId="12" borderId="0" xfId="0" applyFont="1" applyFill="1" applyAlignment="1">
      <alignment horizontal="center" vertical="center" wrapText="1"/>
    </xf>
    <xf numFmtId="0" fontId="130" fillId="12" borderId="149" xfId="0" applyFont="1" applyFill="1" applyBorder="1" applyAlignment="1">
      <alignment horizontal="center" vertical="center"/>
    </xf>
    <xf numFmtId="0" fontId="132" fillId="5" borderId="150" xfId="0" applyFont="1" applyFill="1" applyBorder="1" applyAlignment="1"/>
    <xf numFmtId="0" fontId="132" fillId="5" borderId="151" xfId="0" applyFont="1" applyFill="1" applyBorder="1" applyAlignment="1"/>
    <xf numFmtId="0" fontId="132" fillId="5" borderId="148" xfId="0" applyFont="1" applyFill="1" applyBorder="1" applyAlignment="1"/>
    <xf numFmtId="0" fontId="121" fillId="12" borderId="148" xfId="0" applyFont="1" applyFill="1" applyBorder="1">
      <alignment vertical="center"/>
    </xf>
    <xf numFmtId="0" fontId="121" fillId="12" borderId="139" xfId="0" applyFont="1" applyFill="1" applyBorder="1">
      <alignment vertical="center"/>
    </xf>
    <xf numFmtId="0" fontId="119" fillId="0" borderId="147" xfId="0" applyFont="1" applyBorder="1" applyAlignment="1">
      <alignment horizontal="left" vertical="center" wrapText="1"/>
    </xf>
    <xf numFmtId="0" fontId="124" fillId="0" borderId="142" xfId="0" applyFont="1" applyBorder="1" applyAlignment="1">
      <alignment horizontal="left"/>
    </xf>
    <xf numFmtId="0" fontId="124" fillId="0" borderId="148" xfId="0" applyFont="1" applyBorder="1" applyAlignment="1">
      <alignment horizontal="left"/>
    </xf>
    <xf numFmtId="0" fontId="124" fillId="0" borderId="140" xfId="0" applyFont="1" applyBorder="1" applyAlignment="1">
      <alignment horizontal="left"/>
    </xf>
    <xf numFmtId="0" fontId="124" fillId="0" borderId="147" xfId="0" applyFont="1" applyBorder="1" applyAlignment="1">
      <alignment horizontal="left" vertical="center" wrapText="1"/>
    </xf>
    <xf numFmtId="0" fontId="124" fillId="0" borderId="0" xfId="0" applyFont="1" applyAlignment="1">
      <alignment horizontal="left" vertical="center" wrapText="1"/>
    </xf>
    <xf numFmtId="0" fontId="124" fillId="0" borderId="142" xfId="0" applyFont="1" applyBorder="1" applyAlignment="1">
      <alignment horizontal="left" vertical="center" wrapText="1"/>
    </xf>
    <xf numFmtId="0" fontId="124" fillId="0" borderId="148" xfId="0" applyFont="1" applyBorder="1" applyAlignment="1">
      <alignment horizontal="left" vertical="center" wrapText="1"/>
    </xf>
    <xf numFmtId="0" fontId="124" fillId="0" borderId="139" xfId="0" applyFont="1" applyBorder="1" applyAlignment="1">
      <alignment horizontal="left" vertical="center" wrapText="1"/>
    </xf>
    <xf numFmtId="0" fontId="124" fillId="0" borderId="140" xfId="0" applyFont="1" applyBorder="1" applyAlignment="1">
      <alignment horizontal="left" vertical="center" wrapText="1"/>
    </xf>
    <xf numFmtId="0" fontId="121" fillId="12" borderId="147" xfId="0" applyFont="1" applyFill="1" applyBorder="1">
      <alignment vertical="center"/>
    </xf>
    <xf numFmtId="0" fontId="124" fillId="0" borderId="1" xfId="0" applyFont="1" applyBorder="1" applyAlignment="1">
      <alignment horizontal="left"/>
    </xf>
    <xf numFmtId="0" fontId="118" fillId="0" borderId="1" xfId="0" applyFont="1" applyBorder="1" applyAlignment="1">
      <alignment horizontal="left"/>
    </xf>
    <xf numFmtId="0" fontId="121" fillId="11" borderId="0" xfId="0" applyFont="1" applyFill="1" applyAlignment="1">
      <alignment horizontal="center"/>
    </xf>
    <xf numFmtId="0" fontId="119" fillId="0" borderId="5" xfId="0" applyFont="1" applyBorder="1" applyAlignment="1">
      <alignment horizontal="left" vertical="center" wrapText="1"/>
    </xf>
    <xf numFmtId="0" fontId="118" fillId="0" borderId="5" xfId="0" applyFont="1" applyBorder="1" applyAlignment="1">
      <alignment horizontal="left" wrapText="1"/>
    </xf>
    <xf numFmtId="0" fontId="124" fillId="0" borderId="160" xfId="0" applyFont="1" applyBorder="1" applyAlignment="1">
      <alignment horizontal="left" wrapText="1"/>
    </xf>
    <xf numFmtId="0" fontId="118" fillId="0" borderId="0" xfId="0" applyFont="1" applyAlignment="1">
      <alignment horizontal="left" wrapText="1"/>
    </xf>
    <xf numFmtId="0" fontId="124" fillId="0" borderId="142" xfId="0" applyFont="1" applyBorder="1" applyAlignment="1">
      <alignment horizontal="left" wrapText="1"/>
    </xf>
    <xf numFmtId="0" fontId="124" fillId="0" borderId="139" xfId="0" applyFont="1" applyBorder="1" applyAlignment="1">
      <alignment horizontal="left" wrapText="1"/>
    </xf>
    <xf numFmtId="0" fontId="124" fillId="0" borderId="140" xfId="0" applyFont="1" applyBorder="1" applyAlignment="1">
      <alignment horizontal="left" wrapText="1"/>
    </xf>
    <xf numFmtId="0" fontId="121" fillId="12" borderId="142" xfId="0" applyFont="1" applyFill="1" applyBorder="1" applyAlignment="1">
      <alignment horizontal="center" vertical="center" textRotation="255"/>
    </xf>
    <xf numFmtId="0" fontId="121" fillId="12" borderId="139" xfId="0" applyFont="1" applyFill="1" applyBorder="1" applyAlignment="1">
      <alignment horizontal="center" vertical="center" wrapText="1"/>
    </xf>
    <xf numFmtId="0" fontId="130" fillId="0" borderId="139" xfId="0" applyFont="1" applyBorder="1" applyAlignment="1">
      <alignment horizontal="center" vertical="center" shrinkToFit="1"/>
    </xf>
    <xf numFmtId="0" fontId="121" fillId="12" borderId="157" xfId="0" applyFont="1" applyFill="1" applyBorder="1" applyAlignment="1">
      <alignment horizontal="center" vertical="center" textRotation="255"/>
    </xf>
    <xf numFmtId="0" fontId="121" fillId="12" borderId="158" xfId="0" applyFont="1" applyFill="1" applyBorder="1" applyAlignment="1">
      <alignment horizontal="center" vertical="center"/>
    </xf>
    <xf numFmtId="0" fontId="124" fillId="5" borderId="158" xfId="0" applyFont="1" applyFill="1" applyBorder="1" applyAlignment="1"/>
    <xf numFmtId="0" fontId="124" fillId="5" borderId="159" xfId="0" applyFont="1" applyFill="1" applyBorder="1" applyAlignment="1"/>
    <xf numFmtId="0" fontId="119" fillId="0" borderId="158" xfId="0" applyFont="1" applyBorder="1" applyAlignment="1">
      <alignment horizontal="center" vertical="center" shrinkToFit="1"/>
    </xf>
    <xf numFmtId="0" fontId="124" fillId="0" borderId="158" xfId="0" applyFont="1" applyBorder="1" applyAlignment="1">
      <alignment shrinkToFit="1"/>
    </xf>
    <xf numFmtId="0" fontId="124" fillId="0" borderId="159" xfId="0" applyFont="1" applyBorder="1" applyAlignment="1">
      <alignment shrinkToFit="1"/>
    </xf>
    <xf numFmtId="0" fontId="121" fillId="12" borderId="142" xfId="0" applyFont="1" applyFill="1" applyBorder="1" applyAlignment="1">
      <alignment horizontal="center" vertical="center" textRotation="255" wrapText="1"/>
    </xf>
    <xf numFmtId="0" fontId="121" fillId="12" borderId="0" xfId="0" applyFont="1" applyFill="1" applyAlignment="1">
      <alignment horizontal="center" vertical="center" wrapText="1"/>
    </xf>
    <xf numFmtId="0" fontId="120" fillId="0" borderId="139" xfId="0" applyFont="1" applyBorder="1" applyAlignment="1">
      <alignment horizontal="center" vertical="center" shrinkToFit="1"/>
    </xf>
    <xf numFmtId="0" fontId="121" fillId="12" borderId="139" xfId="0" applyFont="1" applyFill="1" applyBorder="1" applyAlignment="1">
      <alignment horizontal="center" vertical="center" shrinkToFit="1"/>
    </xf>
    <xf numFmtId="0" fontId="124" fillId="5" borderId="139" xfId="0" applyFont="1" applyFill="1" applyBorder="1" applyAlignment="1">
      <alignment shrinkToFit="1"/>
    </xf>
    <xf numFmtId="0" fontId="124" fillId="5" borderId="140" xfId="0" applyFont="1" applyFill="1" applyBorder="1" applyAlignment="1">
      <alignment shrinkToFit="1"/>
    </xf>
    <xf numFmtId="0" fontId="119" fillId="0" borderId="139" xfId="0" applyFont="1" applyBorder="1" applyAlignment="1">
      <alignment horizontal="center" vertical="center"/>
    </xf>
    <xf numFmtId="0" fontId="119" fillId="0" borderId="161" xfId="0" applyFont="1" applyBorder="1" applyAlignment="1">
      <alignment horizontal="center" vertical="center" shrinkToFit="1"/>
    </xf>
    <xf numFmtId="0" fontId="124" fillId="0" borderId="145" xfId="0" applyFont="1" applyBorder="1" applyAlignment="1">
      <alignment shrinkToFit="1"/>
    </xf>
    <xf numFmtId="0" fontId="124" fillId="0" borderId="146" xfId="0" applyFont="1" applyBorder="1" applyAlignment="1">
      <alignment shrinkToFit="1"/>
    </xf>
    <xf numFmtId="0" fontId="88" fillId="7" borderId="38" xfId="0" applyFont="1" applyFill="1" applyBorder="1" applyAlignment="1">
      <alignment horizontal="center" vertical="center" wrapText="1"/>
    </xf>
    <xf numFmtId="0" fontId="88" fillId="7" borderId="19" xfId="0" applyFont="1" applyFill="1" applyBorder="1" applyAlignment="1">
      <alignment horizontal="center" vertical="center" wrapText="1"/>
    </xf>
    <xf numFmtId="0" fontId="88" fillId="7" borderId="31" xfId="0" applyFont="1" applyFill="1" applyBorder="1" applyAlignment="1">
      <alignment horizontal="center" vertical="center" wrapText="1"/>
    </xf>
    <xf numFmtId="0" fontId="88" fillId="7" borderId="15" xfId="0" applyFont="1" applyFill="1" applyBorder="1" applyAlignment="1">
      <alignment horizontal="center" vertical="center" wrapText="1"/>
    </xf>
    <xf numFmtId="0" fontId="88" fillId="7" borderId="32" xfId="0" applyFont="1" applyFill="1" applyBorder="1" applyAlignment="1">
      <alignment horizontal="center" vertical="center" wrapText="1"/>
    </xf>
    <xf numFmtId="0" fontId="83" fillId="0" borderId="0" xfId="0" applyFont="1" applyAlignment="1">
      <alignment horizontal="center" vertical="center" wrapText="1"/>
    </xf>
    <xf numFmtId="0" fontId="0" fillId="0" borderId="0" xfId="0">
      <alignment vertical="center"/>
    </xf>
    <xf numFmtId="0" fontId="84" fillId="0" borderId="0" xfId="0" applyFont="1" applyAlignment="1">
      <alignment horizontal="justify" vertical="center" wrapText="1"/>
    </xf>
    <xf numFmtId="0" fontId="85" fillId="7" borderId="110" xfId="0" applyFont="1" applyFill="1" applyBorder="1" applyAlignment="1">
      <alignment horizontal="center" vertical="top" wrapText="1"/>
    </xf>
    <xf numFmtId="0" fontId="85" fillId="7" borderId="15" xfId="0" applyFont="1" applyFill="1" applyBorder="1" applyAlignment="1">
      <alignment horizontal="center" vertical="top" wrapText="1"/>
    </xf>
    <xf numFmtId="0" fontId="85" fillId="7" borderId="32" xfId="0" applyFont="1" applyFill="1" applyBorder="1" applyAlignment="1">
      <alignment horizontal="center" vertical="top" wrapText="1"/>
    </xf>
    <xf numFmtId="0" fontId="87" fillId="0" borderId="41" xfId="0" applyFont="1" applyBorder="1" applyAlignment="1">
      <alignment horizontal="center" vertical="center" wrapText="1"/>
    </xf>
    <xf numFmtId="0" fontId="87" fillId="0" borderId="42" xfId="0" applyFont="1" applyBorder="1" applyAlignment="1">
      <alignment horizontal="center" vertical="center" wrapText="1"/>
    </xf>
    <xf numFmtId="0" fontId="87" fillId="0" borderId="43" xfId="0" applyFont="1" applyBorder="1" applyAlignment="1">
      <alignment horizontal="center" vertical="center" wrapText="1"/>
    </xf>
    <xf numFmtId="0" fontId="87" fillId="0" borderId="39" xfId="0" applyFont="1" applyBorder="1" applyAlignment="1">
      <alignment horizontal="justify" vertical="center" wrapText="1"/>
    </xf>
    <xf numFmtId="0" fontId="87" fillId="0" borderId="0" xfId="0" applyFont="1" applyAlignment="1">
      <alignment horizontal="justify" vertical="center" wrapText="1"/>
    </xf>
    <xf numFmtId="0" fontId="87" fillId="0" borderId="12" xfId="0" applyFont="1" applyBorder="1" applyAlignment="1">
      <alignment horizontal="justify" vertical="center" wrapText="1"/>
    </xf>
    <xf numFmtId="0" fontId="87" fillId="0" borderId="0" xfId="0" applyFont="1" applyAlignment="1">
      <alignment horizontal="left" vertical="center" wrapText="1"/>
    </xf>
    <xf numFmtId="0" fontId="87" fillId="0" borderId="40" xfId="0" applyFont="1" applyBorder="1" applyAlignment="1">
      <alignment horizontal="left" vertical="center" wrapText="1"/>
    </xf>
    <xf numFmtId="0" fontId="90" fillId="0" borderId="118" xfId="0" applyFont="1" applyBorder="1" applyAlignment="1">
      <alignment horizontal="left" vertical="top" wrapText="1"/>
    </xf>
    <xf numFmtId="0" fontId="90" fillId="0" borderId="119" xfId="0" applyFont="1" applyBorder="1" applyAlignment="1">
      <alignment horizontal="left" vertical="top" wrapText="1"/>
    </xf>
    <xf numFmtId="0" fontId="90" fillId="0" borderId="120" xfId="0" applyFont="1" applyBorder="1" applyAlignment="1">
      <alignment horizontal="left" vertical="top" wrapText="1"/>
    </xf>
    <xf numFmtId="0" fontId="92" fillId="0" borderId="39" xfId="0" applyFont="1" applyBorder="1" applyAlignment="1">
      <alignment horizontal="center" vertical="center" wrapText="1"/>
    </xf>
    <xf numFmtId="0" fontId="92" fillId="0" borderId="0" xfId="0" applyFont="1" applyAlignment="1">
      <alignment horizontal="center" vertical="center" wrapText="1"/>
    </xf>
    <xf numFmtId="0" fontId="92" fillId="0" borderId="12" xfId="0" applyFont="1" applyBorder="1" applyAlignment="1">
      <alignment horizontal="center" vertical="center" wrapText="1"/>
    </xf>
    <xf numFmtId="0" fontId="88" fillId="7" borderId="2" xfId="0" applyFont="1" applyFill="1" applyBorder="1" applyAlignment="1">
      <alignment horizontal="center" vertical="center" wrapText="1"/>
    </xf>
    <xf numFmtId="0" fontId="88" fillId="7" borderId="3" xfId="0" applyFont="1" applyFill="1" applyBorder="1" applyAlignment="1">
      <alignment horizontal="center" vertical="center" wrapText="1"/>
    </xf>
    <xf numFmtId="0" fontId="88" fillId="7" borderId="22" xfId="0" applyFont="1" applyFill="1" applyBorder="1" applyAlignment="1">
      <alignment horizontal="center" vertical="center" wrapText="1"/>
    </xf>
    <xf numFmtId="0" fontId="91" fillId="0" borderId="2" xfId="0" applyFont="1" applyBorder="1" applyAlignment="1">
      <alignment horizontal="center" vertical="top" wrapText="1"/>
    </xf>
    <xf numFmtId="0" fontId="91" fillId="0" borderId="3" xfId="0" applyFont="1" applyBorder="1" applyAlignment="1">
      <alignment horizontal="center" vertical="top" wrapText="1"/>
    </xf>
    <xf numFmtId="0" fontId="91" fillId="0" borderId="22" xfId="0" applyFont="1" applyBorder="1" applyAlignment="1">
      <alignment horizontal="center" vertical="top" wrapText="1"/>
    </xf>
    <xf numFmtId="58" fontId="87" fillId="0" borderId="3" xfId="0" applyNumberFormat="1" applyFont="1" applyBorder="1" applyAlignment="1">
      <alignment horizontal="center" vertical="center" wrapText="1"/>
    </xf>
    <xf numFmtId="0" fontId="91" fillId="0" borderId="5" xfId="0" applyFont="1" applyBorder="1" applyAlignment="1">
      <alignment horizontal="distributed" vertical="center" wrapText="1"/>
    </xf>
    <xf numFmtId="0" fontId="91" fillId="0" borderId="10" xfId="0" applyFont="1" applyBorder="1" applyAlignment="1">
      <alignment horizontal="distributed" vertical="center" wrapText="1"/>
    </xf>
    <xf numFmtId="0" fontId="88" fillId="7" borderId="25" xfId="0" applyFont="1" applyFill="1" applyBorder="1" applyAlignment="1">
      <alignment horizontal="justify" vertical="center" wrapText="1"/>
    </xf>
    <xf numFmtId="0" fontId="88" fillId="7" borderId="3" xfId="0" applyFont="1" applyFill="1" applyBorder="1" applyAlignment="1">
      <alignment horizontal="justify" vertical="center" wrapText="1"/>
    </xf>
    <xf numFmtId="0" fontId="88" fillId="7" borderId="22" xfId="0" applyFont="1" applyFill="1" applyBorder="1" applyAlignment="1">
      <alignment horizontal="justify" vertical="center" wrapText="1"/>
    </xf>
    <xf numFmtId="0" fontId="90" fillId="0" borderId="25" xfId="0" applyFont="1" applyBorder="1" applyAlignment="1">
      <alignment horizontal="justify" vertical="top" wrapText="1"/>
    </xf>
    <xf numFmtId="0" fontId="90" fillId="0" borderId="3" xfId="0" applyFont="1" applyBorder="1" applyAlignment="1">
      <alignment horizontal="justify" vertical="top" wrapText="1"/>
    </xf>
    <xf numFmtId="0" fontId="90" fillId="0" borderId="4" xfId="0" applyFont="1" applyBorder="1" applyAlignment="1">
      <alignment horizontal="justify" vertical="top" wrapText="1"/>
    </xf>
    <xf numFmtId="0" fontId="91" fillId="0" borderId="6" xfId="0" applyFont="1" applyBorder="1" applyAlignment="1">
      <alignment horizontal="justify" vertical="top" wrapText="1"/>
    </xf>
    <xf numFmtId="0" fontId="91" fillId="0" borderId="5" xfId="0" applyFont="1" applyBorder="1" applyAlignment="1">
      <alignment horizontal="justify" vertical="top" wrapText="1"/>
    </xf>
    <xf numFmtId="0" fontId="91" fillId="0" borderId="7" xfId="0" applyFont="1" applyBorder="1" applyAlignment="1">
      <alignment horizontal="justify" vertical="top" wrapText="1"/>
    </xf>
    <xf numFmtId="0" fontId="93" fillId="0" borderId="2" xfId="0" applyFont="1" applyBorder="1" applyAlignment="1">
      <alignment horizontal="center" vertical="top" wrapText="1"/>
    </xf>
    <xf numFmtId="0" fontId="93" fillId="0" borderId="3" xfId="0" applyFont="1" applyBorder="1" applyAlignment="1">
      <alignment horizontal="center" vertical="top" wrapText="1"/>
    </xf>
    <xf numFmtId="0" fontId="93" fillId="0" borderId="4" xfId="0" applyFont="1" applyBorder="1" applyAlignment="1">
      <alignment horizontal="center" vertical="top" wrapText="1"/>
    </xf>
    <xf numFmtId="0" fontId="90" fillId="0" borderId="6" xfId="0" applyFont="1" applyBorder="1" applyAlignment="1">
      <alignment horizontal="justify" vertical="top" wrapText="1"/>
    </xf>
    <xf numFmtId="0" fontId="90" fillId="0" borderId="5" xfId="0" applyFont="1" applyBorder="1" applyAlignment="1">
      <alignment horizontal="justify" vertical="top" wrapText="1"/>
    </xf>
    <xf numFmtId="0" fontId="90" fillId="0" borderId="24" xfId="0" applyFont="1" applyBorder="1" applyAlignment="1">
      <alignment horizontal="justify" vertical="top" wrapText="1"/>
    </xf>
    <xf numFmtId="0" fontId="87" fillId="0" borderId="25" xfId="0" applyFont="1" applyBorder="1" applyAlignment="1">
      <alignment horizontal="left" vertical="top" wrapText="1"/>
    </xf>
    <xf numFmtId="0" fontId="87" fillId="0" borderId="3" xfId="0" applyFont="1" applyBorder="1" applyAlignment="1">
      <alignment horizontal="left" vertical="top" wrapText="1"/>
    </xf>
    <xf numFmtId="0" fontId="87" fillId="0" borderId="4" xfId="0" applyFont="1" applyBorder="1" applyAlignment="1">
      <alignment horizontal="left" vertical="top" wrapText="1"/>
    </xf>
    <xf numFmtId="0" fontId="84" fillId="0" borderId="66" xfId="0" applyFont="1" applyBorder="1" applyAlignment="1">
      <alignment horizontal="left" vertical="top" wrapText="1"/>
    </xf>
    <xf numFmtId="0" fontId="84" fillId="0" borderId="67" xfId="0" applyFont="1" applyBorder="1" applyAlignment="1">
      <alignment horizontal="left" vertical="top" wrapText="1"/>
    </xf>
    <xf numFmtId="0" fontId="87" fillId="0" borderId="11" xfId="0" applyFont="1" applyBorder="1" applyAlignment="1">
      <alignment horizontal="justify" vertical="top" wrapText="1"/>
    </xf>
    <xf numFmtId="0" fontId="87" fillId="0" borderId="0" xfId="0" applyFont="1" applyAlignment="1">
      <alignment horizontal="justify" vertical="top" wrapText="1"/>
    </xf>
    <xf numFmtId="0" fontId="87" fillId="0" borderId="40" xfId="0" applyFont="1" applyBorder="1" applyAlignment="1">
      <alignment horizontal="justify" vertical="top" wrapText="1"/>
    </xf>
    <xf numFmtId="0" fontId="87" fillId="0" borderId="8" xfId="0" applyFont="1" applyBorder="1" applyAlignment="1">
      <alignment horizontal="left" vertical="center" wrapText="1"/>
    </xf>
    <xf numFmtId="0" fontId="87" fillId="0" borderId="10" xfId="0" applyFont="1" applyBorder="1" applyAlignment="1">
      <alignment horizontal="left" vertical="center" wrapText="1"/>
    </xf>
    <xf numFmtId="0" fontId="88" fillId="7" borderId="33" xfId="0" applyFont="1" applyFill="1" applyBorder="1" applyAlignment="1">
      <alignment horizontal="justify" vertical="center" wrapText="1"/>
    </xf>
    <xf numFmtId="0" fontId="88" fillId="7" borderId="5" xfId="0" applyFont="1" applyFill="1" applyBorder="1" applyAlignment="1">
      <alignment horizontal="justify" vertical="center" wrapText="1"/>
    </xf>
    <xf numFmtId="0" fontId="88" fillId="7" borderId="24" xfId="0" applyFont="1" applyFill="1" applyBorder="1" applyAlignment="1">
      <alignment horizontal="justify" vertical="center" wrapText="1"/>
    </xf>
    <xf numFmtId="0" fontId="86" fillId="0" borderId="0" xfId="0" applyFont="1" applyAlignment="1">
      <alignment vertical="center" wrapText="1"/>
    </xf>
    <xf numFmtId="0" fontId="87" fillId="0" borderId="0" xfId="0" applyFont="1" applyAlignment="1">
      <alignment horizontal="left" vertical="top" wrapText="1"/>
    </xf>
    <xf numFmtId="0" fontId="87" fillId="0" borderId="12" xfId="0" applyFont="1" applyBorder="1" applyAlignment="1">
      <alignment horizontal="left" vertical="top" wrapText="1"/>
    </xf>
    <xf numFmtId="0" fontId="87" fillId="0" borderId="11" xfId="0" applyFont="1" applyBorder="1" applyAlignment="1">
      <alignment horizontal="left" vertical="top" wrapText="1"/>
    </xf>
    <xf numFmtId="0" fontId="87" fillId="0" borderId="40" xfId="0" applyFont="1" applyBorder="1" applyAlignment="1">
      <alignment horizontal="left" vertical="top" wrapText="1"/>
    </xf>
    <xf numFmtId="0" fontId="87" fillId="0" borderId="11" xfId="0" applyFont="1" applyBorder="1" applyAlignment="1">
      <alignment horizontal="right" vertical="top" wrapText="1"/>
    </xf>
    <xf numFmtId="0" fontId="87" fillId="0" borderId="0" xfId="0" applyFont="1" applyAlignment="1">
      <alignment horizontal="right" vertical="top" wrapText="1"/>
    </xf>
    <xf numFmtId="0" fontId="87" fillId="0" borderId="40" xfId="0" applyFont="1" applyBorder="1" applyAlignment="1">
      <alignment horizontal="right" vertical="top" wrapText="1"/>
    </xf>
    <xf numFmtId="0" fontId="87" fillId="0" borderId="101" xfId="0" applyFont="1" applyBorder="1" applyAlignment="1">
      <alignment horizontal="left" vertical="top" wrapText="1"/>
    </xf>
    <xf numFmtId="0" fontId="87" fillId="0" borderId="123" xfId="0" applyFont="1" applyBorder="1" applyAlignment="1">
      <alignment horizontal="left" vertical="top" wrapText="1"/>
    </xf>
    <xf numFmtId="0" fontId="87" fillId="0" borderId="124" xfId="0" applyFont="1" applyBorder="1" applyAlignment="1">
      <alignment horizontal="justify" vertical="top" wrapText="1"/>
    </xf>
    <xf numFmtId="0" fontId="87" fillId="0" borderId="101" xfId="0" applyFont="1" applyBorder="1" applyAlignment="1">
      <alignment horizontal="justify" vertical="top" wrapText="1"/>
    </xf>
    <xf numFmtId="0" fontId="87" fillId="0" borderId="125" xfId="0" applyFont="1" applyBorder="1" applyAlignment="1">
      <alignment horizontal="justify" vertical="top" wrapText="1"/>
    </xf>
    <xf numFmtId="0" fontId="55" fillId="0" borderId="33" xfId="0" applyFont="1" applyBorder="1" applyAlignment="1">
      <alignment horizontal="justify" vertical="top" wrapText="1"/>
    </xf>
    <xf numFmtId="0" fontId="55" fillId="0" borderId="5" xfId="0" applyFont="1" applyBorder="1" applyAlignment="1">
      <alignment horizontal="justify" vertical="top" wrapText="1"/>
    </xf>
    <xf numFmtId="0" fontId="55" fillId="0" borderId="7" xfId="0" applyFont="1" applyBorder="1" applyAlignment="1">
      <alignment horizontal="justify" vertical="top" wrapText="1"/>
    </xf>
    <xf numFmtId="0" fontId="87" fillId="0" borderId="6" xfId="0" applyFont="1" applyBorder="1" applyAlignment="1">
      <alignment horizontal="left" vertical="top" wrapText="1"/>
    </xf>
    <xf numFmtId="0" fontId="87" fillId="0" borderId="5" xfId="0" applyFont="1" applyBorder="1" applyAlignment="1">
      <alignment horizontal="left" vertical="top" wrapText="1"/>
    </xf>
    <xf numFmtId="0" fontId="87" fillId="0" borderId="24" xfId="0" applyFont="1" applyBorder="1" applyAlignment="1">
      <alignment horizontal="left" vertical="top" wrapText="1"/>
    </xf>
    <xf numFmtId="0" fontId="94" fillId="0" borderId="126" xfId="0" applyFont="1" applyBorder="1" applyAlignment="1">
      <alignment horizontal="justify" vertical="top" wrapText="1"/>
    </xf>
    <xf numFmtId="0" fontId="94" fillId="0" borderId="96" xfId="0" applyFont="1" applyBorder="1" applyAlignment="1">
      <alignment horizontal="justify" vertical="top" wrapText="1"/>
    </xf>
    <xf numFmtId="0" fontId="94" fillId="0" borderId="127" xfId="0" applyFont="1" applyBorder="1" applyAlignment="1">
      <alignment horizontal="justify" vertical="top" wrapText="1"/>
    </xf>
    <xf numFmtId="0" fontId="87" fillId="0" borderId="0" xfId="0" applyFont="1" applyAlignment="1">
      <alignment horizontal="left" vertical="top"/>
    </xf>
    <xf numFmtId="0" fontId="87" fillId="0" borderId="40" xfId="0" applyFont="1" applyBorder="1" applyAlignment="1">
      <alignment horizontal="left" vertical="top"/>
    </xf>
    <xf numFmtId="0" fontId="87" fillId="0" borderId="101" xfId="0" applyFont="1" applyBorder="1" applyAlignment="1">
      <alignment horizontal="left" vertical="center" wrapText="1"/>
    </xf>
    <xf numFmtId="0" fontId="87" fillId="0" borderId="125" xfId="0" applyFont="1" applyBorder="1" applyAlignment="1">
      <alignment horizontal="left" vertical="center" wrapText="1"/>
    </xf>
    <xf numFmtId="0" fontId="87" fillId="0" borderId="126" xfId="0" applyFont="1" applyBorder="1" applyAlignment="1">
      <alignment horizontal="justify" vertical="center" wrapText="1"/>
    </xf>
    <xf numFmtId="0" fontId="87" fillId="0" borderId="96" xfId="0" applyFont="1" applyBorder="1" applyAlignment="1">
      <alignment horizontal="justify" vertical="center" wrapText="1"/>
    </xf>
    <xf numFmtId="0" fontId="84" fillId="0" borderId="127" xfId="0" applyFont="1" applyBorder="1" applyAlignment="1">
      <alignment horizontal="justify" vertical="center" wrapText="1"/>
    </xf>
    <xf numFmtId="0" fontId="84" fillId="0" borderId="40" xfId="0" applyFont="1" applyBorder="1" applyAlignment="1">
      <alignment horizontal="justify" vertical="center" wrapText="1"/>
    </xf>
    <xf numFmtId="0" fontId="95" fillId="0" borderId="6" xfId="0" applyFont="1" applyBorder="1" applyAlignment="1">
      <alignment horizontal="center" vertical="center" textRotation="255" wrapText="1"/>
    </xf>
    <xf numFmtId="0" fontId="95" fillId="0" borderId="7" xfId="0" applyFont="1" applyBorder="1" applyAlignment="1">
      <alignment horizontal="center" vertical="center" textRotation="255" wrapText="1"/>
    </xf>
    <xf numFmtId="0" fontId="95" fillId="0" borderId="11" xfId="0" applyFont="1" applyBorder="1" applyAlignment="1">
      <alignment horizontal="center" vertical="center" textRotation="255" wrapText="1"/>
    </xf>
    <xf numFmtId="0" fontId="95" fillId="0" borderId="12" xfId="0" applyFont="1" applyBorder="1" applyAlignment="1">
      <alignment horizontal="center" vertical="center" textRotation="255" wrapText="1"/>
    </xf>
    <xf numFmtId="0" fontId="95" fillId="0" borderId="8" xfId="0" applyFont="1" applyBorder="1" applyAlignment="1">
      <alignment horizontal="center" vertical="center" textRotation="255" wrapText="1"/>
    </xf>
    <xf numFmtId="0" fontId="95" fillId="0" borderId="9" xfId="0" applyFont="1" applyBorder="1" applyAlignment="1">
      <alignment horizontal="center" vertical="center" textRotation="255" wrapText="1"/>
    </xf>
    <xf numFmtId="0" fontId="95" fillId="0" borderId="6" xfId="0" applyFont="1" applyBorder="1" applyAlignment="1">
      <alignment horizontal="center" vertical="center" wrapText="1"/>
    </xf>
    <xf numFmtId="0" fontId="95" fillId="0" borderId="7" xfId="0" applyFont="1" applyBorder="1" applyAlignment="1">
      <alignment horizontal="center" vertical="center" wrapText="1"/>
    </xf>
    <xf numFmtId="0" fontId="95" fillId="0" borderId="8" xfId="0" applyFont="1" applyBorder="1" applyAlignment="1">
      <alignment horizontal="center" vertical="center" wrapText="1"/>
    </xf>
    <xf numFmtId="0" fontId="95" fillId="0" borderId="9" xfId="0" applyFont="1" applyBorder="1" applyAlignment="1">
      <alignment horizontal="center" vertical="center" wrapText="1"/>
    </xf>
    <xf numFmtId="0" fontId="95" fillId="0" borderId="6" xfId="0" applyFont="1" applyBorder="1" applyAlignment="1">
      <alignment horizontal="left" vertical="center" wrapText="1"/>
    </xf>
    <xf numFmtId="0" fontId="95" fillId="0" borderId="5" xfId="0" applyFont="1" applyBorder="1" applyAlignment="1">
      <alignment horizontal="left" vertical="center" wrapText="1"/>
    </xf>
    <xf numFmtId="0" fontId="95" fillId="0" borderId="7" xfId="0" applyFont="1" applyBorder="1" applyAlignment="1">
      <alignment horizontal="left" vertical="center" wrapText="1"/>
    </xf>
    <xf numFmtId="0" fontId="95" fillId="0" borderId="8" xfId="0" applyFont="1" applyBorder="1" applyAlignment="1">
      <alignment horizontal="left" vertical="center" wrapText="1"/>
    </xf>
    <xf numFmtId="0" fontId="95" fillId="0" borderId="10" xfId="0" applyFont="1" applyBorder="1" applyAlignment="1">
      <alignment horizontal="left" vertical="center" wrapText="1"/>
    </xf>
    <xf numFmtId="0" fontId="95" fillId="0" borderId="9" xfId="0" applyFont="1" applyBorder="1" applyAlignment="1">
      <alignment horizontal="left" vertical="center" wrapText="1"/>
    </xf>
    <xf numFmtId="0" fontId="87" fillId="0" borderId="0" xfId="0" applyFont="1" applyAlignment="1">
      <alignment horizontal="center" vertical="center" wrapText="1"/>
    </xf>
    <xf numFmtId="0" fontId="96" fillId="0" borderId="0" xfId="0" applyFont="1" applyAlignment="1">
      <alignment horizontal="justify" vertical="top" wrapText="1"/>
    </xf>
    <xf numFmtId="0" fontId="95" fillId="0" borderId="0" xfId="0" applyFont="1" applyAlignment="1">
      <alignment horizontal="justify" vertical="top" wrapText="1"/>
    </xf>
    <xf numFmtId="0" fontId="93" fillId="0" borderId="0" xfId="0" applyFont="1" applyAlignment="1">
      <alignment horizontal="center" vertical="top" wrapText="1"/>
    </xf>
    <xf numFmtId="0" fontId="93" fillId="0" borderId="0" xfId="0" applyFont="1" applyAlignment="1">
      <alignment horizontal="left" vertical="top" wrapText="1"/>
    </xf>
    <xf numFmtId="0" fontId="96" fillId="0" borderId="2" xfId="0" applyFont="1" applyBorder="1" applyAlignment="1">
      <alignment horizontal="center" vertical="top" wrapText="1"/>
    </xf>
    <xf numFmtId="0" fontId="96" fillId="0" borderId="3" xfId="0" applyFont="1" applyBorder="1" applyAlignment="1">
      <alignment horizontal="center" vertical="top" wrapText="1"/>
    </xf>
    <xf numFmtId="0" fontId="96" fillId="0" borderId="4" xfId="0" applyFont="1" applyBorder="1" applyAlignment="1">
      <alignment horizontal="center" vertical="top" wrapText="1"/>
    </xf>
    <xf numFmtId="0" fontId="97" fillId="0" borderId="6" xfId="0" applyFont="1" applyBorder="1" applyAlignment="1">
      <alignment horizontal="center" vertical="center" wrapText="1"/>
    </xf>
    <xf numFmtId="0" fontId="97" fillId="0" borderId="5" xfId="0" applyFont="1" applyBorder="1" applyAlignment="1">
      <alignment horizontal="center" vertical="center" wrapText="1"/>
    </xf>
    <xf numFmtId="0" fontId="97" fillId="0" borderId="7" xfId="0" applyFont="1" applyBorder="1" applyAlignment="1">
      <alignment horizontal="center" vertical="center" wrapText="1"/>
    </xf>
    <xf numFmtId="0" fontId="0" fillId="0" borderId="0" xfId="0" applyAlignment="1">
      <alignment vertical="top" wrapText="1"/>
    </xf>
    <xf numFmtId="0" fontId="93" fillId="0" borderId="0" xfId="0" applyFont="1" applyAlignment="1">
      <alignment horizontal="justify" vertical="top" wrapText="1"/>
    </xf>
    <xf numFmtId="0" fontId="96" fillId="0" borderId="8" xfId="0" applyFont="1" applyBorder="1" applyAlignment="1">
      <alignment horizontal="center" vertical="top" wrapText="1"/>
    </xf>
    <xf numFmtId="0" fontId="96" fillId="0" borderId="10" xfId="0" applyFont="1" applyBorder="1" applyAlignment="1">
      <alignment horizontal="center" vertical="top" wrapText="1"/>
    </xf>
    <xf numFmtId="0" fontId="96" fillId="0" borderId="9" xfId="0" applyFont="1" applyBorder="1" applyAlignment="1">
      <alignment horizontal="center" vertical="top" wrapText="1"/>
    </xf>
    <xf numFmtId="0" fontId="97" fillId="0" borderId="2" xfId="0" applyFont="1" applyBorder="1" applyAlignment="1">
      <alignment horizontal="center" vertical="center" wrapText="1"/>
    </xf>
    <xf numFmtId="0" fontId="97" fillId="0" borderId="3" xfId="0" applyFont="1" applyBorder="1" applyAlignment="1">
      <alignment horizontal="center" vertical="center" wrapText="1"/>
    </xf>
    <xf numFmtId="0" fontId="97" fillId="0" borderId="4" xfId="0" applyFont="1" applyBorder="1" applyAlignment="1">
      <alignment horizontal="center" vertical="center" wrapText="1"/>
    </xf>
    <xf numFmtId="0" fontId="84" fillId="0" borderId="43" xfId="0" applyFont="1" applyBorder="1" applyAlignment="1">
      <alignment horizontal="justify" vertical="center" wrapText="1"/>
    </xf>
    <xf numFmtId="0" fontId="87" fillId="0" borderId="39" xfId="0" applyFont="1" applyBorder="1" applyAlignment="1">
      <alignment horizontal="center" vertical="center" wrapText="1"/>
    </xf>
    <xf numFmtId="0" fontId="87" fillId="0" borderId="12" xfId="0" applyFont="1" applyBorder="1" applyAlignment="1">
      <alignment horizontal="left" vertical="center" wrapText="1"/>
    </xf>
    <xf numFmtId="0" fontId="95" fillId="0" borderId="2" xfId="0" applyFont="1" applyBorder="1" applyAlignment="1">
      <alignment horizontal="center" vertical="center" wrapText="1"/>
    </xf>
    <xf numFmtId="0" fontId="95" fillId="0" borderId="3" xfId="0" applyFont="1" applyBorder="1" applyAlignment="1">
      <alignment horizontal="center" vertical="center" wrapText="1"/>
    </xf>
    <xf numFmtId="0" fontId="95" fillId="0" borderId="4" xfId="0" applyFont="1" applyBorder="1" applyAlignment="1">
      <alignment horizontal="center" vertical="center" wrapText="1"/>
    </xf>
    <xf numFmtId="0" fontId="87" fillId="0" borderId="12" xfId="0" applyFont="1" applyBorder="1" applyAlignment="1">
      <alignment horizontal="center" vertical="center" wrapText="1"/>
    </xf>
    <xf numFmtId="0" fontId="95" fillId="0" borderId="11" xfId="0" applyFont="1" applyBorder="1" applyAlignment="1">
      <alignment horizontal="center" vertical="center" wrapText="1"/>
    </xf>
    <xf numFmtId="0" fontId="95" fillId="0" borderId="12" xfId="0" applyFont="1" applyBorder="1" applyAlignment="1">
      <alignment horizontal="center" vertical="center" wrapText="1"/>
    </xf>
    <xf numFmtId="0" fontId="95" fillId="0" borderId="11" xfId="0" applyFont="1" applyBorder="1" applyAlignment="1">
      <alignment horizontal="left" vertical="center" wrapText="1"/>
    </xf>
    <xf numFmtId="0" fontId="95" fillId="0" borderId="0" xfId="0" applyFont="1" applyAlignment="1">
      <alignment horizontal="left" vertical="center" wrapText="1"/>
    </xf>
    <xf numFmtId="0" fontId="95" fillId="0" borderId="12" xfId="0" applyFont="1" applyBorder="1" applyAlignment="1">
      <alignment horizontal="left" vertical="center" wrapText="1"/>
    </xf>
    <xf numFmtId="0" fontId="87" fillId="0" borderId="42" xfId="0" applyFont="1" applyBorder="1" applyAlignment="1">
      <alignment horizontal="left" vertical="center" wrapText="1"/>
    </xf>
    <xf numFmtId="0" fontId="95" fillId="0" borderId="10" xfId="0" applyFont="1" applyBorder="1" applyAlignment="1">
      <alignment horizontal="center" vertical="center" wrapText="1"/>
    </xf>
    <xf numFmtId="0" fontId="90" fillId="0" borderId="6" xfId="0" applyFont="1" applyBorder="1" applyAlignment="1">
      <alignment horizontal="center" vertical="top" wrapText="1"/>
    </xf>
    <xf numFmtId="0" fontId="90" fillId="0" borderId="5" xfId="0" applyFont="1" applyBorder="1" applyAlignment="1">
      <alignment horizontal="center" vertical="top" wrapText="1"/>
    </xf>
    <xf numFmtId="0" fontId="88" fillId="8" borderId="38" xfId="0" applyFont="1" applyFill="1" applyBorder="1" applyAlignment="1">
      <alignment horizontal="center" vertical="center" wrapText="1"/>
    </xf>
    <xf numFmtId="0" fontId="88" fillId="8" borderId="19" xfId="0" applyFont="1" applyFill="1" applyBorder="1" applyAlignment="1">
      <alignment horizontal="center" vertical="center" wrapText="1"/>
    </xf>
    <xf numFmtId="0" fontId="88" fillId="8" borderId="31" xfId="0" applyFont="1" applyFill="1" applyBorder="1" applyAlignment="1">
      <alignment horizontal="center" vertical="center" wrapText="1"/>
    </xf>
    <xf numFmtId="0" fontId="88" fillId="8" borderId="15" xfId="0" applyFont="1" applyFill="1" applyBorder="1" applyAlignment="1">
      <alignment horizontal="center" vertical="center" wrapText="1"/>
    </xf>
    <xf numFmtId="0" fontId="88" fillId="8" borderId="32" xfId="0" applyFont="1" applyFill="1" applyBorder="1" applyAlignment="1">
      <alignment horizontal="center" vertical="center" wrapText="1"/>
    </xf>
    <xf numFmtId="0" fontId="93" fillId="0" borderId="25" xfId="0" applyFont="1" applyBorder="1" applyAlignment="1">
      <alignment horizontal="left" vertical="top" wrapText="1"/>
    </xf>
    <xf numFmtId="0" fontId="93" fillId="0" borderId="3" xfId="0" applyFont="1" applyBorder="1" applyAlignment="1">
      <alignment horizontal="left" vertical="top" wrapText="1"/>
    </xf>
    <xf numFmtId="0" fontId="93" fillId="0" borderId="4" xfId="0" applyFont="1" applyBorder="1" applyAlignment="1">
      <alignment horizontal="left" vertical="top" wrapText="1"/>
    </xf>
    <xf numFmtId="0" fontId="98" fillId="0" borderId="0" xfId="0" applyFont="1" applyAlignment="1">
      <alignment horizontal="center" vertical="center" wrapText="1"/>
    </xf>
    <xf numFmtId="0" fontId="99" fillId="0" borderId="0" xfId="0" applyFont="1">
      <alignment vertical="center"/>
    </xf>
    <xf numFmtId="0" fontId="85" fillId="8" borderId="110" xfId="0" applyFont="1" applyFill="1" applyBorder="1" applyAlignment="1">
      <alignment horizontal="center" vertical="top" wrapText="1"/>
    </xf>
    <xf numFmtId="0" fontId="85" fillId="8" borderId="15" xfId="0" applyFont="1" applyFill="1" applyBorder="1" applyAlignment="1">
      <alignment horizontal="center" vertical="top" wrapText="1"/>
    </xf>
    <xf numFmtId="0" fontId="85" fillId="8" borderId="32" xfId="0" applyFont="1" applyFill="1" applyBorder="1" applyAlignment="1">
      <alignment horizontal="center" vertical="top" wrapText="1"/>
    </xf>
    <xf numFmtId="0" fontId="88" fillId="8" borderId="2" xfId="0" applyFont="1" applyFill="1" applyBorder="1" applyAlignment="1">
      <alignment horizontal="center" vertical="center" wrapText="1"/>
    </xf>
    <xf numFmtId="0" fontId="88" fillId="8" borderId="3" xfId="0" applyFont="1" applyFill="1" applyBorder="1" applyAlignment="1">
      <alignment horizontal="center" vertical="center" wrapText="1"/>
    </xf>
    <xf numFmtId="0" fontId="88" fillId="8" borderId="22" xfId="0" applyFont="1" applyFill="1" applyBorder="1" applyAlignment="1">
      <alignment horizontal="center" vertical="center" wrapText="1"/>
    </xf>
    <xf numFmtId="0" fontId="88" fillId="8" borderId="25" xfId="0" applyFont="1" applyFill="1" applyBorder="1" applyAlignment="1">
      <alignment horizontal="justify" vertical="center" wrapText="1"/>
    </xf>
    <xf numFmtId="0" fontId="88" fillId="8" borderId="3" xfId="0" applyFont="1" applyFill="1" applyBorder="1" applyAlignment="1">
      <alignment horizontal="justify" vertical="center" wrapText="1"/>
    </xf>
    <xf numFmtId="0" fontId="88" fillId="8" borderId="22" xfId="0" applyFont="1" applyFill="1" applyBorder="1" applyAlignment="1">
      <alignment horizontal="justify" vertical="center" wrapText="1"/>
    </xf>
    <xf numFmtId="0" fontId="93" fillId="0" borderId="25" xfId="0" applyFont="1" applyBorder="1" applyAlignment="1">
      <alignment horizontal="justify" vertical="center" wrapText="1"/>
    </xf>
    <xf numFmtId="0" fontId="93" fillId="0" borderId="3" xfId="0" applyFont="1" applyBorder="1" applyAlignment="1">
      <alignment horizontal="justify" vertical="center" wrapText="1"/>
    </xf>
    <xf numFmtId="0" fontId="93" fillId="0" borderId="4" xfId="0" applyFont="1" applyBorder="1" applyAlignment="1">
      <alignment horizontal="justify" vertical="center" wrapText="1"/>
    </xf>
    <xf numFmtId="0" fontId="94" fillId="0" borderId="2" xfId="0" applyFont="1" applyBorder="1" applyAlignment="1">
      <alignment horizontal="left" vertical="center" wrapText="1"/>
    </xf>
    <xf numFmtId="0" fontId="94" fillId="0" borderId="3" xfId="0" applyFont="1" applyBorder="1" applyAlignment="1">
      <alignment horizontal="left" vertical="center" wrapText="1"/>
    </xf>
    <xf numFmtId="0" fontId="94" fillId="0" borderId="4" xfId="0" applyFont="1" applyBorder="1" applyAlignment="1">
      <alignment horizontal="left" vertical="center" wrapText="1"/>
    </xf>
    <xf numFmtId="0" fontId="90" fillId="0" borderId="5" xfId="0" applyFont="1" applyBorder="1" applyAlignment="1">
      <alignment horizontal="left" vertical="top" wrapText="1"/>
    </xf>
    <xf numFmtId="0" fontId="90" fillId="0" borderId="24" xfId="0" applyFont="1" applyBorder="1" applyAlignment="1">
      <alignment horizontal="left" vertical="top" wrapText="1"/>
    </xf>
    <xf numFmtId="0" fontId="87" fillId="0" borderId="5" xfId="0" applyFont="1" applyBorder="1" applyAlignment="1">
      <alignment horizontal="left" wrapText="1"/>
    </xf>
    <xf numFmtId="0" fontId="87" fillId="0" borderId="7" xfId="0" applyFont="1" applyBorder="1" applyAlignment="1">
      <alignment horizontal="left" wrapText="1"/>
    </xf>
    <xf numFmtId="0" fontId="87" fillId="0" borderId="39" xfId="0" applyFont="1" applyBorder="1" applyAlignment="1">
      <alignment horizontal="justify" wrapText="1"/>
    </xf>
    <xf numFmtId="0" fontId="87" fillId="0" borderId="0" xfId="0" applyFont="1" applyAlignment="1">
      <alignment horizontal="justify" wrapText="1"/>
    </xf>
    <xf numFmtId="0" fontId="87" fillId="0" borderId="0" xfId="0" applyFont="1" applyAlignment="1">
      <alignment horizontal="left" wrapText="1"/>
    </xf>
    <xf numFmtId="0" fontId="87" fillId="0" borderId="40" xfId="0" applyFont="1" applyBorder="1" applyAlignment="1">
      <alignment horizontal="left" wrapText="1"/>
    </xf>
    <xf numFmtId="0" fontId="87" fillId="0" borderId="101" xfId="0" applyFont="1" applyBorder="1" applyAlignment="1">
      <alignment horizontal="left" wrapText="1"/>
    </xf>
    <xf numFmtId="0" fontId="87" fillId="0" borderId="125" xfId="0" applyFont="1" applyBorder="1" applyAlignment="1">
      <alignment horizontal="left" wrapText="1"/>
    </xf>
    <xf numFmtId="0" fontId="87" fillId="0" borderId="39" xfId="0" applyFont="1" applyBorder="1" applyAlignment="1">
      <alignment horizontal="left" wrapText="1"/>
    </xf>
    <xf numFmtId="0" fontId="87" fillId="0" borderId="6" xfId="0" applyFont="1" applyBorder="1" applyAlignment="1">
      <alignment horizontal="center" vertical="top" wrapText="1"/>
    </xf>
    <xf numFmtId="0" fontId="87" fillId="0" borderId="5" xfId="0" applyFont="1" applyBorder="1" applyAlignment="1">
      <alignment horizontal="center" vertical="top" wrapText="1"/>
    </xf>
    <xf numFmtId="0" fontId="87" fillId="0" borderId="24" xfId="0" applyFont="1" applyBorder="1" applyAlignment="1">
      <alignment horizontal="center" vertical="top" wrapText="1"/>
    </xf>
    <xf numFmtId="0" fontId="87" fillId="0" borderId="101" xfId="0" applyFont="1" applyBorder="1" applyAlignment="1">
      <alignment horizontal="center" vertical="top" wrapText="1"/>
    </xf>
    <xf numFmtId="0" fontId="93" fillId="0" borderId="2" xfId="0" applyFont="1" applyBorder="1" applyAlignment="1">
      <alignment horizontal="center" vertical="center" wrapText="1"/>
    </xf>
    <xf numFmtId="0" fontId="93" fillId="0" borderId="3" xfId="0" applyFont="1" applyBorder="1" applyAlignment="1">
      <alignment horizontal="center" vertical="center" wrapText="1"/>
    </xf>
    <xf numFmtId="0" fontId="93" fillId="0" borderId="4" xfId="0" applyFont="1" applyBorder="1" applyAlignment="1">
      <alignment horizontal="center" vertical="center" wrapText="1"/>
    </xf>
    <xf numFmtId="0" fontId="87" fillId="0" borderId="12" xfId="0" applyFont="1" applyBorder="1" applyAlignment="1">
      <alignment horizontal="left" wrapText="1"/>
    </xf>
    <xf numFmtId="0" fontId="87" fillId="0" borderId="123" xfId="0" applyFont="1" applyBorder="1" applyAlignment="1">
      <alignment horizontal="left" wrapText="1"/>
    </xf>
    <xf numFmtId="0" fontId="68" fillId="0" borderId="7" xfId="0" applyFont="1" applyBorder="1" applyAlignment="1">
      <alignment horizontal="left" vertical="center"/>
    </xf>
    <xf numFmtId="0" fontId="68" fillId="2" borderId="2" xfId="0" applyFont="1" applyFill="1" applyBorder="1" applyAlignment="1">
      <alignment horizontal="left" vertical="center"/>
    </xf>
    <xf numFmtId="0" fontId="68" fillId="2" borderId="3" xfId="0" applyFont="1" applyFill="1" applyBorder="1" applyAlignment="1">
      <alignment horizontal="left" vertical="center"/>
    </xf>
    <xf numFmtId="0" fontId="68" fillId="2" borderId="4" xfId="0" applyFont="1" applyFill="1" applyBorder="1" applyAlignment="1">
      <alignment horizontal="left" vertical="center"/>
    </xf>
    <xf numFmtId="0" fontId="52" fillId="0" borderId="8" xfId="0" applyFont="1" applyBorder="1" applyAlignment="1">
      <alignment horizontal="left" vertical="center" wrapText="1"/>
    </xf>
    <xf numFmtId="0" fontId="52" fillId="0" borderId="10" xfId="0" applyFont="1" applyBorder="1" applyAlignment="1">
      <alignment horizontal="left" vertical="center" wrapText="1"/>
    </xf>
    <xf numFmtId="0" fontId="52" fillId="0" borderId="9" xfId="0" applyFont="1" applyBorder="1" applyAlignment="1">
      <alignment horizontal="left" vertical="center"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2" xfId="0" applyBorder="1" applyAlignment="1">
      <alignment horizontal="left" vertical="top" wrapText="1"/>
    </xf>
    <xf numFmtId="0" fontId="52" fillId="0" borderId="6" xfId="0" applyFont="1" applyBorder="1" applyAlignment="1">
      <alignment horizontal="left" vertical="center"/>
    </xf>
    <xf numFmtId="0" fontId="52" fillId="0" borderId="5" xfId="0" applyFont="1" applyBorder="1" applyAlignment="1">
      <alignment horizontal="left" vertical="center"/>
    </xf>
    <xf numFmtId="0" fontId="52" fillId="0" borderId="7" xfId="0" applyFont="1" applyBorder="1" applyAlignment="1">
      <alignment horizontal="left" vertical="center"/>
    </xf>
    <xf numFmtId="0" fontId="50" fillId="0" borderId="5" xfId="0" applyFont="1" applyBorder="1" applyAlignment="1">
      <alignment horizontal="left" vertical="center"/>
    </xf>
    <xf numFmtId="0" fontId="50" fillId="0" borderId="7" xfId="0" applyFont="1" applyBorder="1" applyAlignment="1">
      <alignment horizontal="left" vertical="center"/>
    </xf>
    <xf numFmtId="0" fontId="50" fillId="0" borderId="0" xfId="0" applyFont="1" applyAlignment="1">
      <alignment horizontal="left" vertical="center"/>
    </xf>
    <xf numFmtId="0" fontId="50" fillId="0" borderId="12" xfId="0" applyFont="1" applyBorder="1" applyAlignment="1">
      <alignment horizontal="left" vertical="center"/>
    </xf>
    <xf numFmtId="0" fontId="53" fillId="0" borderId="0" xfId="0" applyFont="1" applyAlignment="1">
      <alignment horizontal="center" vertical="center"/>
    </xf>
    <xf numFmtId="0" fontId="53" fillId="0" borderId="11" xfId="0" applyFont="1" applyBorder="1" applyAlignment="1">
      <alignment horizontal="left" vertical="center"/>
    </xf>
    <xf numFmtId="0" fontId="53" fillId="0" borderId="0" xfId="0" applyFont="1" applyAlignment="1">
      <alignment horizontal="left" vertical="center"/>
    </xf>
    <xf numFmtId="0" fontId="53" fillId="0" borderId="12" xfId="0" applyFont="1" applyBorder="1" applyAlignment="1">
      <alignment horizontal="left" vertical="center"/>
    </xf>
    <xf numFmtId="0" fontId="53" fillId="0" borderId="8" xfId="0" applyFont="1" applyBorder="1" applyAlignment="1">
      <alignment horizontal="left" vertical="center"/>
    </xf>
    <xf numFmtId="0" fontId="53" fillId="0" borderId="10" xfId="0" applyFont="1" applyBorder="1" applyAlignment="1">
      <alignment horizontal="left" vertical="center"/>
    </xf>
    <xf numFmtId="0" fontId="53" fillId="0" borderId="9" xfId="0" applyFont="1" applyBorder="1" applyAlignment="1">
      <alignment horizontal="left" vertical="center"/>
    </xf>
    <xf numFmtId="0" fontId="53" fillId="0" borderId="6" xfId="0" applyFont="1" applyBorder="1" applyAlignment="1">
      <alignment horizontal="left" vertical="center"/>
    </xf>
    <xf numFmtId="0" fontId="53" fillId="0" borderId="5" xfId="0" applyFont="1" applyBorder="1" applyAlignment="1">
      <alignment horizontal="left" vertical="center"/>
    </xf>
    <xf numFmtId="0" fontId="53" fillId="0" borderId="5" xfId="0" applyFont="1" applyBorder="1" applyAlignment="1">
      <alignment horizontal="center" vertical="center"/>
    </xf>
    <xf numFmtId="0" fontId="59" fillId="0" borderId="6" xfId="0" applyFont="1" applyBorder="1" applyAlignment="1">
      <alignment horizontal="center" vertical="center"/>
    </xf>
    <xf numFmtId="0" fontId="59" fillId="0" borderId="5" xfId="0" applyFont="1" applyBorder="1" applyAlignment="1">
      <alignment horizontal="center" vertical="center"/>
    </xf>
    <xf numFmtId="0" fontId="59" fillId="0" borderId="7" xfId="0" applyFont="1" applyBorder="1" applyAlignment="1">
      <alignment horizontal="center" vertical="center"/>
    </xf>
    <xf numFmtId="0" fontId="59" fillId="0" borderId="8" xfId="0" applyFont="1" applyBorder="1" applyAlignment="1">
      <alignment horizontal="center" vertical="center"/>
    </xf>
    <xf numFmtId="0" fontId="59" fillId="0" borderId="10" xfId="0" applyFont="1" applyBorder="1" applyAlignment="1">
      <alignment horizontal="center" vertical="center"/>
    </xf>
    <xf numFmtId="0" fontId="59" fillId="0" borderId="9" xfId="0" applyFont="1" applyBorder="1" applyAlignment="1">
      <alignment horizontal="center" vertical="center"/>
    </xf>
    <xf numFmtId="0" fontId="59" fillId="0" borderId="0" xfId="0" applyFont="1" applyAlignment="1">
      <alignment horizontal="left" vertical="center"/>
    </xf>
    <xf numFmtId="58" fontId="59" fillId="0" borderId="6" xfId="0" applyNumberFormat="1" applyFont="1" applyBorder="1" applyAlignment="1">
      <alignment horizontal="center" vertical="center"/>
    </xf>
    <xf numFmtId="0" fontId="59" fillId="0" borderId="11" xfId="0" applyFont="1" applyBorder="1" applyAlignment="1">
      <alignment horizontal="center" vertical="center" wrapText="1"/>
    </xf>
    <xf numFmtId="0" fontId="59" fillId="0" borderId="0" xfId="0" applyFont="1" applyAlignment="1">
      <alignment horizontal="center" vertical="center" wrapText="1"/>
    </xf>
    <xf numFmtId="0" fontId="59" fillId="0" borderId="11" xfId="0" applyFont="1" applyBorder="1" applyAlignment="1">
      <alignment horizontal="center" vertical="center"/>
    </xf>
    <xf numFmtId="0" fontId="59" fillId="0" borderId="0" xfId="0" applyFont="1" applyAlignment="1">
      <alignment horizontal="center" vertical="center"/>
    </xf>
    <xf numFmtId="0" fontId="59" fillId="0" borderId="12" xfId="0" applyFont="1" applyBorder="1" applyAlignment="1">
      <alignment horizontal="center" vertical="center"/>
    </xf>
    <xf numFmtId="0" fontId="68" fillId="0" borderId="6" xfId="0" applyFont="1" applyBorder="1" applyAlignment="1">
      <alignment horizontal="center" vertical="center"/>
    </xf>
    <xf numFmtId="0" fontId="68" fillId="0" borderId="5" xfId="0" applyFont="1" applyBorder="1" applyAlignment="1">
      <alignment horizontal="center" vertical="center"/>
    </xf>
    <xf numFmtId="0" fontId="68" fillId="0" borderId="8" xfId="0" applyFont="1" applyBorder="1" applyAlignment="1">
      <alignment horizontal="center" vertical="center"/>
    </xf>
    <xf numFmtId="0" fontId="68" fillId="0" borderId="10" xfId="0" applyFont="1" applyBorder="1" applyAlignment="1">
      <alignment horizontal="center" vertical="center"/>
    </xf>
    <xf numFmtId="0" fontId="68" fillId="0" borderId="0" xfId="0" applyFont="1" applyAlignment="1">
      <alignment horizontal="center" vertical="center"/>
    </xf>
    <xf numFmtId="0" fontId="68" fillId="0" borderId="6" xfId="0" applyFont="1" applyBorder="1" applyAlignment="1">
      <alignment horizontal="center" vertical="center" textRotation="255"/>
    </xf>
    <xf numFmtId="0" fontId="68" fillId="0" borderId="7" xfId="0" applyFont="1" applyBorder="1" applyAlignment="1">
      <alignment horizontal="center" vertical="center" textRotation="255"/>
    </xf>
    <xf numFmtId="0" fontId="68" fillId="0" borderId="11" xfId="0" applyFont="1" applyBorder="1" applyAlignment="1">
      <alignment horizontal="center" vertical="center" textRotation="255"/>
    </xf>
    <xf numFmtId="0" fontId="68" fillId="0" borderId="12" xfId="0" applyFont="1" applyBorder="1" applyAlignment="1">
      <alignment horizontal="center" vertical="center" textRotation="255"/>
    </xf>
    <xf numFmtId="0" fontId="68" fillId="0" borderId="8" xfId="0" applyFont="1" applyBorder="1" applyAlignment="1">
      <alignment horizontal="center" vertical="center" textRotation="255"/>
    </xf>
    <xf numFmtId="0" fontId="68" fillId="0" borderId="9" xfId="0" applyFont="1" applyBorder="1" applyAlignment="1">
      <alignment horizontal="center" vertical="center" textRotation="255"/>
    </xf>
    <xf numFmtId="0" fontId="68" fillId="0" borderId="6" xfId="0" applyFont="1" applyBorder="1" applyAlignment="1">
      <alignment horizontal="center" vertical="center" wrapText="1"/>
    </xf>
    <xf numFmtId="183" fontId="59" fillId="0" borderId="6" xfId="0" applyNumberFormat="1" applyFont="1" applyBorder="1" applyAlignment="1">
      <alignment horizontal="center" vertical="center"/>
    </xf>
    <xf numFmtId="183" fontId="59" fillId="0" borderId="5" xfId="0" applyNumberFormat="1" applyFont="1" applyBorder="1" applyAlignment="1">
      <alignment horizontal="center" vertical="center"/>
    </xf>
    <xf numFmtId="183" fontId="59" fillId="0" borderId="8" xfId="0" applyNumberFormat="1" applyFont="1" applyBorder="1" applyAlignment="1">
      <alignment horizontal="center" vertical="center"/>
    </xf>
    <xf numFmtId="183" fontId="59" fillId="0" borderId="10" xfId="0" applyNumberFormat="1" applyFont="1" applyBorder="1" applyAlignment="1">
      <alignment horizontal="center" vertical="center"/>
    </xf>
    <xf numFmtId="183" fontId="59" fillId="0" borderId="7" xfId="0" applyNumberFormat="1" applyFont="1" applyBorder="1" applyAlignment="1">
      <alignment horizontal="center" vertical="center"/>
    </xf>
    <xf numFmtId="183" fontId="59" fillId="0" borderId="9" xfId="0" applyNumberFormat="1" applyFont="1" applyBorder="1" applyAlignment="1">
      <alignment horizontal="center" vertical="center"/>
    </xf>
    <xf numFmtId="0" fontId="49" fillId="0" borderId="0" xfId="0" applyFont="1" applyAlignment="1">
      <alignment horizontal="right" vertical="center"/>
    </xf>
    <xf numFmtId="0" fontId="0" fillId="0" borderId="8" xfId="0" applyBorder="1" applyAlignment="1">
      <alignment horizontal="left" vertical="top" wrapText="1"/>
    </xf>
    <xf numFmtId="0" fontId="0" fillId="0" borderId="10" xfId="0" applyBorder="1" applyAlignment="1">
      <alignment horizontal="left" vertical="top" wrapText="1"/>
    </xf>
    <xf numFmtId="0" fontId="0" fillId="0" borderId="9" xfId="0" applyBorder="1" applyAlignment="1">
      <alignment horizontal="left" vertical="top" wrapText="1"/>
    </xf>
    <xf numFmtId="0" fontId="67" fillId="0" borderId="6" xfId="0" applyFont="1" applyBorder="1" applyAlignment="1">
      <alignment horizontal="left" vertical="center" wrapText="1"/>
    </xf>
    <xf numFmtId="0" fontId="67" fillId="0" borderId="5" xfId="0" applyFont="1" applyBorder="1" applyAlignment="1">
      <alignment horizontal="left" vertical="center" wrapText="1"/>
    </xf>
    <xf numFmtId="0" fontId="67" fillId="0" borderId="7" xfId="0" applyFont="1" applyBorder="1" applyAlignment="1">
      <alignment horizontal="left" vertical="center" wrapText="1"/>
    </xf>
    <xf numFmtId="0" fontId="67" fillId="0" borderId="8" xfId="0" applyFont="1" applyBorder="1" applyAlignment="1">
      <alignment horizontal="left" vertical="center" wrapText="1"/>
    </xf>
    <xf numFmtId="0" fontId="67" fillId="0" borderId="10" xfId="0" applyFont="1" applyBorder="1" applyAlignment="1">
      <alignment horizontal="left" vertical="center" wrapText="1"/>
    </xf>
    <xf numFmtId="0" fontId="67" fillId="0" borderId="9" xfId="0" applyFont="1" applyBorder="1" applyAlignment="1">
      <alignment horizontal="left" vertical="center" wrapText="1"/>
    </xf>
    <xf numFmtId="0" fontId="68" fillId="0" borderId="6" xfId="0" applyFont="1" applyBorder="1" applyAlignment="1">
      <alignment horizontal="left" vertical="center" wrapText="1"/>
    </xf>
    <xf numFmtId="0" fontId="68" fillId="0" borderId="5" xfId="0" applyFont="1" applyBorder="1" applyAlignment="1">
      <alignment horizontal="left" vertical="center" wrapText="1"/>
    </xf>
    <xf numFmtId="0" fontId="68" fillId="0" borderId="7" xfId="0" applyFont="1" applyBorder="1" applyAlignment="1">
      <alignment horizontal="left" vertical="center" wrapText="1"/>
    </xf>
    <xf numFmtId="0" fontId="68" fillId="0" borderId="8" xfId="0" applyFont="1" applyBorder="1" applyAlignment="1">
      <alignment horizontal="left" vertical="center" wrapText="1"/>
    </xf>
    <xf numFmtId="0" fontId="68" fillId="0" borderId="10" xfId="0" applyFont="1" applyBorder="1" applyAlignment="1">
      <alignment horizontal="left" vertical="center" wrapText="1"/>
    </xf>
    <xf numFmtId="0" fontId="68" fillId="0" borderId="9" xfId="0" applyFont="1" applyBorder="1" applyAlignment="1">
      <alignment horizontal="left" vertical="center" wrapText="1"/>
    </xf>
    <xf numFmtId="0" fontId="49" fillId="0" borderId="6" xfId="0" applyFont="1" applyBorder="1" applyAlignment="1">
      <alignment horizontal="center" vertical="center"/>
    </xf>
    <xf numFmtId="0" fontId="49" fillId="0" borderId="5" xfId="0" applyFont="1" applyBorder="1" applyAlignment="1">
      <alignment horizontal="center" vertical="center"/>
    </xf>
    <xf numFmtId="0" fontId="49" fillId="0" borderId="11" xfId="0" applyFont="1" applyBorder="1" applyAlignment="1">
      <alignment horizontal="center" vertical="center"/>
    </xf>
    <xf numFmtId="0" fontId="49" fillId="0" borderId="0" xfId="0" applyFont="1" applyAlignment="1">
      <alignment horizontal="center" vertical="center"/>
    </xf>
    <xf numFmtId="0" fontId="49" fillId="0" borderId="8" xfId="0" applyFont="1" applyBorder="1" applyAlignment="1">
      <alignment horizontal="center" vertical="center"/>
    </xf>
    <xf numFmtId="0" fontId="49" fillId="0" borderId="10" xfId="0" applyFont="1" applyBorder="1" applyAlignment="1">
      <alignment horizontal="center" vertical="center"/>
    </xf>
    <xf numFmtId="183" fontId="0" fillId="0" borderId="0" xfId="0" applyNumberFormat="1" applyAlignment="1">
      <alignment horizontal="center" vertical="center"/>
    </xf>
    <xf numFmtId="183" fontId="0" fillId="0" borderId="12" xfId="0" applyNumberFormat="1" applyBorder="1" applyAlignment="1">
      <alignment horizontal="center" vertical="center"/>
    </xf>
    <xf numFmtId="183" fontId="0" fillId="0" borderId="10" xfId="0" applyNumberFormat="1" applyBorder="1" applyAlignment="1">
      <alignment horizontal="center" vertical="center"/>
    </xf>
    <xf numFmtId="183" fontId="0" fillId="0" borderId="9" xfId="0" applyNumberFormat="1" applyBorder="1" applyAlignment="1">
      <alignment horizontal="center" vertical="center"/>
    </xf>
    <xf numFmtId="0" fontId="53" fillId="0" borderId="10" xfId="0" applyFont="1" applyBorder="1" applyAlignment="1">
      <alignment horizontal="center" vertical="center"/>
    </xf>
    <xf numFmtId="0" fontId="70" fillId="2" borderId="2" xfId="0" applyFont="1" applyFill="1" applyBorder="1" applyAlignment="1">
      <alignment horizontal="left" vertical="center"/>
    </xf>
    <xf numFmtId="0" fontId="70" fillId="2" borderId="3" xfId="0" applyFont="1" applyFill="1" applyBorder="1" applyAlignment="1">
      <alignment horizontal="left" vertical="center"/>
    </xf>
    <xf numFmtId="0" fontId="70" fillId="2" borderId="4" xfId="0" applyFont="1" applyFill="1" applyBorder="1" applyAlignment="1">
      <alignment horizontal="left" vertical="center"/>
    </xf>
    <xf numFmtId="0" fontId="68" fillId="0" borderId="7" xfId="0" applyFont="1" applyBorder="1" applyAlignment="1">
      <alignment horizontal="center" vertical="center"/>
    </xf>
    <xf numFmtId="0" fontId="68" fillId="0" borderId="9" xfId="0" applyFont="1" applyBorder="1" applyAlignment="1">
      <alignment horizontal="center" vertical="center"/>
    </xf>
    <xf numFmtId="0" fontId="53" fillId="0" borderId="7" xfId="0" applyFont="1" applyBorder="1" applyAlignment="1">
      <alignment horizontal="center" vertical="center"/>
    </xf>
    <xf numFmtId="0" fontId="53" fillId="0" borderId="9" xfId="0" applyFont="1" applyBorder="1" applyAlignment="1">
      <alignment horizontal="center" vertical="center"/>
    </xf>
    <xf numFmtId="0" fontId="68" fillId="0" borderId="11" xfId="0" applyFont="1" applyBorder="1" applyAlignment="1">
      <alignment horizontal="center" vertical="center"/>
    </xf>
    <xf numFmtId="0" fontId="68" fillId="0" borderId="12" xfId="0" applyFont="1" applyBorder="1" applyAlignment="1">
      <alignment horizontal="center" vertical="center"/>
    </xf>
    <xf numFmtId="0" fontId="46" fillId="0" borderId="0" xfId="0" applyFont="1" applyAlignment="1">
      <alignment horizontal="left" vertical="center"/>
    </xf>
    <xf numFmtId="0" fontId="71" fillId="2" borderId="6" xfId="0" applyFont="1" applyFill="1" applyBorder="1" applyAlignment="1">
      <alignment horizontal="center" vertical="center" textRotation="255"/>
    </xf>
    <xf numFmtId="0" fontId="71" fillId="2" borderId="7" xfId="0" applyFont="1" applyFill="1" applyBorder="1" applyAlignment="1">
      <alignment horizontal="center" vertical="center" textRotation="255"/>
    </xf>
    <xf numFmtId="0" fontId="71" fillId="2" borderId="11" xfId="0" applyFont="1" applyFill="1" applyBorder="1" applyAlignment="1">
      <alignment horizontal="center" vertical="center" textRotation="255"/>
    </xf>
    <xf numFmtId="0" fontId="71" fillId="2" borderId="12" xfId="0" applyFont="1" applyFill="1" applyBorder="1" applyAlignment="1">
      <alignment horizontal="center" vertical="center" textRotation="255"/>
    </xf>
    <xf numFmtId="0" fontId="71" fillId="2" borderId="8" xfId="0" applyFont="1" applyFill="1" applyBorder="1" applyAlignment="1">
      <alignment horizontal="center" vertical="center" textRotation="255"/>
    </xf>
    <xf numFmtId="0" fontId="71" fillId="2" borderId="9" xfId="0" applyFont="1" applyFill="1" applyBorder="1" applyAlignment="1">
      <alignment horizontal="center" vertical="center" textRotation="255"/>
    </xf>
    <xf numFmtId="0" fontId="59" fillId="0" borderId="10" xfId="0" applyFont="1" applyBorder="1" applyAlignment="1">
      <alignment horizontal="left" vertical="center"/>
    </xf>
    <xf numFmtId="0" fontId="59" fillId="0" borderId="9" xfId="0" applyFont="1" applyBorder="1" applyAlignment="1">
      <alignment horizontal="left" vertical="center"/>
    </xf>
    <xf numFmtId="0" fontId="53" fillId="0" borderId="7" xfId="0" applyFont="1" applyBorder="1" applyAlignment="1">
      <alignment horizontal="left" vertical="center"/>
    </xf>
    <xf numFmtId="0" fontId="68" fillId="2" borderId="6" xfId="0" applyFont="1" applyFill="1" applyBorder="1" applyAlignment="1">
      <alignment horizontal="center" vertical="center" textRotation="255"/>
    </xf>
    <xf numFmtId="0" fontId="68" fillId="2" borderId="7" xfId="0" applyFont="1" applyFill="1" applyBorder="1" applyAlignment="1">
      <alignment horizontal="center" vertical="center" textRotation="255"/>
    </xf>
    <xf numFmtId="0" fontId="68" fillId="2" borderId="11" xfId="0" applyFont="1" applyFill="1" applyBorder="1" applyAlignment="1">
      <alignment horizontal="center" vertical="center" textRotation="255"/>
    </xf>
    <xf numFmtId="0" fontId="68" fillId="2" borderId="12" xfId="0" applyFont="1" applyFill="1" applyBorder="1" applyAlignment="1">
      <alignment horizontal="center" vertical="center" textRotation="255"/>
    </xf>
    <xf numFmtId="0" fontId="68" fillId="2" borderId="8" xfId="0" applyFont="1" applyFill="1" applyBorder="1" applyAlignment="1">
      <alignment horizontal="center" vertical="center" textRotation="255"/>
    </xf>
    <xf numFmtId="0" fontId="68" fillId="2" borderId="9" xfId="0" applyFont="1" applyFill="1" applyBorder="1" applyAlignment="1">
      <alignment horizontal="center" vertical="center" textRotation="255"/>
    </xf>
    <xf numFmtId="0" fontId="59" fillId="0" borderId="5" xfId="0" applyFont="1" applyBorder="1" applyAlignment="1">
      <alignment horizontal="left" vertical="center"/>
    </xf>
    <xf numFmtId="0" fontId="67" fillId="2" borderId="6" xfId="0" applyFont="1" applyFill="1" applyBorder="1" applyAlignment="1">
      <alignment horizontal="center" vertical="center" wrapText="1"/>
    </xf>
    <xf numFmtId="0" fontId="67" fillId="2" borderId="5" xfId="0" applyFont="1" applyFill="1" applyBorder="1" applyAlignment="1">
      <alignment horizontal="center" vertical="center" wrapText="1"/>
    </xf>
    <xf numFmtId="0" fontId="67" fillId="2" borderId="7" xfId="0" applyFont="1" applyFill="1" applyBorder="1" applyAlignment="1">
      <alignment horizontal="center" vertical="center" wrapText="1"/>
    </xf>
    <xf numFmtId="0" fontId="67" fillId="2" borderId="8" xfId="0" applyFont="1" applyFill="1" applyBorder="1" applyAlignment="1">
      <alignment horizontal="center" vertical="center" wrapText="1"/>
    </xf>
    <xf numFmtId="0" fontId="67" fillId="2" borderId="10" xfId="0" applyFont="1" applyFill="1" applyBorder="1" applyAlignment="1">
      <alignment horizontal="center" vertical="center" wrapText="1"/>
    </xf>
    <xf numFmtId="0" fontId="67" fillId="2" borderId="9" xfId="0" applyFont="1" applyFill="1" applyBorder="1" applyAlignment="1">
      <alignment horizontal="center" vertical="center" wrapText="1"/>
    </xf>
    <xf numFmtId="0" fontId="0" fillId="0" borderId="6" xfId="0" applyBorder="1" applyAlignment="1">
      <alignment horizontal="left" vertical="top"/>
    </xf>
    <xf numFmtId="0" fontId="0" fillId="0" borderId="5" xfId="0" applyBorder="1" applyAlignment="1">
      <alignment horizontal="left" vertical="top"/>
    </xf>
    <xf numFmtId="0" fontId="0" fillId="0" borderId="7" xfId="0" applyBorder="1" applyAlignment="1">
      <alignment horizontal="left" vertical="top"/>
    </xf>
    <xf numFmtId="0" fontId="0" fillId="0" borderId="11" xfId="0" applyBorder="1" applyAlignment="1">
      <alignment horizontal="left" vertical="top"/>
    </xf>
    <xf numFmtId="0" fontId="0" fillId="0" borderId="0" xfId="0" applyAlignment="1">
      <alignment horizontal="left" vertical="top"/>
    </xf>
    <xf numFmtId="0" fontId="0" fillId="0" borderId="12" xfId="0" applyBorder="1" applyAlignment="1">
      <alignment horizontal="left" vertical="top"/>
    </xf>
    <xf numFmtId="0" fontId="0" fillId="0" borderId="8" xfId="0" applyBorder="1" applyAlignment="1">
      <alignment horizontal="left" vertical="top"/>
    </xf>
    <xf numFmtId="0" fontId="0" fillId="0" borderId="10" xfId="0" applyBorder="1" applyAlignment="1">
      <alignment horizontal="left" vertical="top"/>
    </xf>
    <xf numFmtId="0" fontId="0" fillId="0" borderId="9" xfId="0" applyBorder="1" applyAlignment="1">
      <alignment horizontal="left" vertical="top"/>
    </xf>
    <xf numFmtId="0" fontId="68" fillId="2" borderId="6" xfId="0" applyFont="1" applyFill="1" applyBorder="1" applyAlignment="1">
      <alignment horizontal="left" vertical="center"/>
    </xf>
    <xf numFmtId="0" fontId="68" fillId="2" borderId="5" xfId="0" applyFont="1" applyFill="1" applyBorder="1" applyAlignment="1">
      <alignment horizontal="left" vertical="center"/>
    </xf>
    <xf numFmtId="0" fontId="68" fillId="2" borderId="7" xfId="0" applyFont="1" applyFill="1" applyBorder="1" applyAlignment="1">
      <alignment horizontal="left" vertical="center"/>
    </xf>
    <xf numFmtId="0" fontId="53" fillId="0" borderId="6" xfId="0" applyFont="1" applyBorder="1" applyAlignment="1">
      <alignment horizontal="center" vertical="center"/>
    </xf>
    <xf numFmtId="0" fontId="59" fillId="0" borderId="7" xfId="0" applyFont="1" applyBorder="1" applyAlignment="1">
      <alignment horizontal="left" vertical="center"/>
    </xf>
    <xf numFmtId="0" fontId="67" fillId="2" borderId="6" xfId="0" applyFont="1" applyFill="1" applyBorder="1" applyAlignment="1">
      <alignment horizontal="center" vertical="center" textRotation="255"/>
    </xf>
    <xf numFmtId="0" fontId="67" fillId="2" borderId="7" xfId="0" applyFont="1" applyFill="1" applyBorder="1" applyAlignment="1">
      <alignment horizontal="center" vertical="center" textRotation="255"/>
    </xf>
    <xf numFmtId="0" fontId="67" fillId="2" borderId="8" xfId="0" applyFont="1" applyFill="1" applyBorder="1" applyAlignment="1">
      <alignment horizontal="center" vertical="center" textRotation="255"/>
    </xf>
    <xf numFmtId="0" fontId="67" fillId="2" borderId="9" xfId="0" applyFont="1" applyFill="1" applyBorder="1" applyAlignment="1">
      <alignment horizontal="center" vertical="center" textRotation="255"/>
    </xf>
    <xf numFmtId="0" fontId="49" fillId="0" borderId="11" xfId="0" applyFont="1" applyBorder="1" applyAlignment="1">
      <alignment horizontal="center" vertical="center" textRotation="255"/>
    </xf>
    <xf numFmtId="0" fontId="49" fillId="0" borderId="6" xfId="0" applyFont="1" applyBorder="1" applyAlignment="1">
      <alignment horizontal="center" vertical="center" textRotation="255"/>
    </xf>
    <xf numFmtId="0" fontId="59" fillId="0" borderId="12" xfId="0" applyFont="1" applyBorder="1" applyAlignment="1">
      <alignment horizontal="left" vertical="center"/>
    </xf>
    <xf numFmtId="0" fontId="71" fillId="2" borderId="6" xfId="0" applyFont="1" applyFill="1" applyBorder="1" applyAlignment="1">
      <alignment horizontal="center" vertical="center" textRotation="255" shrinkToFit="1"/>
    </xf>
    <xf numFmtId="0" fontId="71" fillId="2" borderId="7" xfId="0" applyFont="1" applyFill="1" applyBorder="1" applyAlignment="1">
      <alignment horizontal="center" vertical="center" textRotation="255" shrinkToFit="1"/>
    </xf>
    <xf numFmtId="0" fontId="71" fillId="2" borderId="11" xfId="0" applyFont="1" applyFill="1" applyBorder="1" applyAlignment="1">
      <alignment horizontal="center" vertical="center" textRotation="255" shrinkToFit="1"/>
    </xf>
    <xf numFmtId="0" fontId="71" fillId="2" borderId="12" xfId="0" applyFont="1" applyFill="1" applyBorder="1" applyAlignment="1">
      <alignment horizontal="center" vertical="center" textRotation="255" shrinkToFit="1"/>
    </xf>
    <xf numFmtId="0" fontId="71" fillId="2" borderId="8" xfId="0" applyFont="1" applyFill="1" applyBorder="1" applyAlignment="1">
      <alignment horizontal="center" vertical="center" textRotation="255" shrinkToFit="1"/>
    </xf>
    <xf numFmtId="0" fontId="71" fillId="2" borderId="9" xfId="0" applyFont="1" applyFill="1" applyBorder="1" applyAlignment="1">
      <alignment horizontal="center" vertical="center" textRotation="255" shrinkToFit="1"/>
    </xf>
    <xf numFmtId="0" fontId="67" fillId="2" borderId="11" xfId="0" applyFont="1" applyFill="1" applyBorder="1" applyAlignment="1">
      <alignment horizontal="center" vertical="center" textRotation="255"/>
    </xf>
    <xf numFmtId="0" fontId="67" fillId="2" borderId="12" xfId="0" applyFont="1" applyFill="1" applyBorder="1" applyAlignment="1">
      <alignment horizontal="center" vertical="center" textRotation="255"/>
    </xf>
    <xf numFmtId="0" fontId="52" fillId="0" borderId="0" xfId="0" applyFont="1" applyAlignment="1">
      <alignment horizontal="left" vertical="center"/>
    </xf>
    <xf numFmtId="0" fontId="52" fillId="0" borderId="10" xfId="0" applyFont="1" applyBorder="1" applyAlignment="1">
      <alignment horizontal="left" vertical="center"/>
    </xf>
    <xf numFmtId="0" fontId="0" fillId="0" borderId="9" xfId="0" applyBorder="1" applyAlignment="1">
      <alignment horizontal="left" vertical="center"/>
    </xf>
    <xf numFmtId="0" fontId="0" fillId="2" borderId="11" xfId="0" applyFill="1"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8" xfId="0" applyFill="1" applyBorder="1" applyAlignment="1">
      <alignment horizontal="center" vertical="center"/>
    </xf>
    <xf numFmtId="0" fontId="0" fillId="2" borderId="10" xfId="0" applyFill="1" applyBorder="1" applyAlignment="1">
      <alignment horizontal="center" vertical="center"/>
    </xf>
    <xf numFmtId="0" fontId="0" fillId="2" borderId="9" xfId="0" applyFill="1"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2" borderId="6"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2" borderId="44" xfId="0" applyFill="1" applyBorder="1" applyAlignment="1">
      <alignment horizontal="center" vertical="center"/>
    </xf>
    <xf numFmtId="0" fontId="0" fillId="2" borderId="42" xfId="0" applyFill="1" applyBorder="1" applyAlignment="1">
      <alignment horizontal="center" vertical="center"/>
    </xf>
    <xf numFmtId="0" fontId="0" fillId="2" borderId="45" xfId="0" applyFill="1" applyBorder="1" applyAlignment="1">
      <alignment horizontal="center" vertical="center"/>
    </xf>
    <xf numFmtId="0" fontId="47" fillId="0" borderId="0" xfId="0" applyFont="1" applyAlignment="1">
      <alignment horizontal="left" vertical="center"/>
    </xf>
    <xf numFmtId="178" fontId="0" fillId="0" borderId="42" xfId="0" applyNumberFormat="1" applyBorder="1" applyAlignment="1">
      <alignment horizontal="distributed" vertical="center"/>
    </xf>
    <xf numFmtId="58" fontId="0" fillId="0" borderId="5" xfId="0" applyNumberFormat="1" applyBorder="1" applyAlignment="1">
      <alignment horizontal="center" vertical="center"/>
    </xf>
    <xf numFmtId="0" fontId="64" fillId="0" borderId="6" xfId="0" applyFont="1" applyBorder="1" applyAlignment="1">
      <alignment horizontal="center" vertical="center"/>
    </xf>
    <xf numFmtId="0" fontId="64" fillId="0" borderId="5" xfId="0" applyFont="1" applyBorder="1" applyAlignment="1">
      <alignment horizontal="center" vertical="center"/>
    </xf>
    <xf numFmtId="0" fontId="64" fillId="0" borderId="44" xfId="0" applyFont="1" applyBorder="1" applyAlignment="1">
      <alignment horizontal="center" vertical="center"/>
    </xf>
    <xf numFmtId="0" fontId="64" fillId="0" borderId="42" xfId="0" applyFont="1" applyBorder="1" applyAlignment="1">
      <alignment horizontal="center" vertical="center"/>
    </xf>
    <xf numFmtId="0" fontId="0" fillId="2" borderId="11" xfId="0" applyFill="1" applyBorder="1" applyAlignment="1">
      <alignment horizontal="center" vertical="center" wrapText="1"/>
    </xf>
    <xf numFmtId="0" fontId="0" fillId="0" borderId="4" xfId="0" applyBorder="1" applyAlignment="1">
      <alignment horizontal="center" vertical="center"/>
    </xf>
    <xf numFmtId="0" fontId="0" fillId="0" borderId="7" xfId="0" applyBorder="1" applyAlignment="1">
      <alignment horizontal="left" vertical="center"/>
    </xf>
    <xf numFmtId="0" fontId="0" fillId="0" borderId="42" xfId="0" applyBorder="1" applyAlignment="1">
      <alignment horizontal="left" vertical="center"/>
    </xf>
    <xf numFmtId="0" fontId="0" fillId="0" borderId="45" xfId="0" applyBorder="1" applyAlignment="1">
      <alignment horizontal="left" vertical="center"/>
    </xf>
    <xf numFmtId="0" fontId="53" fillId="0" borderId="11" xfId="0" applyFont="1" applyBorder="1" applyAlignment="1">
      <alignment horizontal="center" vertical="center"/>
    </xf>
    <xf numFmtId="0" fontId="53" fillId="0" borderId="12" xfId="0" applyFont="1" applyBorder="1" applyAlignment="1">
      <alignment horizontal="center" vertical="center"/>
    </xf>
    <xf numFmtId="0" fontId="53" fillId="0" borderId="8" xfId="0" applyFont="1" applyBorder="1" applyAlignment="1">
      <alignment horizontal="center" vertical="center"/>
    </xf>
    <xf numFmtId="178" fontId="0" fillId="0" borderId="6" xfId="0" applyNumberFormat="1" applyBorder="1" applyAlignment="1">
      <alignment horizontal="center" vertical="center"/>
    </xf>
    <xf numFmtId="178" fontId="0" fillId="0" borderId="5" xfId="0" applyNumberFormat="1" applyBorder="1" applyAlignment="1">
      <alignment horizontal="center" vertical="center"/>
    </xf>
    <xf numFmtId="178" fontId="0" fillId="0" borderId="7" xfId="0" applyNumberFormat="1" applyBorder="1" applyAlignment="1">
      <alignment horizontal="center" vertical="center"/>
    </xf>
    <xf numFmtId="178" fontId="0" fillId="0" borderId="8" xfId="0" applyNumberFormat="1" applyBorder="1" applyAlignment="1">
      <alignment horizontal="center" vertical="center"/>
    </xf>
    <xf numFmtId="178" fontId="0" fillId="0" borderId="10" xfId="0" applyNumberFormat="1" applyBorder="1" applyAlignment="1">
      <alignment horizontal="center" vertical="center"/>
    </xf>
    <xf numFmtId="178" fontId="0" fillId="0" borderId="9" xfId="0" applyNumberFormat="1" applyBorder="1" applyAlignment="1">
      <alignment horizontal="center" vertical="center"/>
    </xf>
    <xf numFmtId="178" fontId="0" fillId="0" borderId="0" xfId="0" applyNumberFormat="1" applyAlignment="1">
      <alignment horizontal="center" vertical="center"/>
    </xf>
    <xf numFmtId="178" fontId="0" fillId="0" borderId="12" xfId="0" applyNumberFormat="1" applyBorder="1" applyAlignment="1">
      <alignment horizontal="center" vertical="center"/>
    </xf>
    <xf numFmtId="0" fontId="0" fillId="0" borderId="6" xfId="0" applyBorder="1" applyAlignment="1">
      <alignment horizontal="center" vertical="center" textRotation="255"/>
    </xf>
    <xf numFmtId="0" fontId="0" fillId="0" borderId="7"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8" xfId="0" applyBorder="1" applyAlignment="1">
      <alignment horizontal="center" vertical="center" textRotation="255"/>
    </xf>
    <xf numFmtId="0" fontId="0" fillId="0" borderId="9" xfId="0" applyBorder="1" applyAlignment="1">
      <alignment horizontal="center" vertical="center" textRotation="255"/>
    </xf>
    <xf numFmtId="0" fontId="49" fillId="2" borderId="11" xfId="0" applyFont="1" applyFill="1" applyBorder="1" applyAlignment="1">
      <alignment horizontal="center" vertical="center" wrapText="1"/>
    </xf>
    <xf numFmtId="0" fontId="49" fillId="2" borderId="0" xfId="0" applyFont="1" applyFill="1" applyAlignment="1">
      <alignment horizontal="center" vertical="center" wrapText="1"/>
    </xf>
    <xf numFmtId="0" fontId="49" fillId="2" borderId="12" xfId="0" applyFont="1" applyFill="1" applyBorder="1" applyAlignment="1">
      <alignment horizontal="center" vertical="center" wrapText="1"/>
    </xf>
    <xf numFmtId="0" fontId="49" fillId="2" borderId="8" xfId="0" applyFont="1" applyFill="1" applyBorder="1" applyAlignment="1">
      <alignment horizontal="center" vertical="center" wrapText="1"/>
    </xf>
    <xf numFmtId="0" fontId="49" fillId="2" borderId="10" xfId="0" applyFont="1" applyFill="1" applyBorder="1" applyAlignment="1">
      <alignment horizontal="center" vertical="center" wrapText="1"/>
    </xf>
    <xf numFmtId="0" fontId="49" fillId="2" borderId="9" xfId="0" applyFont="1" applyFill="1" applyBorder="1" applyAlignment="1">
      <alignment horizontal="center" vertical="center" wrapText="1"/>
    </xf>
    <xf numFmtId="178" fontId="0" fillId="0" borderId="0" xfId="0" applyNumberFormat="1" applyAlignment="1">
      <alignment horizontal="left" vertical="center"/>
    </xf>
    <xf numFmtId="178" fontId="0" fillId="0" borderId="12" xfId="0" applyNumberFormat="1" applyBorder="1" applyAlignment="1">
      <alignment horizontal="left" vertical="center"/>
    </xf>
    <xf numFmtId="178" fontId="0" fillId="0" borderId="10" xfId="0" applyNumberFormat="1" applyBorder="1" applyAlignment="1">
      <alignment horizontal="left" vertical="center"/>
    </xf>
    <xf numFmtId="178" fontId="0" fillId="0" borderId="9" xfId="0" applyNumberFormat="1" applyBorder="1" applyAlignment="1">
      <alignment horizontal="left" vertical="center"/>
    </xf>
    <xf numFmtId="0" fontId="50" fillId="0" borderId="7" xfId="0" applyFont="1" applyBorder="1" applyAlignment="1">
      <alignment horizontal="center" vertical="center"/>
    </xf>
    <xf numFmtId="0" fontId="50" fillId="0" borderId="9" xfId="0" applyFont="1" applyBorder="1" applyAlignment="1">
      <alignment horizontal="center" vertical="center"/>
    </xf>
    <xf numFmtId="0" fontId="51" fillId="0" borderId="0" xfId="0" applyFont="1" applyAlignment="1">
      <alignment horizontal="center"/>
    </xf>
    <xf numFmtId="0" fontId="52" fillId="0" borderId="0" xfId="0" applyFont="1" applyAlignment="1">
      <alignment horizontal="center" vertical="center"/>
    </xf>
    <xf numFmtId="0" fontId="51" fillId="0" borderId="5" xfId="0" applyFont="1" applyBorder="1" applyAlignment="1">
      <alignment horizontal="left"/>
    </xf>
    <xf numFmtId="0" fontId="51" fillId="0" borderId="0" xfId="0" applyFont="1" applyAlignment="1">
      <alignment horizontal="left"/>
    </xf>
    <xf numFmtId="0" fontId="53" fillId="0" borderId="6" xfId="0" applyFont="1" applyBorder="1" applyAlignment="1">
      <alignment horizontal="left" vertical="top" wrapText="1"/>
    </xf>
    <xf numFmtId="0" fontId="53" fillId="0" borderId="5" xfId="0" applyFont="1" applyBorder="1" applyAlignment="1">
      <alignment horizontal="left" vertical="top" wrapText="1"/>
    </xf>
    <xf numFmtId="0" fontId="53" fillId="0" borderId="7" xfId="0" applyFont="1" applyBorder="1" applyAlignment="1">
      <alignment horizontal="left" vertical="top" wrapText="1"/>
    </xf>
    <xf numFmtId="0" fontId="53" fillId="0" borderId="11" xfId="0" applyFont="1" applyBorder="1" applyAlignment="1">
      <alignment horizontal="left" vertical="top" wrapText="1"/>
    </xf>
    <xf numFmtId="0" fontId="53" fillId="0" borderId="0" xfId="0" applyFont="1" applyAlignment="1">
      <alignment horizontal="left" vertical="top" wrapText="1"/>
    </xf>
    <xf numFmtId="0" fontId="53" fillId="0" borderId="12" xfId="0" applyFont="1" applyBorder="1" applyAlignment="1">
      <alignment horizontal="left" vertical="top" wrapText="1"/>
    </xf>
    <xf numFmtId="0" fontId="53" fillId="0" borderId="8" xfId="0" applyFont="1" applyBorder="1" applyAlignment="1">
      <alignment horizontal="left" vertical="top" wrapText="1"/>
    </xf>
    <xf numFmtId="0" fontId="53" fillId="0" borderId="10" xfId="0" applyFont="1" applyBorder="1" applyAlignment="1">
      <alignment horizontal="left" vertical="top" wrapText="1"/>
    </xf>
    <xf numFmtId="0" fontId="53" fillId="0" borderId="9" xfId="0" applyFont="1" applyBorder="1" applyAlignment="1">
      <alignment horizontal="left" vertical="top" wrapText="1"/>
    </xf>
    <xf numFmtId="0" fontId="49" fillId="0" borderId="1" xfId="0" applyFont="1" applyBorder="1" applyAlignment="1">
      <alignment horizontal="center" vertical="center" wrapText="1"/>
    </xf>
    <xf numFmtId="58" fontId="0" fillId="0" borderId="1" xfId="0" applyNumberFormat="1" applyBorder="1" applyAlignment="1">
      <alignment horizontal="center" vertical="center"/>
    </xf>
    <xf numFmtId="0" fontId="50" fillId="0" borderId="6" xfId="0" applyFont="1" applyBorder="1" applyAlignment="1">
      <alignment horizontal="center" vertical="center"/>
    </xf>
    <xf numFmtId="0" fontId="50" fillId="0" borderId="5" xfId="0" applyFont="1" applyBorder="1" applyAlignment="1">
      <alignment horizontal="center" vertical="center"/>
    </xf>
    <xf numFmtId="0" fontId="50" fillId="0" borderId="8" xfId="0" applyFont="1" applyBorder="1" applyAlignment="1">
      <alignment horizontal="center" vertical="center"/>
    </xf>
    <xf numFmtId="0" fontId="50" fillId="0" borderId="10" xfId="0" applyFont="1" applyBorder="1" applyAlignment="1">
      <alignment horizontal="center" vertical="center"/>
    </xf>
    <xf numFmtId="0" fontId="50" fillId="0" borderId="6" xfId="0" applyFont="1" applyBorder="1" applyAlignment="1">
      <alignment horizontal="left" vertical="top"/>
    </xf>
    <xf numFmtId="0" fontId="50" fillId="0" borderId="5" xfId="0" applyFont="1" applyBorder="1" applyAlignment="1">
      <alignment horizontal="left" vertical="top"/>
    </xf>
    <xf numFmtId="0" fontId="50" fillId="0" borderId="7" xfId="0" applyFont="1" applyBorder="1" applyAlignment="1">
      <alignment horizontal="left" vertical="top"/>
    </xf>
    <xf numFmtId="0" fontId="49" fillId="0" borderId="67" xfId="0" applyFont="1" applyBorder="1" applyAlignment="1">
      <alignment horizontal="center" vertical="center" wrapText="1"/>
    </xf>
    <xf numFmtId="176" fontId="0" fillId="0" borderId="0" xfId="0" applyNumberFormat="1" applyAlignment="1">
      <alignment horizontal="center" vertical="center"/>
    </xf>
    <xf numFmtId="0" fontId="13" fillId="0" borderId="67" xfId="0" applyFont="1" applyBorder="1" applyAlignment="1">
      <alignment horizontal="center" vertical="center" wrapText="1"/>
    </xf>
    <xf numFmtId="176" fontId="0" fillId="0" borderId="8" xfId="0" applyNumberFormat="1" applyBorder="1" applyAlignment="1">
      <alignment horizontal="center" vertical="center"/>
    </xf>
    <xf numFmtId="176" fontId="0" fillId="0" borderId="10" xfId="0" applyNumberFormat="1" applyBorder="1" applyAlignment="1">
      <alignment horizontal="center" vertical="center"/>
    </xf>
    <xf numFmtId="176" fontId="0" fillId="0" borderId="9" xfId="0" applyNumberFormat="1" applyBorder="1" applyAlignment="1">
      <alignment horizontal="center" vertical="center"/>
    </xf>
    <xf numFmtId="176" fontId="0" fillId="0" borderId="3" xfId="0" applyNumberFormat="1" applyBorder="1" applyAlignment="1">
      <alignment horizontal="distributed" vertical="center"/>
    </xf>
    <xf numFmtId="0" fontId="52" fillId="0" borderId="8" xfId="0" applyFont="1" applyBorder="1" applyAlignment="1">
      <alignment horizontal="left" vertical="center"/>
    </xf>
    <xf numFmtId="0" fontId="0" fillId="0" borderId="1" xfId="0" applyBorder="1" applyAlignment="1">
      <alignment horizontal="left" vertical="center"/>
    </xf>
    <xf numFmtId="0" fontId="66" fillId="2" borderId="2" xfId="0" applyFont="1" applyFill="1" applyBorder="1" applyAlignment="1">
      <alignment horizontal="left" vertical="center"/>
    </xf>
    <xf numFmtId="0" fontId="66" fillId="2" borderId="3" xfId="0" applyFont="1" applyFill="1" applyBorder="1" applyAlignment="1">
      <alignment horizontal="left" vertical="center"/>
    </xf>
    <xf numFmtId="0" fontId="66" fillId="2" borderId="4" xfId="0" applyFont="1" applyFill="1" applyBorder="1" applyAlignment="1">
      <alignment horizontal="left" vertical="center"/>
    </xf>
    <xf numFmtId="0" fontId="67" fillId="2" borderId="2" xfId="0" applyFont="1" applyFill="1" applyBorder="1" applyAlignment="1">
      <alignment horizontal="center" vertical="center"/>
    </xf>
    <xf numFmtId="0" fontId="67" fillId="2" borderId="3" xfId="0" applyFont="1" applyFill="1" applyBorder="1" applyAlignment="1">
      <alignment horizontal="center" vertical="center"/>
    </xf>
    <xf numFmtId="0" fontId="67" fillId="2" borderId="4" xfId="0" applyFont="1" applyFill="1" applyBorder="1" applyAlignment="1">
      <alignment horizontal="center" vertical="center"/>
    </xf>
    <xf numFmtId="0" fontId="68" fillId="2" borderId="2" xfId="0" applyFont="1" applyFill="1" applyBorder="1" applyAlignment="1">
      <alignment horizontal="center" vertical="center"/>
    </xf>
    <xf numFmtId="0" fontId="68" fillId="2" borderId="3" xfId="0" applyFont="1" applyFill="1" applyBorder="1" applyAlignment="1">
      <alignment horizontal="center" vertical="center"/>
    </xf>
    <xf numFmtId="0" fontId="68" fillId="2" borderId="4" xfId="0" applyFont="1" applyFill="1" applyBorder="1" applyAlignment="1">
      <alignment horizontal="center" vertical="center"/>
    </xf>
    <xf numFmtId="0" fontId="0" fillId="0" borderId="6" xfId="0" applyBorder="1" applyAlignment="1">
      <alignment horizontal="center" vertical="top"/>
    </xf>
    <xf numFmtId="0" fontId="0" fillId="0" borderId="5" xfId="0" applyBorder="1" applyAlignment="1">
      <alignment horizontal="center" vertical="top"/>
    </xf>
    <xf numFmtId="0" fontId="0" fillId="0" borderId="7" xfId="0" applyBorder="1" applyAlignment="1">
      <alignment horizontal="center" vertical="top"/>
    </xf>
    <xf numFmtId="0" fontId="0" fillId="0" borderId="11" xfId="0" applyBorder="1" applyAlignment="1">
      <alignment horizontal="center" vertical="top"/>
    </xf>
    <xf numFmtId="0" fontId="0" fillId="0" borderId="0" xfId="0" applyAlignment="1">
      <alignment horizontal="center" vertical="top"/>
    </xf>
    <xf numFmtId="0" fontId="0" fillId="0" borderId="12" xfId="0" applyBorder="1" applyAlignment="1">
      <alignment horizontal="center" vertical="top"/>
    </xf>
    <xf numFmtId="0" fontId="0" fillId="0" borderId="8" xfId="0" applyBorder="1" applyAlignment="1">
      <alignment horizontal="center" vertical="top"/>
    </xf>
    <xf numFmtId="0" fontId="0" fillId="0" borderId="10" xfId="0" applyBorder="1" applyAlignment="1">
      <alignment horizontal="center" vertical="top"/>
    </xf>
    <xf numFmtId="0" fontId="0" fillId="0" borderId="9" xfId="0" applyBorder="1" applyAlignment="1">
      <alignment horizontal="center" vertical="top"/>
    </xf>
    <xf numFmtId="0" fontId="51" fillId="0" borderId="10" xfId="0" applyFont="1" applyBorder="1" applyAlignment="1">
      <alignment horizontal="left"/>
    </xf>
    <xf numFmtId="0" fontId="67" fillId="0" borderId="0" xfId="0" applyFont="1" applyAlignment="1">
      <alignment horizontal="center"/>
    </xf>
    <xf numFmtId="0" fontId="67" fillId="0" borderId="10" xfId="0" applyFont="1" applyBorder="1" applyAlignment="1">
      <alignment horizontal="center"/>
    </xf>
    <xf numFmtId="0" fontId="67" fillId="0" borderId="0" xfId="0" applyFont="1" applyAlignment="1">
      <alignment horizontal="left"/>
    </xf>
    <xf numFmtId="0" fontId="67" fillId="0" borderId="10" xfId="0" applyFont="1" applyBorder="1" applyAlignment="1">
      <alignment horizontal="left"/>
    </xf>
    <xf numFmtId="0" fontId="68" fillId="2" borderId="6" xfId="0" applyFont="1" applyFill="1" applyBorder="1" applyAlignment="1">
      <alignment horizontal="center" vertical="center"/>
    </xf>
    <xf numFmtId="0" fontId="68" fillId="2" borderId="5" xfId="0" applyFont="1" applyFill="1" applyBorder="1" applyAlignment="1">
      <alignment horizontal="center" vertical="center"/>
    </xf>
    <xf numFmtId="0" fontId="68" fillId="2" borderId="7" xfId="0" applyFont="1" applyFill="1" applyBorder="1" applyAlignment="1">
      <alignment horizontal="center" vertical="center"/>
    </xf>
    <xf numFmtId="0" fontId="68" fillId="2" borderId="8" xfId="0" applyFont="1" applyFill="1" applyBorder="1" applyAlignment="1">
      <alignment horizontal="center" vertical="center"/>
    </xf>
    <xf numFmtId="0" fontId="68" fillId="2" borderId="10" xfId="0" applyFont="1" applyFill="1" applyBorder="1" applyAlignment="1">
      <alignment horizontal="center" vertical="center"/>
    </xf>
    <xf numFmtId="0" fontId="68" fillId="2" borderId="9" xfId="0" applyFont="1" applyFill="1" applyBorder="1" applyAlignment="1">
      <alignment horizontal="center" vertical="center"/>
    </xf>
    <xf numFmtId="0" fontId="0" fillId="0" borderId="6" xfId="0" applyBorder="1" applyAlignment="1">
      <alignment horizontal="left" vertical="center"/>
    </xf>
    <xf numFmtId="0" fontId="0" fillId="0" borderId="8" xfId="0" applyBorder="1" applyAlignment="1">
      <alignment horizontal="left" vertical="center"/>
    </xf>
    <xf numFmtId="0" fontId="68" fillId="2" borderId="8" xfId="0" applyFont="1" applyFill="1" applyBorder="1" applyAlignment="1">
      <alignment horizontal="left" vertical="center"/>
    </xf>
    <xf numFmtId="0" fontId="68" fillId="2" borderId="10" xfId="0" applyFont="1" applyFill="1" applyBorder="1" applyAlignment="1">
      <alignment horizontal="left" vertical="center"/>
    </xf>
    <xf numFmtId="0" fontId="68" fillId="2" borderId="9" xfId="0" applyFont="1" applyFill="1" applyBorder="1" applyAlignment="1">
      <alignment horizontal="left" vertical="center"/>
    </xf>
    <xf numFmtId="0" fontId="0" fillId="0" borderId="6" xfId="0" applyBorder="1" applyAlignment="1">
      <alignment horizontal="left" vertical="top"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13" fillId="0" borderId="64" xfId="2" applyBorder="1" applyAlignment="1">
      <alignment horizontal="center" vertical="center"/>
    </xf>
    <xf numFmtId="0" fontId="13" fillId="0" borderId="57" xfId="2" applyBorder="1" applyAlignment="1">
      <alignment horizontal="center" vertical="center"/>
    </xf>
    <xf numFmtId="0" fontId="13" fillId="0" borderId="58" xfId="2" applyBorder="1" applyAlignment="1">
      <alignment horizontal="center" vertical="center"/>
    </xf>
    <xf numFmtId="178" fontId="13" fillId="0" borderId="57" xfId="2" applyNumberFormat="1" applyBorder="1" applyAlignment="1">
      <alignment horizontal="center" vertical="center"/>
    </xf>
    <xf numFmtId="178" fontId="13" fillId="0" borderId="58" xfId="2" applyNumberFormat="1" applyBorder="1" applyAlignment="1">
      <alignment horizontal="center" vertical="center"/>
    </xf>
    <xf numFmtId="0" fontId="13" fillId="0" borderId="31" xfId="2" applyBorder="1" applyAlignment="1">
      <alignment horizontal="center" vertical="center"/>
    </xf>
    <xf numFmtId="0" fontId="13" fillId="0" borderId="15" xfId="2" applyBorder="1" applyAlignment="1">
      <alignment horizontal="center" vertical="center"/>
    </xf>
    <xf numFmtId="0" fontId="13" fillId="4" borderId="39" xfId="2" applyFill="1" applyBorder="1" applyAlignment="1">
      <alignment horizontal="left" vertical="top" wrapText="1"/>
    </xf>
    <xf numFmtId="0" fontId="13" fillId="4" borderId="0" xfId="2" applyFill="1" applyAlignment="1">
      <alignment horizontal="left" vertical="top"/>
    </xf>
    <xf numFmtId="0" fontId="13" fillId="4" borderId="40" xfId="2" applyFill="1" applyBorder="1" applyAlignment="1">
      <alignment horizontal="left" vertical="top"/>
    </xf>
    <xf numFmtId="0" fontId="13" fillId="4" borderId="39" xfId="2" applyFill="1" applyBorder="1" applyAlignment="1">
      <alignment horizontal="left" vertical="top"/>
    </xf>
    <xf numFmtId="0" fontId="13" fillId="0" borderId="42" xfId="2" applyBorder="1" applyAlignment="1">
      <alignment horizontal="center" vertical="center"/>
    </xf>
    <xf numFmtId="0" fontId="13" fillId="0" borderId="43" xfId="2" applyBorder="1" applyAlignment="1">
      <alignment horizontal="center" vertical="center"/>
    </xf>
    <xf numFmtId="0" fontId="13" fillId="0" borderId="59" xfId="2" applyBorder="1" applyAlignment="1">
      <alignment horizontal="center" vertical="center" textRotation="255"/>
    </xf>
    <xf numFmtId="0" fontId="13" fillId="0" borderId="37" xfId="2" applyBorder="1" applyAlignment="1">
      <alignment horizontal="center" vertical="center" textRotation="255"/>
    </xf>
    <xf numFmtId="0" fontId="13" fillId="0" borderId="60" xfId="2" applyBorder="1" applyAlignment="1">
      <alignment horizontal="center" vertical="center"/>
    </xf>
    <xf numFmtId="0" fontId="13" fillId="0" borderId="62" xfId="2" applyBorder="1" applyAlignment="1">
      <alignment horizontal="center" vertical="center"/>
    </xf>
    <xf numFmtId="0" fontId="13" fillId="0" borderId="60" xfId="2" applyBorder="1" applyAlignment="1">
      <alignment horizontal="center" vertical="center" textRotation="255"/>
    </xf>
    <xf numFmtId="0" fontId="13" fillId="0" borderId="62" xfId="2" applyBorder="1" applyAlignment="1">
      <alignment horizontal="center" vertical="center" textRotation="255"/>
    </xf>
    <xf numFmtId="0" fontId="13" fillId="0" borderId="61" xfId="2" applyBorder="1" applyAlignment="1">
      <alignment horizontal="center" vertical="center"/>
    </xf>
    <xf numFmtId="0" fontId="13" fillId="0" borderId="63" xfId="2" applyBorder="1" applyAlignment="1">
      <alignment horizontal="center" vertical="center"/>
    </xf>
    <xf numFmtId="0" fontId="13" fillId="0" borderId="55" xfId="2" applyBorder="1" applyAlignment="1">
      <alignment horizontal="center" vertical="center"/>
    </xf>
    <xf numFmtId="0" fontId="13" fillId="0" borderId="56" xfId="2" applyBorder="1" applyAlignment="1">
      <alignment horizontal="center" vertical="center"/>
    </xf>
    <xf numFmtId="0" fontId="13" fillId="0" borderId="13" xfId="2" applyBorder="1" applyAlignment="1">
      <alignment horizontal="center" vertical="center"/>
    </xf>
    <xf numFmtId="0" fontId="13" fillId="0" borderId="14" xfId="2" applyBorder="1" applyAlignment="1">
      <alignment horizontal="center" vertical="center"/>
    </xf>
    <xf numFmtId="0" fontId="13" fillId="0" borderId="47" xfId="2" applyBorder="1" applyAlignment="1">
      <alignment horizontal="center" vertical="center"/>
    </xf>
    <xf numFmtId="0" fontId="13" fillId="0" borderId="48" xfId="2" applyBorder="1" applyAlignment="1">
      <alignment horizontal="center" vertical="center" textRotation="255" shrinkToFit="1"/>
    </xf>
    <xf numFmtId="0" fontId="13" fillId="0" borderId="50" xfId="2" applyBorder="1" applyAlignment="1">
      <alignment horizontal="center" vertical="center" textRotation="255" shrinkToFit="1"/>
    </xf>
    <xf numFmtId="0" fontId="13" fillId="0" borderId="54" xfId="2" applyBorder="1" applyAlignment="1">
      <alignment horizontal="center" vertical="center" textRotation="255" shrinkToFit="1"/>
    </xf>
    <xf numFmtId="0" fontId="13" fillId="0" borderId="38" xfId="2" applyBorder="1" applyAlignment="1">
      <alignment horizontal="center" vertical="center"/>
    </xf>
    <xf numFmtId="0" fontId="13" fillId="0" borderId="19" xfId="2" applyBorder="1" applyAlignment="1">
      <alignment horizontal="center" vertical="center"/>
    </xf>
    <xf numFmtId="0" fontId="13" fillId="0" borderId="21" xfId="2" applyBorder="1" applyAlignment="1">
      <alignment horizontal="center" vertical="center"/>
    </xf>
    <xf numFmtId="0" fontId="13" fillId="0" borderId="1" xfId="2" applyBorder="1" applyAlignment="1">
      <alignment horizontal="center" vertical="center"/>
    </xf>
    <xf numFmtId="0" fontId="13" fillId="0" borderId="51" xfId="2" applyBorder="1" applyAlignment="1">
      <alignment horizontal="center" vertical="center"/>
    </xf>
    <xf numFmtId="0" fontId="13" fillId="0" borderId="52" xfId="2" applyBorder="1" applyAlignment="1">
      <alignment horizontal="center" vertical="center"/>
    </xf>
    <xf numFmtId="0" fontId="13" fillId="0" borderId="49" xfId="2" applyBorder="1" applyAlignment="1">
      <alignment horizontal="center" vertical="center"/>
    </xf>
    <xf numFmtId="0" fontId="13" fillId="0" borderId="53" xfId="2" applyBorder="1" applyAlignment="1">
      <alignment horizontal="center" vertical="center"/>
    </xf>
    <xf numFmtId="58" fontId="13" fillId="0" borderId="0" xfId="2" applyNumberFormat="1" applyAlignment="1">
      <alignment horizontal="distributed" vertical="center"/>
    </xf>
    <xf numFmtId="0" fontId="13" fillId="0" borderId="0" xfId="2" applyAlignment="1">
      <alignment horizontal="distributed" vertical="center"/>
    </xf>
    <xf numFmtId="0" fontId="13" fillId="0" borderId="41" xfId="2" applyBorder="1" applyAlignment="1">
      <alignment horizontal="center" vertical="center"/>
    </xf>
    <xf numFmtId="0" fontId="13" fillId="0" borderId="39" xfId="2" applyBorder="1" applyAlignment="1">
      <alignment horizontal="center" vertical="center"/>
    </xf>
    <xf numFmtId="0" fontId="13" fillId="0" borderId="0" xfId="2" applyAlignment="1">
      <alignment horizontal="center" vertical="center"/>
    </xf>
    <xf numFmtId="0" fontId="13" fillId="0" borderId="3" xfId="2" applyBorder="1" applyAlignment="1">
      <alignment horizontal="center" vertical="center"/>
    </xf>
    <xf numFmtId="0" fontId="13" fillId="0" borderId="22" xfId="2" applyBorder="1" applyAlignment="1">
      <alignment horizontal="center" vertical="center"/>
    </xf>
    <xf numFmtId="0" fontId="13" fillId="0" borderId="39" xfId="2" applyBorder="1" applyAlignment="1">
      <alignment horizontal="left" vertical="center"/>
    </xf>
    <xf numFmtId="0" fontId="13" fillId="0" borderId="0" xfId="2" applyAlignment="1">
      <alignment horizontal="left" vertical="center"/>
    </xf>
    <xf numFmtId="0" fontId="13" fillId="0" borderId="40" xfId="2" applyBorder="1" applyAlignment="1">
      <alignment horizontal="center" vertical="center"/>
    </xf>
    <xf numFmtId="0" fontId="13" fillId="0" borderId="10" xfId="2" applyBorder="1" applyAlignment="1">
      <alignment horizontal="center" vertical="center"/>
    </xf>
    <xf numFmtId="0" fontId="13" fillId="0" borderId="23" xfId="2" applyBorder="1" applyAlignment="1">
      <alignment horizontal="center" vertical="center"/>
    </xf>
    <xf numFmtId="0" fontId="13" fillId="0" borderId="5" xfId="2" applyBorder="1" applyAlignment="1">
      <alignment horizontal="center" vertical="center"/>
    </xf>
    <xf numFmtId="0" fontId="14" fillId="0" borderId="0" xfId="2" applyFont="1" applyAlignment="1">
      <alignment horizontal="center" vertical="center"/>
    </xf>
    <xf numFmtId="0" fontId="13" fillId="0" borderId="42" xfId="2" applyBorder="1" applyAlignment="1">
      <alignment horizontal="right" vertical="center"/>
    </xf>
    <xf numFmtId="177" fontId="13" fillId="0" borderId="42" xfId="2" applyNumberFormat="1" applyBorder="1" applyAlignment="1">
      <alignment horizontal="center" vertical="center"/>
    </xf>
    <xf numFmtId="0" fontId="13" fillId="0" borderId="38" xfId="2" applyBorder="1" applyAlignment="1">
      <alignment horizontal="left" vertical="center"/>
    </xf>
    <xf numFmtId="0" fontId="13" fillId="0" borderId="19" xfId="2" applyBorder="1" applyAlignment="1">
      <alignment horizontal="left" vertical="center"/>
    </xf>
    <xf numFmtId="0" fontId="13" fillId="0" borderId="20" xfId="2" applyBorder="1" applyAlignment="1">
      <alignment horizontal="left" vertical="center"/>
    </xf>
    <xf numFmtId="0" fontId="13" fillId="0" borderId="32" xfId="2" applyBorder="1" applyAlignment="1">
      <alignment horizontal="center" vertical="center"/>
    </xf>
    <xf numFmtId="0" fontId="9" fillId="0" borderId="0" xfId="0" applyFont="1" applyAlignment="1">
      <alignment horizontal="right" vertical="center"/>
    </xf>
    <xf numFmtId="0" fontId="4" fillId="0" borderId="57" xfId="0" applyFont="1" applyBorder="1" applyAlignment="1">
      <alignment horizontal="left" vertical="center"/>
    </xf>
    <xf numFmtId="0" fontId="4" fillId="0" borderId="42" xfId="0" applyFont="1" applyBorder="1" applyAlignment="1">
      <alignment horizontal="left" vertical="center"/>
    </xf>
    <xf numFmtId="0" fontId="8" fillId="2" borderId="0" xfId="0" applyFont="1" applyFill="1" applyAlignment="1">
      <alignment horizontal="left" vertical="center"/>
    </xf>
    <xf numFmtId="0" fontId="9" fillId="0" borderId="0" xfId="0" applyFont="1" applyAlignment="1">
      <alignment horizontal="center" vertical="center"/>
    </xf>
    <xf numFmtId="0" fontId="9" fillId="0" borderId="10" xfId="0" applyFont="1" applyBorder="1" applyAlignment="1">
      <alignment horizontal="center" vertical="center"/>
    </xf>
    <xf numFmtId="0" fontId="9" fillId="0" borderId="5" xfId="0" applyFont="1" applyBorder="1" applyAlignment="1">
      <alignment horizontal="right" vertical="center"/>
    </xf>
    <xf numFmtId="0" fontId="9" fillId="0" borderId="5" xfId="0" applyFont="1" applyBorder="1" applyAlignment="1">
      <alignment horizontal="left" vertical="center"/>
    </xf>
    <xf numFmtId="0" fontId="9" fillId="0" borderId="0" xfId="0" applyFont="1" applyAlignment="1">
      <alignment horizontal="center"/>
    </xf>
    <xf numFmtId="0" fontId="9" fillId="0" borderId="0" xfId="0" applyFont="1" applyAlignment="1">
      <alignment horizontal="left" vertical="center"/>
    </xf>
    <xf numFmtId="176" fontId="9" fillId="0" borderId="10" xfId="0" applyNumberFormat="1" applyFont="1" applyBorder="1" applyAlignment="1">
      <alignment horizontal="center" vertical="center"/>
    </xf>
    <xf numFmtId="0" fontId="7" fillId="0" borderId="110"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31" xfId="0" applyFont="1" applyBorder="1" applyAlignment="1">
      <alignment horizontal="center" vertical="center"/>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58" fontId="3" fillId="0" borderId="17" xfId="0" applyNumberFormat="1" applyFont="1" applyBorder="1" applyAlignment="1">
      <alignment horizontal="center" vertical="center"/>
    </xf>
    <xf numFmtId="58" fontId="3" fillId="0" borderId="19" xfId="0" applyNumberFormat="1" applyFont="1" applyBorder="1" applyAlignment="1">
      <alignment horizontal="center" vertical="center"/>
    </xf>
    <xf numFmtId="58" fontId="3" fillId="0" borderId="20" xfId="0" applyNumberFormat="1" applyFont="1" applyBorder="1" applyAlignment="1">
      <alignment horizontal="center" vertical="center"/>
    </xf>
    <xf numFmtId="58" fontId="3" fillId="0" borderId="8" xfId="0" applyNumberFormat="1" applyFont="1" applyBorder="1" applyAlignment="1">
      <alignment horizontal="center" vertical="center"/>
    </xf>
    <xf numFmtId="58" fontId="3" fillId="0" borderId="10" xfId="0" applyNumberFormat="1" applyFont="1" applyBorder="1" applyAlignment="1">
      <alignment horizontal="center" vertical="center"/>
    </xf>
    <xf numFmtId="58" fontId="3" fillId="0" borderId="23" xfId="0" applyNumberFormat="1" applyFont="1" applyBorder="1" applyAlignment="1">
      <alignment horizontal="center" vertical="center"/>
    </xf>
    <xf numFmtId="0" fontId="3" fillId="0" borderId="25"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0" xfId="0" applyFont="1" applyAlignment="1">
      <alignment horizontal="center" vertical="center"/>
    </xf>
    <xf numFmtId="0" fontId="11" fillId="0" borderId="0" xfId="0" applyFont="1" applyAlignment="1">
      <alignment horizontal="center" vertical="center"/>
    </xf>
    <xf numFmtId="176" fontId="3" fillId="0" borderId="3" xfId="0" applyNumberFormat="1" applyFont="1" applyBorder="1" applyAlignment="1">
      <alignment horizontal="center" vertical="center"/>
    </xf>
    <xf numFmtId="176" fontId="3" fillId="0" borderId="4" xfId="0" applyNumberFormat="1" applyFont="1" applyBorder="1" applyAlignment="1">
      <alignment horizontal="center" vertical="center"/>
    </xf>
    <xf numFmtId="0" fontId="11" fillId="0" borderId="10" xfId="0" applyFont="1" applyBorder="1" applyAlignment="1">
      <alignment horizontal="right" vertical="center"/>
    </xf>
    <xf numFmtId="0" fontId="3" fillId="0" borderId="22" xfId="0" applyFont="1" applyBorder="1" applyAlignment="1">
      <alignment horizontal="center" vertical="center"/>
    </xf>
    <xf numFmtId="0" fontId="3" fillId="0" borderId="33" xfId="0" applyFont="1" applyBorder="1" applyAlignment="1">
      <alignment horizontal="center"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3" fillId="0" borderId="34" xfId="0" applyFont="1" applyBorder="1" applyAlignment="1">
      <alignment horizontal="center" vertical="center"/>
    </xf>
    <xf numFmtId="0" fontId="3" fillId="0" borderId="10" xfId="0" applyFont="1" applyBorder="1" applyAlignment="1">
      <alignment horizontal="center" vertical="center"/>
    </xf>
    <xf numFmtId="0" fontId="3" fillId="0" borderId="6" xfId="0" applyFont="1" applyBorder="1" applyAlignment="1">
      <alignment horizontal="center" vertical="center"/>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28" xfId="0" applyFont="1" applyBorder="1" applyAlignment="1">
      <alignment horizontal="center" vertical="center"/>
    </xf>
    <xf numFmtId="0" fontId="109" fillId="4" borderId="29" xfId="0" applyFont="1" applyFill="1" applyBorder="1" applyAlignment="1">
      <alignment horizontal="left" vertical="center" wrapText="1"/>
    </xf>
    <xf numFmtId="0" fontId="109" fillId="4" borderId="27" xfId="0" applyFont="1" applyFill="1" applyBorder="1" applyAlignment="1">
      <alignment horizontal="left" vertical="center" wrapText="1"/>
    </xf>
    <xf numFmtId="0" fontId="109" fillId="4" borderId="28" xfId="0" applyFont="1" applyFill="1" applyBorder="1" applyAlignment="1">
      <alignment horizontal="left" vertical="center" wrapText="1"/>
    </xf>
    <xf numFmtId="0" fontId="3" fillId="0" borderId="29" xfId="0" applyFont="1" applyBorder="1" applyAlignment="1">
      <alignment horizontal="center" vertical="center"/>
    </xf>
    <xf numFmtId="0" fontId="3" fillId="4" borderId="29" xfId="0" applyFont="1" applyFill="1" applyBorder="1" applyAlignment="1">
      <alignment horizontal="left" vertical="top" wrapText="1"/>
    </xf>
    <xf numFmtId="0" fontId="3" fillId="4" borderId="27" xfId="0" applyFont="1" applyFill="1" applyBorder="1" applyAlignment="1">
      <alignment horizontal="left" vertical="top" wrapText="1"/>
    </xf>
    <xf numFmtId="0" fontId="3" fillId="4" borderId="30" xfId="0" applyFont="1" applyFill="1" applyBorder="1" applyAlignment="1">
      <alignment horizontal="left" vertical="top" wrapText="1"/>
    </xf>
    <xf numFmtId="0" fontId="3" fillId="0" borderId="110" xfId="0" applyFont="1" applyBorder="1" applyAlignment="1">
      <alignment horizontal="center" vertical="center"/>
    </xf>
    <xf numFmtId="0" fontId="3" fillId="0" borderId="32" xfId="0" applyFont="1" applyBorder="1" applyAlignment="1">
      <alignment horizontal="center" vertical="center"/>
    </xf>
    <xf numFmtId="0" fontId="3" fillId="0" borderId="27" xfId="0" applyFont="1" applyBorder="1" applyAlignment="1">
      <alignment horizontal="right" vertical="center"/>
    </xf>
    <xf numFmtId="0" fontId="3" fillId="0" borderId="27" xfId="0" applyFont="1" applyBorder="1" applyAlignment="1">
      <alignment horizontal="left" vertical="center"/>
    </xf>
    <xf numFmtId="0" fontId="3" fillId="0" borderId="110" xfId="0" applyFont="1" applyBorder="1" applyAlignment="1">
      <alignment horizontal="lef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58" fontId="3" fillId="0" borderId="2" xfId="0" applyNumberFormat="1" applyFont="1" applyBorder="1" applyAlignment="1">
      <alignment horizontal="center" vertical="center"/>
    </xf>
    <xf numFmtId="58" fontId="3" fillId="0" borderId="3" xfId="0" applyNumberFormat="1" applyFont="1" applyBorder="1" applyAlignment="1">
      <alignment horizontal="center" vertical="center"/>
    </xf>
    <xf numFmtId="58" fontId="3" fillId="0" borderId="3" xfId="0" applyNumberFormat="1" applyFont="1" applyBorder="1" applyAlignment="1">
      <alignment horizontal="center" vertical="center" shrinkToFit="1"/>
    </xf>
    <xf numFmtId="58" fontId="3" fillId="0" borderId="4" xfId="0" applyNumberFormat="1" applyFont="1" applyBorder="1" applyAlignment="1">
      <alignment horizontal="center" vertical="center" shrinkToFit="1"/>
    </xf>
    <xf numFmtId="0" fontId="5" fillId="0" borderId="33" xfId="0" applyFont="1" applyBorder="1" applyAlignment="1">
      <alignment horizontal="center" vertical="center" wrapText="1"/>
    </xf>
    <xf numFmtId="0" fontId="5" fillId="0" borderId="5" xfId="0" applyFont="1" applyBorder="1" applyAlignment="1">
      <alignment horizontal="center" vertical="center" wrapText="1"/>
    </xf>
    <xf numFmtId="0" fontId="5" fillId="0" borderId="7"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9" xfId="0" applyFont="1" applyBorder="1" applyAlignment="1">
      <alignment horizontal="center" vertical="center" wrapText="1"/>
    </xf>
    <xf numFmtId="0" fontId="3" fillId="4" borderId="6" xfId="0" applyFont="1" applyFill="1" applyBorder="1" applyAlignment="1">
      <alignment horizontal="left" vertical="center"/>
    </xf>
    <xf numFmtId="0" fontId="3" fillId="4" borderId="5" xfId="0" applyFont="1" applyFill="1" applyBorder="1" applyAlignment="1">
      <alignment horizontal="left" vertical="center"/>
    </xf>
    <xf numFmtId="0" fontId="3" fillId="4" borderId="24" xfId="0" applyFont="1" applyFill="1" applyBorder="1" applyAlignment="1">
      <alignment horizontal="left" vertical="center"/>
    </xf>
    <xf numFmtId="0" fontId="3" fillId="4" borderId="8" xfId="0" applyFont="1" applyFill="1" applyBorder="1" applyAlignment="1">
      <alignment horizontal="left" vertical="center"/>
    </xf>
    <xf numFmtId="0" fontId="3" fillId="4" borderId="10" xfId="0" applyFont="1" applyFill="1" applyBorder="1" applyAlignment="1">
      <alignment horizontal="left" vertical="center"/>
    </xf>
    <xf numFmtId="0" fontId="3" fillId="4" borderId="23" xfId="0" applyFont="1" applyFill="1" applyBorder="1" applyAlignment="1">
      <alignment horizontal="left" vertical="center"/>
    </xf>
    <xf numFmtId="0" fontId="3" fillId="0" borderId="25"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22" xfId="0" applyFont="1" applyFill="1" applyBorder="1" applyAlignment="1">
      <alignment horizontal="center" vertical="center"/>
    </xf>
    <xf numFmtId="0" fontId="3" fillId="0" borderId="109" xfId="0" applyFont="1" applyBorder="1" applyAlignment="1">
      <alignment horizontal="center" vertical="center"/>
    </xf>
    <xf numFmtId="0" fontId="3" fillId="0" borderId="46" xfId="0" applyFont="1" applyBorder="1" applyAlignment="1">
      <alignment horizontal="center" vertical="center"/>
    </xf>
    <xf numFmtId="0" fontId="3" fillId="4" borderId="109" xfId="0" applyFont="1" applyFill="1" applyBorder="1" applyAlignment="1">
      <alignment horizontal="center" vertical="center"/>
    </xf>
    <xf numFmtId="0" fontId="3" fillId="4" borderId="46" xfId="0" applyFont="1" applyFill="1" applyBorder="1" applyAlignment="1">
      <alignment horizontal="center" vertical="center"/>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0" fontId="3" fillId="0" borderId="22" xfId="0" applyFont="1" applyBorder="1" applyAlignment="1">
      <alignment horizontal="center" vertical="center" shrinkToFit="1"/>
    </xf>
    <xf numFmtId="0" fontId="3" fillId="4" borderId="4" xfId="0" applyFont="1" applyFill="1" applyBorder="1" applyAlignment="1">
      <alignment horizontal="center" vertical="center"/>
    </xf>
    <xf numFmtId="0" fontId="3" fillId="0" borderId="35" xfId="0" applyFont="1" applyBorder="1" applyAlignment="1">
      <alignment horizontal="center" vertical="center" textRotation="255"/>
    </xf>
    <xf numFmtId="0" fontId="3" fillId="0" borderId="36" xfId="0" applyFont="1" applyBorder="1" applyAlignment="1">
      <alignment horizontal="center" vertical="center" textRotation="255"/>
    </xf>
    <xf numFmtId="0" fontId="3" fillId="0" borderId="37" xfId="0" applyFont="1" applyBorder="1" applyAlignment="1">
      <alignment horizontal="center" vertical="center" textRotation="255"/>
    </xf>
    <xf numFmtId="0" fontId="3" fillId="0" borderId="2" xfId="0" applyFont="1" applyBorder="1" applyAlignment="1">
      <alignment horizontal="left"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6" xfId="0" applyFont="1" applyBorder="1" applyAlignment="1">
      <alignment horizontal="center" vertical="center" wrapText="1" shrinkToFit="1"/>
    </xf>
    <xf numFmtId="0" fontId="3" fillId="0" borderId="5" xfId="0" applyFont="1" applyBorder="1" applyAlignment="1">
      <alignment horizontal="center" vertical="center" wrapText="1" shrinkToFit="1"/>
    </xf>
    <xf numFmtId="0" fontId="3" fillId="0" borderId="24" xfId="0" applyFont="1" applyBorder="1" applyAlignment="1">
      <alignment horizontal="center" vertical="center" wrapText="1" shrinkToFit="1"/>
    </xf>
    <xf numFmtId="0" fontId="3" fillId="0" borderId="8" xfId="0" applyFont="1" applyBorder="1" applyAlignment="1">
      <alignment horizontal="center" vertical="center" wrapText="1" shrinkToFit="1"/>
    </xf>
    <xf numFmtId="0" fontId="3" fillId="0" borderId="10" xfId="0" applyFont="1" applyBorder="1" applyAlignment="1">
      <alignment horizontal="center" vertical="center" wrapText="1" shrinkToFit="1"/>
    </xf>
    <xf numFmtId="0" fontId="3" fillId="0" borderId="23" xfId="0" applyFont="1" applyBorder="1" applyAlignment="1">
      <alignment horizontal="center" vertical="center" wrapText="1" shrinkToFit="1"/>
    </xf>
    <xf numFmtId="0" fontId="3" fillId="0" borderId="44" xfId="0" applyFont="1" applyBorder="1" applyAlignment="1">
      <alignment horizontal="center" vertical="center"/>
    </xf>
    <xf numFmtId="0" fontId="3" fillId="0" borderId="42" xfId="0" applyFont="1" applyBorder="1" applyAlignment="1">
      <alignment horizontal="center" vertical="center"/>
    </xf>
    <xf numFmtId="0" fontId="3" fillId="0" borderId="45" xfId="0" applyFont="1" applyBorder="1" applyAlignment="1">
      <alignment horizontal="center" vertical="center"/>
    </xf>
    <xf numFmtId="0" fontId="3" fillId="4" borderId="6" xfId="0" applyFont="1" applyFill="1" applyBorder="1" applyAlignment="1">
      <alignment horizontal="left" vertical="center" wrapText="1" shrinkToFit="1"/>
    </xf>
    <xf numFmtId="0" fontId="3" fillId="4" borderId="5" xfId="0" applyFont="1" applyFill="1" applyBorder="1" applyAlignment="1">
      <alignment horizontal="left" vertical="center" wrapText="1" shrinkToFit="1"/>
    </xf>
    <xf numFmtId="0" fontId="3" fillId="4" borderId="24" xfId="0" applyFont="1" applyFill="1" applyBorder="1" applyAlignment="1">
      <alignment horizontal="left" vertical="center" wrapText="1" shrinkToFit="1"/>
    </xf>
    <xf numFmtId="0" fontId="3" fillId="4" borderId="44" xfId="0" applyFont="1" applyFill="1" applyBorder="1" applyAlignment="1">
      <alignment horizontal="left" vertical="center" wrapText="1" shrinkToFit="1"/>
    </xf>
    <xf numFmtId="0" fontId="3" fillId="4" borderId="42" xfId="0" applyFont="1" applyFill="1" applyBorder="1" applyAlignment="1">
      <alignment horizontal="left" vertical="center" wrapText="1" shrinkToFit="1"/>
    </xf>
    <xf numFmtId="0" fontId="3" fillId="4" borderId="43" xfId="0" applyFont="1" applyFill="1" applyBorder="1" applyAlignment="1">
      <alignment horizontal="left" vertical="center" wrapText="1" shrinkToFit="1"/>
    </xf>
    <xf numFmtId="0" fontId="3" fillId="0" borderId="2" xfId="0" applyFont="1" applyBorder="1" applyAlignment="1">
      <alignment horizontal="left" vertical="center" shrinkToFit="1"/>
    </xf>
    <xf numFmtId="0" fontId="3" fillId="0" borderId="3" xfId="0" applyFont="1" applyBorder="1" applyAlignment="1">
      <alignment horizontal="left" vertical="center" shrinkToFit="1"/>
    </xf>
    <xf numFmtId="0" fontId="3" fillId="0" borderId="4" xfId="0" applyFont="1" applyBorder="1" applyAlignment="1">
      <alignment horizontal="left" vertical="center" shrinkToFit="1"/>
    </xf>
    <xf numFmtId="0" fontId="109" fillId="0" borderId="29" xfId="0" applyFont="1" applyBorder="1" applyAlignment="1">
      <alignment horizontal="left" vertical="center" wrapText="1"/>
    </xf>
    <xf numFmtId="0" fontId="109" fillId="0" borderId="27" xfId="0" applyFont="1" applyBorder="1" applyAlignment="1">
      <alignment horizontal="left" vertical="center" wrapText="1"/>
    </xf>
    <xf numFmtId="0" fontId="3" fillId="0" borderId="27" xfId="0" applyFont="1" applyBorder="1" applyAlignment="1">
      <alignment horizontal="left" vertical="top" wrapText="1"/>
    </xf>
    <xf numFmtId="0" fontId="3" fillId="0" borderId="30" xfId="0" applyFont="1" applyBorder="1" applyAlignment="1">
      <alignment horizontal="left" vertical="top" wrapText="1"/>
    </xf>
    <xf numFmtId="0" fontId="3" fillId="0" borderId="13" xfId="0" applyFont="1" applyBorder="1" applyAlignment="1">
      <alignment horizontal="left" vertical="center"/>
    </xf>
    <xf numFmtId="0" fontId="3" fillId="0" borderId="14" xfId="0" applyFont="1" applyBorder="1" applyAlignment="1">
      <alignment horizontal="left" vertical="center"/>
    </xf>
    <xf numFmtId="0" fontId="3" fillId="0" borderId="6" xfId="0" applyFont="1" applyBorder="1" applyAlignment="1">
      <alignment horizontal="left" vertical="center"/>
    </xf>
    <xf numFmtId="0" fontId="3" fillId="0" borderId="5" xfId="0" applyFont="1" applyBorder="1" applyAlignment="1">
      <alignment horizontal="left" vertical="center"/>
    </xf>
    <xf numFmtId="0" fontId="3" fillId="0" borderId="24" xfId="0" applyFont="1" applyBorder="1" applyAlignment="1">
      <alignment horizontal="left" vertical="center"/>
    </xf>
    <xf numFmtId="0" fontId="3" fillId="0" borderId="8" xfId="0" applyFont="1" applyBorder="1" applyAlignment="1">
      <alignment horizontal="left" vertical="center"/>
    </xf>
    <xf numFmtId="0" fontId="3" fillId="0" borderId="10" xfId="0" applyFont="1" applyBorder="1" applyAlignment="1">
      <alignment horizontal="left" vertical="center"/>
    </xf>
    <xf numFmtId="0" fontId="3" fillId="0" borderId="23" xfId="0" applyFont="1" applyBorder="1" applyAlignment="1">
      <alignment horizontal="left" vertical="center"/>
    </xf>
    <xf numFmtId="0" fontId="3" fillId="0" borderId="21" xfId="0" applyFont="1" applyBorder="1" applyAlignment="1">
      <alignment horizontal="left" vertical="center"/>
    </xf>
    <xf numFmtId="0" fontId="3" fillId="0" borderId="1" xfId="0" applyFont="1" applyBorder="1" applyAlignment="1">
      <alignment horizontal="left" vertical="center"/>
    </xf>
    <xf numFmtId="0" fontId="3" fillId="0" borderId="21" xfId="0" applyFont="1" applyBorder="1" applyAlignment="1">
      <alignment horizontal="center" vertical="center"/>
    </xf>
    <xf numFmtId="0" fontId="3" fillId="0" borderId="1" xfId="0" applyFont="1" applyBorder="1" applyAlignment="1">
      <alignment horizontal="center" vertical="center"/>
    </xf>
    <xf numFmtId="0" fontId="3" fillId="0" borderId="11"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Alignment="1">
      <alignment horizontal="left" vertical="center"/>
    </xf>
    <xf numFmtId="0" fontId="3" fillId="0" borderId="6" xfId="0" applyFont="1" applyBorder="1" applyAlignment="1">
      <alignment horizontal="left" vertical="center" wrapText="1" shrinkToFit="1"/>
    </xf>
    <xf numFmtId="0" fontId="3" fillId="0" borderId="5" xfId="0" applyFont="1" applyBorder="1" applyAlignment="1">
      <alignment horizontal="left" vertical="center" wrapText="1" shrinkToFit="1"/>
    </xf>
    <xf numFmtId="0" fontId="3" fillId="0" borderId="24" xfId="0" applyFont="1" applyBorder="1" applyAlignment="1">
      <alignment horizontal="left" vertical="center" wrapText="1" shrinkToFit="1"/>
    </xf>
    <xf numFmtId="0" fontId="3" fillId="0" borderId="8" xfId="0" applyFont="1" applyBorder="1" applyAlignment="1">
      <alignment horizontal="left" vertical="center" wrapText="1" shrinkToFit="1"/>
    </xf>
    <xf numFmtId="0" fontId="3" fillId="0" borderId="10" xfId="0" applyFont="1" applyBorder="1" applyAlignment="1">
      <alignment horizontal="left" vertical="center" wrapText="1" shrinkToFit="1"/>
    </xf>
    <xf numFmtId="0" fontId="3" fillId="0" borderId="23" xfId="0" applyFont="1" applyBorder="1" applyAlignment="1">
      <alignment horizontal="left" vertical="center" wrapText="1" shrinkToFit="1"/>
    </xf>
    <xf numFmtId="0" fontId="3" fillId="0" borderId="44" xfId="0" applyFont="1" applyBorder="1" applyAlignment="1">
      <alignment horizontal="left" vertical="center" wrapText="1" shrinkToFit="1"/>
    </xf>
    <xf numFmtId="0" fontId="3" fillId="0" borderId="42" xfId="0" applyFont="1" applyBorder="1" applyAlignment="1">
      <alignment horizontal="left" vertical="center" wrapText="1" shrinkToFit="1"/>
    </xf>
    <xf numFmtId="0" fontId="3" fillId="0" borderId="43" xfId="0" applyFont="1" applyBorder="1" applyAlignment="1">
      <alignment horizontal="left" vertical="center" wrapText="1" shrinkToFit="1"/>
    </xf>
    <xf numFmtId="0" fontId="70" fillId="0" borderId="0" xfId="8" applyFont="1" applyAlignment="1">
      <alignment horizontal="left" vertical="center"/>
    </xf>
    <xf numFmtId="0" fontId="72" fillId="0" borderId="3" xfId="8" applyBorder="1" applyAlignment="1">
      <alignment horizontal="center" vertical="center"/>
    </xf>
    <xf numFmtId="0" fontId="74" fillId="0" borderId="3" xfId="8" applyFont="1" applyBorder="1" applyAlignment="1">
      <alignment horizontal="center" vertical="center"/>
    </xf>
    <xf numFmtId="0" fontId="74" fillId="0" borderId="3" xfId="8" applyFont="1" applyBorder="1" applyAlignment="1">
      <alignment horizontal="right"/>
    </xf>
    <xf numFmtId="180" fontId="49" fillId="0" borderId="46" xfId="8" applyNumberFormat="1" applyFont="1" applyBorder="1" applyAlignment="1">
      <alignment horizontal="center" vertical="center"/>
    </xf>
    <xf numFmtId="180" fontId="49" fillId="0" borderId="5" xfId="8" applyNumberFormat="1" applyFont="1" applyBorder="1" applyAlignment="1">
      <alignment horizontal="center" vertical="center"/>
    </xf>
    <xf numFmtId="180" fontId="49" fillId="0" borderId="7" xfId="8" applyNumberFormat="1" applyFont="1" applyBorder="1" applyAlignment="1">
      <alignment horizontal="center" vertical="center"/>
    </xf>
    <xf numFmtId="0" fontId="49" fillId="0" borderId="2" xfId="8" applyFont="1" applyBorder="1" applyAlignment="1">
      <alignment horizontal="center" vertical="center"/>
    </xf>
    <xf numFmtId="0" fontId="49" fillId="0" borderId="3" xfId="8" applyFont="1" applyBorder="1" applyAlignment="1">
      <alignment horizontal="center" vertical="center"/>
    </xf>
    <xf numFmtId="0" fontId="49" fillId="0" borderId="109" xfId="8" applyFont="1" applyBorder="1" applyAlignment="1">
      <alignment horizontal="center" vertical="center"/>
    </xf>
    <xf numFmtId="0" fontId="74" fillId="0" borderId="10" xfId="8" applyFont="1" applyBorder="1" applyAlignment="1">
      <alignment horizontal="right"/>
    </xf>
    <xf numFmtId="0" fontId="49" fillId="0" borderId="103" xfId="8" applyFont="1" applyBorder="1" applyAlignment="1">
      <alignment horizontal="left" vertical="center"/>
    </xf>
    <xf numFmtId="0" fontId="49" fillId="0" borderId="104" xfId="8" applyFont="1" applyBorder="1" applyAlignment="1">
      <alignment horizontal="left" vertical="center"/>
    </xf>
    <xf numFmtId="0" fontId="49" fillId="0" borderId="104" xfId="8" applyFont="1" applyBorder="1" applyAlignment="1">
      <alignment horizontal="center" vertical="center"/>
    </xf>
    <xf numFmtId="0" fontId="49" fillId="0" borderId="11" xfId="8" applyFont="1" applyBorder="1" applyAlignment="1">
      <alignment horizontal="center" vertical="center" wrapText="1"/>
    </xf>
    <xf numFmtId="0" fontId="49" fillId="0" borderId="0" xfId="8" applyFont="1" applyAlignment="1">
      <alignment horizontal="center" vertical="center" wrapText="1"/>
    </xf>
    <xf numFmtId="0" fontId="49" fillId="0" borderId="12" xfId="8" applyFont="1" applyBorder="1" applyAlignment="1">
      <alignment horizontal="center" vertical="center" wrapText="1"/>
    </xf>
    <xf numFmtId="0" fontId="49" fillId="0" borderId="107" xfId="8" applyFont="1" applyBorder="1" applyAlignment="1">
      <alignment horizontal="left" vertical="center"/>
    </xf>
    <xf numFmtId="0" fontId="49" fillId="0" borderId="105" xfId="8" applyFont="1" applyBorder="1" applyAlignment="1">
      <alignment horizontal="center" vertical="top" wrapText="1"/>
    </xf>
    <xf numFmtId="0" fontId="49" fillId="0" borderId="106" xfId="8" applyFont="1" applyBorder="1" applyAlignment="1">
      <alignment horizontal="center" vertical="top" wrapText="1"/>
    </xf>
    <xf numFmtId="0" fontId="49" fillId="0" borderId="8" xfId="8" applyFont="1" applyBorder="1" applyAlignment="1">
      <alignment horizontal="center" vertical="top" wrapText="1"/>
    </xf>
    <xf numFmtId="0" fontId="49" fillId="0" borderId="10" xfId="8" applyFont="1" applyBorder="1" applyAlignment="1">
      <alignment horizontal="center" vertical="top" wrapText="1"/>
    </xf>
    <xf numFmtId="0" fontId="49" fillId="0" borderId="106" xfId="8" applyFont="1" applyBorder="1" applyAlignment="1">
      <alignment horizontal="left" vertical="top" wrapText="1"/>
    </xf>
    <xf numFmtId="0" fontId="49" fillId="0" borderId="108" xfId="8" applyFont="1" applyBorder="1" applyAlignment="1">
      <alignment horizontal="left" vertical="top" wrapText="1"/>
    </xf>
    <xf numFmtId="0" fontId="49" fillId="0" borderId="10" xfId="8" applyFont="1" applyBorder="1" applyAlignment="1">
      <alignment horizontal="left" vertical="top" wrapText="1"/>
    </xf>
    <xf numFmtId="0" fontId="49" fillId="0" borderId="9" xfId="8" applyFont="1" applyBorder="1" applyAlignment="1">
      <alignment horizontal="left" vertical="top" wrapText="1"/>
    </xf>
    <xf numFmtId="0" fontId="49" fillId="0" borderId="0" xfId="8" applyFont="1" applyAlignment="1">
      <alignment horizontal="center" vertical="center"/>
    </xf>
    <xf numFmtId="0" fontId="49" fillId="0" borderId="12" xfId="8" applyFont="1" applyBorder="1" applyAlignment="1">
      <alignment horizontal="center" vertical="center"/>
    </xf>
    <xf numFmtId="0" fontId="49" fillId="0" borderId="0" xfId="8" applyFont="1" applyAlignment="1">
      <alignment horizontal="center" vertical="top"/>
    </xf>
    <xf numFmtId="0" fontId="49" fillId="0" borderId="12" xfId="8" applyFont="1" applyBorder="1" applyAlignment="1">
      <alignment horizontal="center" vertical="top"/>
    </xf>
    <xf numFmtId="0" fontId="74" fillId="0" borderId="2" xfId="8" applyFont="1" applyBorder="1" applyAlignment="1">
      <alignment horizontal="center" vertical="center"/>
    </xf>
    <xf numFmtId="180" fontId="74" fillId="0" borderId="10" xfId="8" applyNumberFormat="1" applyFont="1" applyBorder="1" applyAlignment="1">
      <alignment horizontal="center" vertical="center"/>
    </xf>
    <xf numFmtId="180" fontId="74" fillId="0" borderId="3" xfId="8" applyNumberFormat="1" applyFont="1" applyBorder="1" applyAlignment="1">
      <alignment horizontal="center" vertical="center"/>
    </xf>
    <xf numFmtId="0" fontId="72" fillId="0" borderId="0" xfId="8" applyAlignment="1">
      <alignment horizontal="center" vertical="center"/>
    </xf>
    <xf numFmtId="180" fontId="17" fillId="0" borderId="0" xfId="3" applyNumberFormat="1" applyAlignment="1">
      <alignment horizontal="center" vertical="center"/>
    </xf>
    <xf numFmtId="0" fontId="40" fillId="4" borderId="0" xfId="6" applyFont="1" applyFill="1" applyAlignment="1">
      <alignment horizontal="center" vertical="center" shrinkToFit="1"/>
    </xf>
    <xf numFmtId="0" fontId="41" fillId="0" borderId="0" xfId="6" applyFont="1" applyAlignment="1">
      <alignment horizontal="center" vertical="center" shrinkToFit="1"/>
    </xf>
    <xf numFmtId="178" fontId="41" fillId="0" borderId="0" xfId="6" applyNumberFormat="1" applyFont="1" applyAlignment="1">
      <alignment horizontal="center" vertical="center" shrinkToFit="1"/>
    </xf>
    <xf numFmtId="0" fontId="40" fillId="0" borderId="0" xfId="6" applyFont="1" applyAlignment="1">
      <alignment horizontal="center" vertical="center" shrinkToFit="1"/>
    </xf>
    <xf numFmtId="0" fontId="44" fillId="0" borderId="0" xfId="6" applyFont="1" applyAlignment="1">
      <alignment horizontal="center" vertical="center" shrinkToFit="1"/>
    </xf>
    <xf numFmtId="0" fontId="44" fillId="0" borderId="10" xfId="6" applyFont="1" applyBorder="1" applyAlignment="1">
      <alignment horizontal="center" vertical="center" shrinkToFit="1"/>
    </xf>
    <xf numFmtId="0" fontId="42" fillId="0" borderId="0" xfId="6" applyFont="1" applyAlignment="1">
      <alignment horizontal="center" vertical="center" shrinkToFit="1"/>
    </xf>
    <xf numFmtId="0" fontId="42" fillId="0" borderId="10" xfId="6" applyFont="1" applyBorder="1" applyAlignment="1">
      <alignment horizontal="center" vertical="center" shrinkToFit="1"/>
    </xf>
    <xf numFmtId="0" fontId="40" fillId="0" borderId="0" xfId="6" applyFont="1" applyAlignment="1">
      <alignment horizontal="left" vertical="center" wrapText="1" shrinkToFit="1"/>
    </xf>
    <xf numFmtId="179" fontId="44" fillId="0" borderId="0" xfId="6" applyNumberFormat="1" applyFont="1" applyAlignment="1">
      <alignment horizontal="center" vertical="center" wrapText="1" shrinkToFit="1"/>
    </xf>
    <xf numFmtId="0" fontId="44" fillId="4" borderId="0" xfId="6" applyFont="1" applyFill="1" applyAlignment="1">
      <alignment horizontal="center" vertical="center" shrinkToFit="1"/>
    </xf>
    <xf numFmtId="0" fontId="44" fillId="0" borderId="0" xfId="6" applyFont="1" applyAlignment="1">
      <alignment horizontal="right" vertical="center" shrinkToFit="1"/>
    </xf>
    <xf numFmtId="49" fontId="44" fillId="4" borderId="0" xfId="6" applyNumberFormat="1" applyFont="1" applyFill="1" applyAlignment="1">
      <alignment horizontal="center" vertical="center" shrinkToFit="1"/>
    </xf>
    <xf numFmtId="0" fontId="41" fillId="0" borderId="98" xfId="6" applyFont="1" applyBorder="1" applyAlignment="1">
      <alignment horizontal="left" vertical="center" shrinkToFit="1"/>
    </xf>
    <xf numFmtId="0" fontId="41" fillId="0" borderId="0" xfId="6" applyFont="1" applyAlignment="1">
      <alignment horizontal="left" vertical="center" shrinkToFit="1"/>
    </xf>
    <xf numFmtId="0" fontId="41" fillId="0" borderId="99" xfId="6" applyFont="1" applyBorder="1" applyAlignment="1">
      <alignment horizontal="left" vertical="center" shrinkToFit="1"/>
    </xf>
    <xf numFmtId="0" fontId="40" fillId="0" borderId="10" xfId="6" applyFont="1" applyBorder="1" applyAlignment="1">
      <alignment horizontal="center" vertical="center" shrinkToFit="1"/>
    </xf>
    <xf numFmtId="0" fontId="40" fillId="0" borderId="95" xfId="6" applyFont="1" applyBorder="1" applyAlignment="1">
      <alignment horizontal="center" vertical="center" shrinkToFit="1"/>
    </xf>
    <xf numFmtId="0" fontId="40" fillId="0" borderId="96" xfId="6" applyFont="1" applyBorder="1" applyAlignment="1">
      <alignment horizontal="center" vertical="center" shrinkToFit="1"/>
    </xf>
    <xf numFmtId="0" fontId="40" fillId="0" borderId="97" xfId="6" applyFont="1" applyBorder="1" applyAlignment="1">
      <alignment horizontal="center" vertical="center" shrinkToFit="1"/>
    </xf>
    <xf numFmtId="0" fontId="40" fillId="0" borderId="98" xfId="6" applyFont="1" applyBorder="1" applyAlignment="1">
      <alignment horizontal="center" vertical="center" shrinkToFit="1"/>
    </xf>
    <xf numFmtId="0" fontId="40" fillId="0" borderId="99" xfId="6" applyFont="1" applyBorder="1" applyAlignment="1">
      <alignment horizontal="center" vertical="center" shrinkToFit="1"/>
    </xf>
    <xf numFmtId="0" fontId="41" fillId="0" borderId="98" xfId="6" applyFont="1" applyBorder="1" applyAlignment="1">
      <alignment horizontal="center" vertical="center" shrinkToFit="1"/>
    </xf>
    <xf numFmtId="0" fontId="41" fillId="0" borderId="99" xfId="6" applyFont="1" applyBorder="1" applyAlignment="1">
      <alignment horizontal="center" vertical="center" shrinkToFit="1"/>
    </xf>
    <xf numFmtId="0" fontId="44" fillId="0" borderId="10" xfId="6" applyFont="1" applyBorder="1" applyAlignment="1">
      <alignment horizontal="right" vertical="center" shrinkToFit="1"/>
    </xf>
    <xf numFmtId="179" fontId="44" fillId="0" borderId="0" xfId="6" applyNumberFormat="1" applyFont="1" applyAlignment="1">
      <alignment horizontal="center" vertical="center" shrinkToFit="1"/>
    </xf>
    <xf numFmtId="0" fontId="19" fillId="0" borderId="3" xfId="4" applyFont="1" applyBorder="1" applyAlignment="1">
      <alignment horizontal="center" vertical="center" shrinkToFit="1"/>
    </xf>
    <xf numFmtId="58" fontId="19" fillId="0" borderId="2" xfId="4" applyNumberFormat="1" applyFont="1" applyBorder="1" applyAlignment="1">
      <alignment horizontal="center" vertical="center" shrinkToFit="1"/>
    </xf>
    <xf numFmtId="58" fontId="19" fillId="0" borderId="3" xfId="4" applyNumberFormat="1" applyFont="1" applyBorder="1" applyAlignment="1">
      <alignment horizontal="center" vertical="center" shrinkToFit="1"/>
    </xf>
    <xf numFmtId="0" fontId="19" fillId="0" borderId="22" xfId="4" applyFont="1" applyBorder="1" applyAlignment="1">
      <alignment horizontal="center" vertical="center" shrinkToFit="1"/>
    </xf>
    <xf numFmtId="0" fontId="20" fillId="0" borderId="0" xfId="4" applyFont="1" applyAlignment="1">
      <alignment horizontal="right"/>
    </xf>
    <xf numFmtId="0" fontId="23" fillId="0" borderId="0" xfId="4" applyFont="1" applyAlignment="1">
      <alignment horizontal="center" vertical="center" wrapText="1"/>
    </xf>
    <xf numFmtId="0" fontId="19" fillId="0" borderId="19" xfId="4" applyFont="1" applyBorder="1" applyAlignment="1">
      <alignment horizontal="center" vertical="center"/>
    </xf>
    <xf numFmtId="0" fontId="19" fillId="0" borderId="18" xfId="4" applyFont="1" applyBorder="1" applyAlignment="1">
      <alignment horizontal="center" vertical="center"/>
    </xf>
    <xf numFmtId="0" fontId="19" fillId="0" borderId="10" xfId="4" applyFont="1" applyBorder="1" applyAlignment="1">
      <alignment horizontal="center" vertical="center"/>
    </xf>
    <xf numFmtId="0" fontId="19" fillId="0" borderId="9" xfId="4" applyFont="1" applyBorder="1" applyAlignment="1">
      <alignment horizontal="center" vertical="center"/>
    </xf>
    <xf numFmtId="0" fontId="19" fillId="0" borderId="17" xfId="4" applyFont="1" applyBorder="1" applyAlignment="1">
      <alignment horizontal="center" vertical="center"/>
    </xf>
    <xf numFmtId="0" fontId="19" fillId="0" borderId="20" xfId="4" applyFont="1" applyBorder="1" applyAlignment="1">
      <alignment horizontal="center" vertical="center"/>
    </xf>
    <xf numFmtId="0" fontId="19" fillId="0" borderId="8" xfId="4" applyFont="1" applyBorder="1" applyAlignment="1">
      <alignment horizontal="center" vertical="center"/>
    </xf>
    <xf numFmtId="0" fontId="19" fillId="0" borderId="23" xfId="4" applyFont="1" applyBorder="1" applyAlignment="1">
      <alignment horizontal="center" vertical="center"/>
    </xf>
    <xf numFmtId="0" fontId="27" fillId="0" borderId="38" xfId="4" applyFont="1" applyBorder="1" applyAlignment="1">
      <alignment horizontal="center" vertical="center" wrapText="1"/>
    </xf>
    <xf numFmtId="0" fontId="27" fillId="0" borderId="19" xfId="4" applyFont="1" applyBorder="1" applyAlignment="1">
      <alignment horizontal="center" vertical="center" wrapText="1"/>
    </xf>
    <xf numFmtId="0" fontId="27" fillId="0" borderId="18" xfId="4" applyFont="1" applyBorder="1" applyAlignment="1">
      <alignment horizontal="center" vertical="center" wrapText="1"/>
    </xf>
    <xf numFmtId="0" fontId="27" fillId="0" borderId="39" xfId="4" applyFont="1" applyBorder="1" applyAlignment="1">
      <alignment horizontal="center" vertical="center" wrapText="1"/>
    </xf>
    <xf numFmtId="0" fontId="27" fillId="0" borderId="0" xfId="4" applyFont="1" applyAlignment="1">
      <alignment horizontal="center" vertical="center" wrapText="1"/>
    </xf>
    <xf numFmtId="0" fontId="27" fillId="0" borderId="12" xfId="4" applyFont="1" applyBorder="1" applyAlignment="1">
      <alignment horizontal="center" vertical="center" wrapText="1"/>
    </xf>
    <xf numFmtId="0" fontId="27" fillId="0" borderId="34" xfId="4" applyFont="1" applyBorder="1" applyAlignment="1">
      <alignment horizontal="center" vertical="center" wrapText="1"/>
    </xf>
    <xf numFmtId="0" fontId="27" fillId="0" borderId="10" xfId="4" applyFont="1" applyBorder="1" applyAlignment="1">
      <alignment horizontal="center" vertical="center" wrapText="1"/>
    </xf>
    <xf numFmtId="0" fontId="27" fillId="0" borderId="9" xfId="4" applyFont="1" applyBorder="1" applyAlignment="1">
      <alignment horizontal="center" vertical="center" wrapText="1"/>
    </xf>
    <xf numFmtId="0" fontId="28" fillId="0" borderId="8" xfId="4" applyFont="1" applyBorder="1" applyAlignment="1">
      <alignment horizontal="center" vertical="center"/>
    </xf>
    <xf numFmtId="0" fontId="28" fillId="0" borderId="10" xfId="4" applyFont="1" applyBorder="1" applyAlignment="1">
      <alignment horizontal="center" vertical="center"/>
    </xf>
    <xf numFmtId="0" fontId="19" fillId="0" borderId="31" xfId="4" applyFont="1" applyBorder="1" applyAlignment="1">
      <alignment horizontal="center"/>
    </xf>
    <xf numFmtId="0" fontId="19" fillId="0" borderId="15" xfId="4" applyFont="1" applyBorder="1" applyAlignment="1">
      <alignment horizontal="center"/>
    </xf>
    <xf numFmtId="0" fontId="19" fillId="0" borderId="16" xfId="4" applyFont="1" applyBorder="1" applyAlignment="1">
      <alignment horizontal="center"/>
    </xf>
    <xf numFmtId="0" fontId="27" fillId="0" borderId="2" xfId="4" applyFont="1" applyBorder="1" applyAlignment="1">
      <alignment horizontal="center" vertical="center"/>
    </xf>
    <xf numFmtId="0" fontId="27" fillId="0" borderId="3" xfId="4" applyFont="1" applyBorder="1" applyAlignment="1">
      <alignment horizontal="center" vertical="center"/>
    </xf>
    <xf numFmtId="0" fontId="19" fillId="0" borderId="2" xfId="4" applyFont="1" applyBorder="1" applyAlignment="1">
      <alignment horizontal="center" vertical="center"/>
    </xf>
    <xf numFmtId="0" fontId="19" fillId="0" borderId="3" xfId="4" applyFont="1" applyBorder="1" applyAlignment="1">
      <alignment horizontal="center" vertical="center"/>
    </xf>
    <xf numFmtId="0" fontId="19" fillId="0" borderId="4" xfId="4" applyFont="1" applyBorder="1" applyAlignment="1">
      <alignment horizontal="center" vertical="center"/>
    </xf>
    <xf numFmtId="0" fontId="28" fillId="0" borderId="8" xfId="4" applyFont="1" applyBorder="1" applyAlignment="1">
      <alignment horizontal="center" vertical="center" wrapText="1"/>
    </xf>
    <xf numFmtId="0" fontId="28" fillId="0" borderId="10" xfId="4" applyFont="1" applyBorder="1" applyAlignment="1">
      <alignment horizontal="center" vertical="center" wrapText="1"/>
    </xf>
    <xf numFmtId="0" fontId="28" fillId="0" borderId="9" xfId="4" applyFont="1" applyBorder="1" applyAlignment="1">
      <alignment horizontal="center" vertical="center" wrapText="1"/>
    </xf>
    <xf numFmtId="0" fontId="25" fillId="0" borderId="2" xfId="4" applyFont="1" applyBorder="1" applyAlignment="1">
      <alignment horizontal="center" vertical="center" wrapText="1"/>
    </xf>
    <xf numFmtId="0" fontId="25" fillId="0" borderId="3" xfId="4" applyFont="1" applyBorder="1" applyAlignment="1">
      <alignment horizontal="center" vertical="center" wrapText="1"/>
    </xf>
    <xf numFmtId="0" fontId="25" fillId="0" borderId="22" xfId="4" applyFont="1" applyBorder="1" applyAlignment="1">
      <alignment horizontal="center" vertical="center" wrapText="1"/>
    </xf>
    <xf numFmtId="0" fontId="27" fillId="0" borderId="1" xfId="4" applyFont="1" applyBorder="1" applyAlignment="1">
      <alignment horizontal="center" vertical="center"/>
    </xf>
    <xf numFmtId="0" fontId="19" fillId="0" borderId="65" xfId="4" applyFont="1" applyBorder="1" applyAlignment="1">
      <alignment horizontal="center" vertical="center"/>
    </xf>
    <xf numFmtId="0" fontId="27" fillId="0" borderId="8" xfId="4" applyFont="1" applyBorder="1" applyAlignment="1">
      <alignment horizontal="center" vertical="center"/>
    </xf>
    <xf numFmtId="0" fontId="27" fillId="0" borderId="10" xfId="4" applyFont="1" applyBorder="1" applyAlignment="1">
      <alignment horizontal="center" vertical="center"/>
    </xf>
    <xf numFmtId="0" fontId="28" fillId="0" borderId="33" xfId="4" applyFont="1" applyBorder="1" applyAlignment="1">
      <alignment horizontal="center" vertical="center" wrapText="1"/>
    </xf>
    <xf numFmtId="0" fontId="28" fillId="0" borderId="5" xfId="4" applyFont="1" applyBorder="1" applyAlignment="1">
      <alignment horizontal="center" vertical="center" wrapText="1"/>
    </xf>
    <xf numFmtId="0" fontId="28" fillId="0" borderId="7" xfId="4" applyFont="1" applyBorder="1" applyAlignment="1">
      <alignment horizontal="center" vertical="center" wrapText="1"/>
    </xf>
    <xf numFmtId="0" fontId="21" fillId="0" borderId="2" xfId="4" applyFont="1" applyBorder="1" applyAlignment="1">
      <alignment horizontal="left" vertical="center" shrinkToFit="1"/>
    </xf>
    <xf numFmtId="0" fontId="21" fillId="0" borderId="3" xfId="4" applyFont="1" applyBorder="1" applyAlignment="1">
      <alignment horizontal="left" vertical="center" shrinkToFit="1"/>
    </xf>
    <xf numFmtId="0" fontId="21" fillId="0" borderId="22" xfId="4" applyFont="1" applyBorder="1" applyAlignment="1">
      <alignment horizontal="left" vertical="center" shrinkToFit="1"/>
    </xf>
    <xf numFmtId="0" fontId="25" fillId="0" borderId="26" xfId="4" applyFont="1" applyBorder="1" applyAlignment="1">
      <alignment horizontal="center" vertical="center"/>
    </xf>
    <xf numFmtId="0" fontId="25" fillId="0" borderId="27" xfId="4" applyFont="1" applyBorder="1" applyAlignment="1">
      <alignment horizontal="center" vertical="center"/>
    </xf>
    <xf numFmtId="0" fontId="25" fillId="0" borderId="28" xfId="4" applyFont="1" applyBorder="1" applyAlignment="1">
      <alignment horizontal="center" vertical="center"/>
    </xf>
    <xf numFmtId="0" fontId="19" fillId="0" borderId="29" xfId="4" applyFont="1" applyBorder="1" applyAlignment="1">
      <alignment horizontal="center" vertical="center"/>
    </xf>
    <xf numFmtId="0" fontId="19" fillId="0" borderId="27" xfId="4" applyFont="1" applyBorder="1" applyAlignment="1">
      <alignment horizontal="center" vertical="center"/>
    </xf>
    <xf numFmtId="0" fontId="19" fillId="0" borderId="28" xfId="4" applyFont="1" applyBorder="1" applyAlignment="1">
      <alignment horizontal="center" vertical="center"/>
    </xf>
    <xf numFmtId="0" fontId="27" fillId="0" borderId="59" xfId="4" applyFont="1" applyBorder="1" applyAlignment="1">
      <alignment horizontal="center" vertical="center" textRotation="255"/>
    </xf>
    <xf numFmtId="0" fontId="27" fillId="0" borderId="36" xfId="4" applyFont="1" applyBorder="1" applyAlignment="1">
      <alignment horizontal="center" vertical="center" textRotation="255"/>
    </xf>
    <xf numFmtId="0" fontId="27" fillId="0" borderId="31" xfId="4" applyFont="1" applyBorder="1" applyAlignment="1">
      <alignment horizontal="center" vertical="center"/>
    </xf>
    <xf numFmtId="0" fontId="27" fillId="0" borderId="15" xfId="4" applyFont="1" applyBorder="1" applyAlignment="1">
      <alignment horizontal="center" vertical="center"/>
    </xf>
    <xf numFmtId="0" fontId="27" fillId="0" borderId="16" xfId="4" applyFont="1" applyBorder="1" applyAlignment="1">
      <alignment horizontal="center" vertical="center"/>
    </xf>
    <xf numFmtId="0" fontId="19" fillId="3" borderId="26" xfId="4" applyFont="1" applyFill="1" applyBorder="1" applyAlignment="1">
      <alignment horizontal="center" vertical="center"/>
    </xf>
    <xf numFmtId="0" fontId="19" fillId="3" borderId="27" xfId="4" applyFont="1" applyFill="1" applyBorder="1" applyAlignment="1">
      <alignment horizontal="center" vertical="center"/>
    </xf>
    <xf numFmtId="0" fontId="19" fillId="3" borderId="28" xfId="4" applyFont="1" applyFill="1" applyBorder="1" applyAlignment="1">
      <alignment horizontal="center" vertical="center"/>
    </xf>
    <xf numFmtId="0" fontId="27" fillId="0" borderId="2" xfId="4" applyFont="1" applyBorder="1" applyAlignment="1">
      <alignment horizontal="center"/>
    </xf>
    <xf numFmtId="0" fontId="27" fillId="0" borderId="3" xfId="4" applyFont="1" applyBorder="1" applyAlignment="1">
      <alignment horizontal="center"/>
    </xf>
    <xf numFmtId="0" fontId="27" fillId="0" borderId="4" xfId="4" applyFont="1" applyBorder="1" applyAlignment="1">
      <alignment horizontal="center"/>
    </xf>
    <xf numFmtId="0" fontId="19" fillId="0" borderId="2" xfId="4" applyFont="1" applyBorder="1" applyAlignment="1">
      <alignment horizontal="center"/>
    </xf>
    <xf numFmtId="0" fontId="19" fillId="0" borderId="3" xfId="4" applyFont="1" applyBorder="1" applyAlignment="1">
      <alignment horizontal="center"/>
    </xf>
    <xf numFmtId="0" fontId="19" fillId="0" borderId="4" xfId="4" applyFont="1" applyBorder="1" applyAlignment="1">
      <alignment horizontal="center"/>
    </xf>
    <xf numFmtId="0" fontId="27" fillId="0" borderId="31" xfId="4" applyFont="1" applyBorder="1" applyAlignment="1">
      <alignment horizontal="center"/>
    </xf>
    <xf numFmtId="0" fontId="27" fillId="0" borderId="15" xfId="4" applyFont="1" applyBorder="1" applyAlignment="1">
      <alignment horizontal="center"/>
    </xf>
    <xf numFmtId="0" fontId="27" fillId="0" borderId="16" xfId="4" applyFont="1" applyBorder="1" applyAlignment="1">
      <alignment horizontal="center"/>
    </xf>
    <xf numFmtId="0" fontId="27" fillId="0" borderId="6" xfId="4" applyFont="1" applyBorder="1" applyAlignment="1">
      <alignment horizontal="center" vertical="center"/>
    </xf>
    <xf numFmtId="0" fontId="27" fillId="0" borderId="5" xfId="4" applyFont="1" applyBorder="1" applyAlignment="1">
      <alignment horizontal="center" vertical="center"/>
    </xf>
    <xf numFmtId="0" fontId="27" fillId="0" borderId="7" xfId="4" applyFont="1" applyBorder="1" applyAlignment="1">
      <alignment horizontal="center" vertical="center"/>
    </xf>
    <xf numFmtId="0" fontId="27" fillId="0" borderId="11" xfId="4" applyFont="1" applyBorder="1" applyAlignment="1">
      <alignment horizontal="center" vertical="center"/>
    </xf>
    <xf numFmtId="0" fontId="27" fillId="0" borderId="0" xfId="4" applyFont="1" applyAlignment="1">
      <alignment horizontal="center" vertical="center"/>
    </xf>
    <xf numFmtId="0" fontId="27" fillId="0" borderId="12" xfId="4" applyFont="1" applyBorder="1" applyAlignment="1">
      <alignment horizontal="center" vertical="center"/>
    </xf>
    <xf numFmtId="0" fontId="27" fillId="0" borderId="9" xfId="4" applyFont="1" applyBorder="1" applyAlignment="1">
      <alignment horizontal="center" vertical="center"/>
    </xf>
    <xf numFmtId="0" fontId="19" fillId="0" borderId="6" xfId="4" applyFont="1" applyBorder="1" applyAlignment="1">
      <alignment horizontal="left" wrapText="1"/>
    </xf>
    <xf numFmtId="0" fontId="19" fillId="0" borderId="5" xfId="4" applyFont="1" applyBorder="1" applyAlignment="1">
      <alignment horizontal="left" wrapText="1"/>
    </xf>
    <xf numFmtId="0" fontId="19" fillId="0" borderId="7" xfId="4" applyFont="1" applyBorder="1" applyAlignment="1">
      <alignment horizontal="left" wrapText="1"/>
    </xf>
    <xf numFmtId="0" fontId="19" fillId="0" borderId="8" xfId="4" applyFont="1" applyBorder="1" applyAlignment="1">
      <alignment horizontal="left" wrapText="1"/>
    </xf>
    <xf numFmtId="0" fontId="19" fillId="0" borderId="10" xfId="4" applyFont="1" applyBorder="1" applyAlignment="1">
      <alignment horizontal="left" wrapText="1"/>
    </xf>
    <xf numFmtId="0" fontId="19" fillId="0" borderId="9" xfId="4" applyFont="1" applyBorder="1" applyAlignment="1">
      <alignment horizontal="left" wrapText="1"/>
    </xf>
    <xf numFmtId="0" fontId="19" fillId="0" borderId="2" xfId="4" applyFont="1" applyBorder="1" applyAlignment="1">
      <alignment horizontal="center" vertical="center" shrinkToFit="1"/>
    </xf>
    <xf numFmtId="0" fontId="30" fillId="0" borderId="6" xfId="4" applyFont="1" applyBorder="1" applyAlignment="1">
      <alignment horizontal="left" vertical="center" wrapText="1"/>
    </xf>
    <xf numFmtId="0" fontId="30" fillId="0" borderId="5" xfId="4" applyFont="1" applyBorder="1" applyAlignment="1">
      <alignment horizontal="left" vertical="center" wrapText="1"/>
    </xf>
    <xf numFmtId="0" fontId="30" fillId="0" borderId="7" xfId="4" applyFont="1" applyBorder="1" applyAlignment="1">
      <alignment horizontal="left" vertical="center" wrapText="1"/>
    </xf>
    <xf numFmtId="0" fontId="30" fillId="0" borderId="8" xfId="4" applyFont="1" applyBorder="1" applyAlignment="1">
      <alignment horizontal="left" vertical="center" wrapText="1"/>
    </xf>
    <xf numFmtId="0" fontId="30" fillId="0" borderId="10" xfId="4" applyFont="1" applyBorder="1" applyAlignment="1">
      <alignment horizontal="left" vertical="center" wrapText="1"/>
    </xf>
    <xf numFmtId="0" fontId="30" fillId="0" borderId="9" xfId="4" applyFont="1" applyBorder="1" applyAlignment="1">
      <alignment horizontal="left" vertical="center" wrapText="1"/>
    </xf>
    <xf numFmtId="0" fontId="19" fillId="0" borderId="6" xfId="4" applyFont="1" applyBorder="1" applyAlignment="1">
      <alignment horizontal="left"/>
    </xf>
    <xf numFmtId="0" fontId="19" fillId="0" borderId="5" xfId="4" applyFont="1" applyBorder="1" applyAlignment="1">
      <alignment horizontal="left"/>
    </xf>
    <xf numFmtId="0" fontId="19" fillId="0" borderId="24" xfId="4" applyFont="1" applyBorder="1" applyAlignment="1">
      <alignment horizontal="left"/>
    </xf>
    <xf numFmtId="0" fontId="19" fillId="0" borderId="8" xfId="4" applyFont="1" applyBorder="1" applyAlignment="1">
      <alignment horizontal="left" vertical="center" shrinkToFit="1"/>
    </xf>
    <xf numFmtId="0" fontId="19" fillId="0" borderId="10" xfId="4" applyFont="1" applyBorder="1" applyAlignment="1">
      <alignment horizontal="left" vertical="center" shrinkToFit="1"/>
    </xf>
    <xf numFmtId="0" fontId="19" fillId="0" borderId="23" xfId="4" applyFont="1" applyBorder="1" applyAlignment="1">
      <alignment horizontal="left" vertical="center" shrinkToFit="1"/>
    </xf>
    <xf numFmtId="0" fontId="27" fillId="0" borderId="6" xfId="4" applyFont="1" applyBorder="1" applyAlignment="1">
      <alignment horizontal="center" vertical="center" wrapText="1"/>
    </xf>
    <xf numFmtId="0" fontId="31" fillId="0" borderId="5" xfId="4" applyFont="1" applyBorder="1" applyAlignment="1">
      <alignment horizontal="center" vertical="center" wrapText="1"/>
    </xf>
    <xf numFmtId="0" fontId="31" fillId="0" borderId="7" xfId="4" applyFont="1" applyBorder="1" applyAlignment="1">
      <alignment horizontal="center" vertical="center" wrapText="1"/>
    </xf>
    <xf numFmtId="0" fontId="31" fillId="0" borderId="11" xfId="4" applyFont="1" applyBorder="1" applyAlignment="1">
      <alignment horizontal="center" vertical="center" wrapText="1"/>
    </xf>
    <xf numFmtId="0" fontId="31" fillId="0" borderId="0" xfId="4" applyFont="1" applyAlignment="1">
      <alignment horizontal="center" vertical="center" wrapText="1"/>
    </xf>
    <xf numFmtId="0" fontId="31" fillId="0" borderId="12" xfId="4" applyFont="1" applyBorder="1" applyAlignment="1">
      <alignment horizontal="center" vertical="center" wrapText="1"/>
    </xf>
    <xf numFmtId="0" fontId="19" fillId="0" borderId="32" xfId="4" applyFont="1" applyBorder="1" applyAlignment="1">
      <alignment horizontal="center"/>
    </xf>
    <xf numFmtId="0" fontId="27" fillId="0" borderId="4" xfId="4" applyFont="1" applyBorder="1" applyAlignment="1">
      <alignment horizontal="center" vertical="center"/>
    </xf>
    <xf numFmtId="0" fontId="28" fillId="0" borderId="5" xfId="4" applyFont="1" applyBorder="1" applyAlignment="1">
      <alignment horizontal="right" vertical="top"/>
    </xf>
    <xf numFmtId="0" fontId="28" fillId="0" borderId="24" xfId="4" applyFont="1" applyBorder="1" applyAlignment="1">
      <alignment horizontal="right" vertical="top"/>
    </xf>
    <xf numFmtId="0" fontId="27" fillId="0" borderId="11" xfId="4" applyFont="1" applyBorder="1" applyAlignment="1">
      <alignment horizontal="left" vertical="center"/>
    </xf>
    <xf numFmtId="0" fontId="27" fillId="0" borderId="0" xfId="4" applyFont="1" applyAlignment="1">
      <alignment horizontal="left" vertical="center"/>
    </xf>
    <xf numFmtId="0" fontId="27" fillId="0" borderId="8" xfId="4" applyFont="1" applyBorder="1" applyAlignment="1">
      <alignment horizontal="left" vertical="center"/>
    </xf>
    <xf numFmtId="0" fontId="27" fillId="0" borderId="10" xfId="4" applyFont="1" applyBorder="1" applyAlignment="1">
      <alignment horizontal="left" vertical="center"/>
    </xf>
    <xf numFmtId="0" fontId="27" fillId="0" borderId="2" xfId="4" applyFont="1" applyBorder="1" applyAlignment="1">
      <alignment horizontal="left" vertical="center" shrinkToFit="1"/>
    </xf>
    <xf numFmtId="0" fontId="18" fillId="0" borderId="3" xfId="4" applyBorder="1" applyAlignment="1">
      <alignment horizontal="left" vertical="center" shrinkToFit="1"/>
    </xf>
    <xf numFmtId="0" fontId="18" fillId="0" borderId="4" xfId="4" applyBorder="1" applyAlignment="1">
      <alignment horizontal="left" vertical="center" shrinkToFit="1"/>
    </xf>
    <xf numFmtId="0" fontId="19" fillId="0" borderId="4" xfId="4" applyFont="1" applyBorder="1" applyAlignment="1">
      <alignment horizontal="center" vertical="center" shrinkToFit="1"/>
    </xf>
    <xf numFmtId="0" fontId="25" fillId="0" borderId="2" xfId="4" applyFont="1" applyBorder="1" applyAlignment="1">
      <alignment horizontal="center" vertical="center" shrinkToFit="1"/>
    </xf>
    <xf numFmtId="0" fontId="18" fillId="0" borderId="3" xfId="4" applyBorder="1" applyAlignment="1">
      <alignment horizontal="center" vertical="center" shrinkToFit="1"/>
    </xf>
    <xf numFmtId="0" fontId="18" fillId="0" borderId="4" xfId="4" applyBorder="1" applyAlignment="1">
      <alignment horizontal="center" vertical="center" shrinkToFit="1"/>
    </xf>
    <xf numFmtId="0" fontId="18" fillId="0" borderId="2" xfId="4" applyBorder="1" applyAlignment="1">
      <alignment horizontal="center" vertical="center" shrinkToFit="1"/>
    </xf>
    <xf numFmtId="0" fontId="18" fillId="0" borderId="22" xfId="4" applyBorder="1" applyAlignment="1">
      <alignment horizontal="center" vertical="center" shrinkToFit="1"/>
    </xf>
    <xf numFmtId="49" fontId="18" fillId="4" borderId="2" xfId="4" applyNumberFormat="1" applyFill="1" applyBorder="1" applyAlignment="1">
      <alignment horizontal="center" vertical="center" shrinkToFit="1"/>
    </xf>
    <xf numFmtId="49" fontId="18" fillId="4" borderId="3" xfId="4" applyNumberFormat="1" applyFill="1" applyBorder="1" applyAlignment="1">
      <alignment horizontal="center" vertical="center" shrinkToFit="1"/>
    </xf>
    <xf numFmtId="49" fontId="18" fillId="4" borderId="22" xfId="4" applyNumberFormat="1" applyFill="1" applyBorder="1" applyAlignment="1">
      <alignment horizontal="center" vertical="center" shrinkToFit="1"/>
    </xf>
    <xf numFmtId="0" fontId="27" fillId="0" borderId="59" xfId="4" applyFont="1" applyBorder="1" applyAlignment="1">
      <alignment horizontal="center" vertical="center" textRotation="255" wrapText="1"/>
    </xf>
    <xf numFmtId="0" fontId="27" fillId="0" borderId="36" xfId="4" applyFont="1" applyBorder="1" applyAlignment="1">
      <alignment horizontal="center" vertical="center" textRotation="255" wrapText="1"/>
    </xf>
    <xf numFmtId="0" fontId="27" fillId="0" borderId="37" xfId="4" applyFont="1" applyBorder="1" applyAlignment="1">
      <alignment horizontal="center" vertical="center" textRotation="255" wrapText="1"/>
    </xf>
    <xf numFmtId="0" fontId="25" fillId="0" borderId="11" xfId="4" applyFont="1" applyBorder="1" applyAlignment="1">
      <alignment horizontal="center" vertical="center" wrapText="1"/>
    </xf>
    <xf numFmtId="0" fontId="25" fillId="0" borderId="0" xfId="4" applyFont="1" applyAlignment="1">
      <alignment horizontal="center" vertical="center"/>
    </xf>
    <xf numFmtId="0" fontId="25" fillId="0" borderId="12" xfId="4" applyFont="1" applyBorder="1" applyAlignment="1">
      <alignment horizontal="center" vertical="center"/>
    </xf>
    <xf numFmtId="0" fontId="25" fillId="0" borderId="8" xfId="4" applyFont="1" applyBorder="1" applyAlignment="1">
      <alignment horizontal="center" vertical="center"/>
    </xf>
    <xf numFmtId="0" fontId="25" fillId="0" borderId="10" xfId="4" applyFont="1" applyBorder="1" applyAlignment="1">
      <alignment horizontal="center" vertical="center"/>
    </xf>
    <xf numFmtId="0" fontId="25" fillId="0" borderId="9" xfId="4" applyFont="1" applyBorder="1" applyAlignment="1">
      <alignment horizontal="center" vertical="center"/>
    </xf>
    <xf numFmtId="0" fontId="19" fillId="0" borderId="11" xfId="4" applyFont="1" applyBorder="1" applyAlignment="1">
      <alignment horizontal="center"/>
    </xf>
    <xf numFmtId="0" fontId="19" fillId="0" borderId="0" xfId="4" applyFont="1" applyAlignment="1">
      <alignment horizontal="center"/>
    </xf>
    <xf numFmtId="0" fontId="19" fillId="0" borderId="40" xfId="4" applyFont="1" applyBorder="1" applyAlignment="1">
      <alignment horizontal="center"/>
    </xf>
    <xf numFmtId="0" fontId="19" fillId="0" borderId="10" xfId="4" applyFont="1" applyBorder="1" applyAlignment="1">
      <alignment horizontal="center"/>
    </xf>
    <xf numFmtId="0" fontId="19" fillId="0" borderId="23" xfId="4" applyFont="1" applyBorder="1" applyAlignment="1">
      <alignment horizontal="center"/>
    </xf>
    <xf numFmtId="0" fontId="27" fillId="0" borderId="0" xfId="4" applyFont="1" applyAlignment="1">
      <alignment horizontal="center" wrapText="1"/>
    </xf>
    <xf numFmtId="0" fontId="27" fillId="0" borderId="12" xfId="4" applyFont="1" applyBorder="1" applyAlignment="1">
      <alignment horizontal="center" wrapText="1"/>
    </xf>
    <xf numFmtId="0" fontId="29" fillId="0" borderId="6" xfId="4" applyFont="1" applyBorder="1" applyAlignment="1">
      <alignment horizontal="left" vertical="top" wrapText="1"/>
    </xf>
    <xf numFmtId="0" fontId="29" fillId="0" borderId="5" xfId="4" applyFont="1" applyBorder="1" applyAlignment="1">
      <alignment horizontal="left" vertical="top" wrapText="1"/>
    </xf>
    <xf numFmtId="0" fontId="29" fillId="0" borderId="11" xfId="4" applyFont="1" applyBorder="1" applyAlignment="1">
      <alignment horizontal="left" vertical="top" wrapText="1"/>
    </xf>
    <xf numFmtId="0" fontId="29" fillId="0" borderId="0" xfId="4" applyFont="1" applyAlignment="1">
      <alignment horizontal="left" vertical="top" wrapText="1"/>
    </xf>
    <xf numFmtId="0" fontId="25" fillId="0" borderId="5" xfId="4" applyFont="1" applyBorder="1" applyAlignment="1">
      <alignment horizontal="center" vertical="center" wrapText="1"/>
    </xf>
    <xf numFmtId="0" fontId="25" fillId="0" borderId="7" xfId="4" applyFont="1" applyBorder="1" applyAlignment="1">
      <alignment horizontal="center" vertical="center" wrapText="1"/>
    </xf>
    <xf numFmtId="0" fontId="27" fillId="0" borderId="13" xfId="4" applyFont="1" applyBorder="1" applyAlignment="1">
      <alignment horizontal="center" vertical="center" textRotation="255"/>
    </xf>
    <xf numFmtId="0" fontId="27" fillId="0" borderId="21" xfId="4" applyFont="1" applyBorder="1" applyAlignment="1">
      <alignment horizontal="center" vertical="center" textRotation="255"/>
    </xf>
    <xf numFmtId="0" fontId="27" fillId="0" borderId="35" xfId="4" applyFont="1" applyBorder="1" applyAlignment="1">
      <alignment horizontal="center" vertical="center" textRotation="255"/>
    </xf>
    <xf numFmtId="0" fontId="27" fillId="0" borderId="51" xfId="4" applyFont="1" applyBorder="1" applyAlignment="1">
      <alignment horizontal="center" vertical="center" textRotation="255"/>
    </xf>
    <xf numFmtId="0" fontId="27" fillId="0" borderId="17" xfId="4" applyFont="1" applyBorder="1" applyAlignment="1">
      <alignment horizontal="center" vertical="center"/>
    </xf>
    <xf numFmtId="0" fontId="27" fillId="0" borderId="19" xfId="4" applyFont="1" applyBorder="1" applyAlignment="1">
      <alignment horizontal="center" vertical="center"/>
    </xf>
    <xf numFmtId="0" fontId="27" fillId="0" borderId="18" xfId="4" applyFont="1" applyBorder="1" applyAlignment="1">
      <alignment horizontal="center" vertical="center"/>
    </xf>
    <xf numFmtId="0" fontId="27" fillId="0" borderId="3" xfId="4" applyFont="1" applyBorder="1" applyAlignment="1">
      <alignment horizontal="center" vertical="center" wrapText="1"/>
    </xf>
    <xf numFmtId="0" fontId="27" fillId="0" borderId="29" xfId="4" applyFont="1" applyBorder="1" applyAlignment="1">
      <alignment horizontal="center" vertical="center"/>
    </xf>
    <xf numFmtId="0" fontId="27" fillId="0" borderId="27" xfId="4" applyFont="1" applyBorder="1" applyAlignment="1">
      <alignment horizontal="center" vertical="center"/>
    </xf>
    <xf numFmtId="0" fontId="27" fillId="0" borderId="28" xfId="4" applyFont="1" applyBorder="1" applyAlignment="1">
      <alignment horizontal="center" vertical="center"/>
    </xf>
    <xf numFmtId="0" fontId="28" fillId="0" borderId="29" xfId="4" applyFont="1" applyBorder="1" applyAlignment="1">
      <alignment horizontal="right"/>
    </xf>
    <xf numFmtId="0" fontId="28" fillId="0" borderId="27" xfId="4" applyFont="1" applyBorder="1" applyAlignment="1">
      <alignment horizontal="right"/>
    </xf>
    <xf numFmtId="0" fontId="28" fillId="0" borderId="30" xfId="4" applyFont="1" applyBorder="1" applyAlignment="1">
      <alignment horizontal="right"/>
    </xf>
    <xf numFmtId="0" fontId="37" fillId="0" borderId="65" xfId="4" applyFont="1" applyBorder="1" applyAlignment="1">
      <alignment horizontal="center" vertical="center" textRotation="255"/>
    </xf>
    <xf numFmtId="0" fontId="18" fillId="0" borderId="66" xfId="4" applyBorder="1" applyAlignment="1">
      <alignment horizontal="center" vertical="center" textRotation="255"/>
    </xf>
    <xf numFmtId="0" fontId="18" fillId="0" borderId="67" xfId="4" applyBorder="1" applyAlignment="1">
      <alignment horizontal="center" vertical="center" textRotation="255"/>
    </xf>
    <xf numFmtId="0" fontId="37" fillId="0" borderId="65" xfId="4" applyFont="1" applyBorder="1" applyAlignment="1">
      <alignment horizontal="center" vertical="center"/>
    </xf>
    <xf numFmtId="0" fontId="37" fillId="0" borderId="67" xfId="4" applyFont="1" applyBorder="1" applyAlignment="1">
      <alignment horizontal="center" vertical="center"/>
    </xf>
    <xf numFmtId="0" fontId="38" fillId="0" borderId="6" xfId="4" applyFont="1" applyBorder="1" applyAlignment="1">
      <alignment horizontal="center" vertical="center" wrapText="1"/>
    </xf>
    <xf numFmtId="0" fontId="38" fillId="0" borderId="5" xfId="4" applyFont="1" applyBorder="1" applyAlignment="1">
      <alignment horizontal="center" vertical="center" wrapText="1"/>
    </xf>
    <xf numFmtId="0" fontId="38" fillId="0" borderId="7" xfId="4" applyFont="1" applyBorder="1" applyAlignment="1">
      <alignment horizontal="center" vertical="center" wrapText="1"/>
    </xf>
    <xf numFmtId="0" fontId="38" fillId="0" borderId="8" xfId="4" applyFont="1" applyBorder="1" applyAlignment="1">
      <alignment horizontal="center" vertical="center" wrapText="1"/>
    </xf>
    <xf numFmtId="0" fontId="38" fillId="0" borderId="10" xfId="4" applyFont="1" applyBorder="1" applyAlignment="1">
      <alignment horizontal="center" vertical="center" wrapText="1"/>
    </xf>
    <xf numFmtId="0" fontId="38" fillId="0" borderId="9" xfId="4" applyFont="1" applyBorder="1" applyAlignment="1">
      <alignment horizontal="center" vertical="center" wrapText="1"/>
    </xf>
    <xf numFmtId="0" fontId="37" fillId="0" borderId="66" xfId="4" applyFont="1" applyBorder="1" applyAlignment="1">
      <alignment horizontal="center" vertical="center"/>
    </xf>
    <xf numFmtId="0" fontId="15" fillId="0" borderId="66" xfId="4" applyFont="1" applyBorder="1" applyAlignment="1">
      <alignment horizontal="center" vertical="center" wrapText="1"/>
    </xf>
    <xf numFmtId="0" fontId="15" fillId="0" borderId="67" xfId="4" applyFont="1" applyBorder="1" applyAlignment="1">
      <alignment horizontal="center" vertical="center" wrapText="1"/>
    </xf>
    <xf numFmtId="0" fontId="38" fillId="0" borderId="11" xfId="4" applyFont="1" applyBorder="1" applyAlignment="1">
      <alignment horizontal="center" vertical="center" wrapText="1"/>
    </xf>
    <xf numFmtId="0" fontId="38" fillId="0" borderId="0" xfId="4" applyFont="1" applyAlignment="1">
      <alignment horizontal="center" vertical="center" wrapText="1"/>
    </xf>
    <xf numFmtId="0" fontId="38" fillId="0" borderId="12" xfId="4" applyFont="1" applyBorder="1" applyAlignment="1">
      <alignment horizontal="center" vertical="center" wrapText="1"/>
    </xf>
    <xf numFmtId="0" fontId="39" fillId="0" borderId="41" xfId="4" applyFont="1" applyBorder="1" applyAlignment="1">
      <alignment horizontal="left"/>
    </xf>
    <xf numFmtId="0" fontId="39" fillId="0" borderId="42" xfId="4" applyFont="1" applyBorder="1" applyAlignment="1">
      <alignment horizontal="left"/>
    </xf>
    <xf numFmtId="0" fontId="39" fillId="0" borderId="43" xfId="4" applyFont="1" applyBorder="1" applyAlignment="1">
      <alignment horizontal="left"/>
    </xf>
    <xf numFmtId="0" fontId="9" fillId="0" borderId="31" xfId="2" applyFont="1" applyBorder="1" applyAlignment="1">
      <alignment horizontal="center" vertical="center"/>
    </xf>
    <xf numFmtId="0" fontId="9" fillId="0" borderId="15" xfId="2" applyFont="1" applyBorder="1" applyAlignment="1">
      <alignment horizontal="center" vertical="center"/>
    </xf>
    <xf numFmtId="0" fontId="9" fillId="0" borderId="32" xfId="2" applyFont="1" applyBorder="1" applyAlignment="1">
      <alignment horizontal="center" vertical="center"/>
    </xf>
    <xf numFmtId="58" fontId="19" fillId="0" borderId="31" xfId="4" applyNumberFormat="1" applyFont="1" applyBorder="1" applyAlignment="1">
      <alignment horizontal="center" vertical="center"/>
    </xf>
    <xf numFmtId="0" fontId="19" fillId="0" borderId="15" xfId="4" applyFont="1" applyBorder="1" applyAlignment="1">
      <alignment horizontal="center" vertical="center"/>
    </xf>
    <xf numFmtId="0" fontId="19" fillId="0" borderId="32" xfId="4" applyFont="1" applyBorder="1" applyAlignment="1">
      <alignment horizontal="center" vertical="center"/>
    </xf>
    <xf numFmtId="0" fontId="32" fillId="0" borderId="38" xfId="4" applyFont="1" applyBorder="1" applyAlignment="1">
      <alignment horizontal="left" vertical="center" wrapText="1" indent="1"/>
    </xf>
    <xf numFmtId="0" fontId="32" fillId="0" borderId="19" xfId="4" applyFont="1" applyBorder="1" applyAlignment="1">
      <alignment horizontal="left" vertical="center" wrapText="1" indent="1"/>
    </xf>
    <xf numFmtId="0" fontId="32" fillId="0" borderId="20" xfId="4" applyFont="1" applyBorder="1" applyAlignment="1">
      <alignment horizontal="left" vertical="center" wrapText="1" indent="1"/>
    </xf>
    <xf numFmtId="0" fontId="32" fillId="0" borderId="39" xfId="4" applyFont="1" applyBorder="1" applyAlignment="1">
      <alignment horizontal="left" vertical="center" wrapText="1" indent="1"/>
    </xf>
    <xf numFmtId="0" fontId="32" fillId="0" borderId="0" xfId="4" applyFont="1" applyAlignment="1">
      <alignment horizontal="left" vertical="center" wrapText="1" indent="1"/>
    </xf>
    <xf numFmtId="0" fontId="32" fillId="0" borderId="40" xfId="4" applyFont="1" applyBorder="1" applyAlignment="1">
      <alignment horizontal="left" vertical="center" wrapText="1" indent="1"/>
    </xf>
    <xf numFmtId="0" fontId="37" fillId="0" borderId="2" xfId="4" applyFont="1" applyBorder="1" applyAlignment="1">
      <alignment horizontal="center"/>
    </xf>
    <xf numFmtId="0" fontId="18" fillId="0" borderId="3" xfId="4" applyBorder="1" applyAlignment="1">
      <alignment horizontal="center"/>
    </xf>
    <xf numFmtId="0" fontId="18" fillId="0" borderId="4" xfId="4" applyBorder="1" applyAlignment="1">
      <alignment horizontal="center"/>
    </xf>
    <xf numFmtId="0" fontId="39" fillId="0" borderId="39" xfId="4" applyFont="1" applyBorder="1" applyAlignment="1">
      <alignment horizontal="left"/>
    </xf>
    <xf numFmtId="0" fontId="39" fillId="0" borderId="0" xfId="4" applyFont="1" applyAlignment="1">
      <alignment horizontal="left"/>
    </xf>
    <xf numFmtId="0" fontId="39" fillId="0" borderId="40" xfId="4" applyFont="1" applyBorder="1" applyAlignment="1">
      <alignment horizontal="left"/>
    </xf>
    <xf numFmtId="0" fontId="39" fillId="0" borderId="34" xfId="4" applyFont="1" applyBorder="1" applyAlignment="1">
      <alignment horizontal="left"/>
    </xf>
    <xf numFmtId="0" fontId="39" fillId="0" borderId="10" xfId="4" applyFont="1" applyBorder="1" applyAlignment="1">
      <alignment horizontal="left"/>
    </xf>
    <xf numFmtId="0" fontId="39" fillId="0" borderId="23" xfId="4" applyFont="1" applyBorder="1" applyAlignment="1">
      <alignment horizontal="left"/>
    </xf>
    <xf numFmtId="0" fontId="25" fillId="0" borderId="29" xfId="4" applyFont="1" applyBorder="1" applyAlignment="1">
      <alignment horizontal="left" vertical="top" wrapText="1"/>
    </xf>
    <xf numFmtId="0" fontId="25" fillId="0" borderId="27" xfId="4" applyFont="1" applyBorder="1" applyAlignment="1">
      <alignment horizontal="left" vertical="top"/>
    </xf>
    <xf numFmtId="0" fontId="25" fillId="0" borderId="30" xfId="4" applyFont="1" applyBorder="1" applyAlignment="1">
      <alignment horizontal="left" vertical="top"/>
    </xf>
    <xf numFmtId="0" fontId="28" fillId="0" borderId="0" xfId="4" applyFont="1" applyAlignment="1">
      <alignment horizontal="center" vertical="center" wrapText="1"/>
    </xf>
    <xf numFmtId="0" fontId="28" fillId="0" borderId="12" xfId="4" applyFont="1" applyBorder="1" applyAlignment="1">
      <alignment horizontal="center" vertical="center" wrapText="1"/>
    </xf>
    <xf numFmtId="0" fontId="25" fillId="0" borderId="8" xfId="4" applyFont="1" applyBorder="1" applyAlignment="1">
      <alignment horizontal="center" vertical="center" wrapText="1"/>
    </xf>
    <xf numFmtId="0" fontId="25" fillId="0" borderId="10" xfId="4" applyFont="1" applyBorder="1" applyAlignment="1">
      <alignment horizontal="center" vertical="center" wrapText="1"/>
    </xf>
    <xf numFmtId="0" fontId="25" fillId="0" borderId="9" xfId="4" applyFont="1" applyBorder="1" applyAlignment="1">
      <alignment horizontal="center" vertical="center" wrapText="1"/>
    </xf>
    <xf numFmtId="0" fontId="27" fillId="0" borderId="23" xfId="4" applyFont="1" applyBorder="1" applyAlignment="1">
      <alignment horizontal="center" vertical="center"/>
    </xf>
    <xf numFmtId="0" fontId="28" fillId="0" borderId="2" xfId="4" applyFont="1" applyBorder="1" applyAlignment="1">
      <alignment horizontal="right"/>
    </xf>
    <xf numFmtId="0" fontId="28" fillId="0" borderId="3" xfId="4" applyFont="1" applyBorder="1" applyAlignment="1">
      <alignment horizontal="right"/>
    </xf>
    <xf numFmtId="0" fontId="28" fillId="0" borderId="22" xfId="4" applyFont="1" applyBorder="1" applyAlignment="1">
      <alignment horizontal="right"/>
    </xf>
    <xf numFmtId="0" fontId="27" fillId="0" borderId="29" xfId="4" applyFont="1" applyBorder="1" applyAlignment="1">
      <alignment horizontal="center" vertical="center" wrapText="1"/>
    </xf>
    <xf numFmtId="0" fontId="31" fillId="0" borderId="27" xfId="4" applyFont="1" applyBorder="1" applyAlignment="1">
      <alignment horizontal="center" vertical="center" wrapText="1"/>
    </xf>
    <xf numFmtId="0" fontId="31" fillId="0" borderId="28" xfId="4" applyFont="1" applyBorder="1" applyAlignment="1">
      <alignment horizontal="center" vertical="center" wrapText="1"/>
    </xf>
    <xf numFmtId="0" fontId="32" fillId="0" borderId="29" xfId="4" applyFont="1" applyBorder="1" applyAlignment="1">
      <alignment horizontal="right" wrapText="1"/>
    </xf>
    <xf numFmtId="0" fontId="33" fillId="0" borderId="27" xfId="4" applyFont="1" applyBorder="1" applyAlignment="1">
      <alignment horizontal="right"/>
    </xf>
    <xf numFmtId="0" fontId="33" fillId="0" borderId="30" xfId="4" applyFont="1" applyBorder="1" applyAlignment="1">
      <alignment horizontal="right"/>
    </xf>
    <xf numFmtId="58" fontId="19" fillId="0" borderId="2" xfId="4" applyNumberFormat="1" applyFont="1" applyBorder="1" applyAlignment="1">
      <alignment horizontal="center" vertical="center"/>
    </xf>
    <xf numFmtId="0" fontId="19" fillId="0" borderId="22" xfId="4" applyFont="1" applyBorder="1" applyAlignment="1">
      <alignment horizontal="center" vertical="center"/>
    </xf>
    <xf numFmtId="58" fontId="19" fillId="0" borderId="3" xfId="4" applyNumberFormat="1" applyFont="1" applyBorder="1" applyAlignment="1">
      <alignment horizontal="center" vertical="center"/>
    </xf>
    <xf numFmtId="49" fontId="19" fillId="0" borderId="2" xfId="4" applyNumberFormat="1" applyFont="1" applyBorder="1" applyAlignment="1">
      <alignment horizontal="left" vertical="center" shrinkToFit="1"/>
    </xf>
    <xf numFmtId="49" fontId="19" fillId="0" borderId="3" xfId="4" applyNumberFormat="1" applyFont="1" applyBorder="1" applyAlignment="1">
      <alignment horizontal="left" vertical="center" shrinkToFit="1"/>
    </xf>
    <xf numFmtId="49" fontId="19" fillId="0" borderId="22" xfId="4" applyNumberFormat="1" applyFont="1" applyBorder="1" applyAlignment="1">
      <alignment horizontal="left" vertical="center" shrinkToFit="1"/>
    </xf>
    <xf numFmtId="49" fontId="19" fillId="4" borderId="2" xfId="4" applyNumberFormat="1" applyFont="1" applyFill="1" applyBorder="1" applyAlignment="1">
      <alignment horizontal="left" vertical="center" shrinkToFit="1"/>
    </xf>
    <xf numFmtId="49" fontId="19" fillId="4" borderId="3" xfId="4" applyNumberFormat="1" applyFont="1" applyFill="1" applyBorder="1" applyAlignment="1">
      <alignment horizontal="left" vertical="center" shrinkToFit="1"/>
    </xf>
    <xf numFmtId="49" fontId="19" fillId="4" borderId="22" xfId="4" applyNumberFormat="1" applyFont="1" applyFill="1" applyBorder="1" applyAlignment="1">
      <alignment horizontal="left" vertical="center" shrinkToFit="1"/>
    </xf>
    <xf numFmtId="0" fontId="28" fillId="0" borderId="29" xfId="4" applyFont="1" applyBorder="1" applyAlignment="1">
      <alignment horizontal="right" wrapText="1"/>
    </xf>
    <xf numFmtId="0" fontId="19" fillId="0" borderId="10" xfId="4" applyFont="1" applyBorder="1" applyAlignment="1">
      <alignment horizontal="center" vertical="center" wrapText="1"/>
    </xf>
    <xf numFmtId="0" fontId="19" fillId="0" borderId="9" xfId="4" applyFont="1" applyBorder="1" applyAlignment="1">
      <alignment horizontal="center" vertical="center" wrapText="1"/>
    </xf>
    <xf numFmtId="0" fontId="19" fillId="0" borderId="22" xfId="4" applyFont="1" applyBorder="1" applyAlignment="1">
      <alignment horizontal="center"/>
    </xf>
    <xf numFmtId="0" fontId="19" fillId="0" borderId="12" xfId="4" applyFont="1" applyBorder="1" applyAlignment="1">
      <alignment horizontal="center"/>
    </xf>
    <xf numFmtId="0" fontId="25" fillId="4" borderId="6" xfId="4" applyFont="1" applyFill="1" applyBorder="1" applyAlignment="1">
      <alignment horizontal="left" vertical="center" wrapText="1"/>
    </xf>
    <xf numFmtId="0" fontId="25" fillId="4" borderId="5" xfId="4" applyFont="1" applyFill="1" applyBorder="1" applyAlignment="1">
      <alignment horizontal="left" vertical="center" wrapText="1"/>
    </xf>
    <xf numFmtId="0" fontId="25" fillId="4" borderId="24" xfId="4" applyFont="1" applyFill="1" applyBorder="1" applyAlignment="1">
      <alignment horizontal="left" vertical="center" wrapText="1"/>
    </xf>
    <xf numFmtId="0" fontId="25" fillId="4" borderId="8" xfId="4" applyFont="1" applyFill="1" applyBorder="1" applyAlignment="1">
      <alignment horizontal="left" vertical="center" wrapText="1"/>
    </xf>
    <xf numFmtId="0" fontId="25" fillId="4" borderId="10" xfId="4" applyFont="1" applyFill="1" applyBorder="1" applyAlignment="1">
      <alignment horizontal="left" vertical="center" wrapText="1"/>
    </xf>
    <xf numFmtId="0" fontId="25" fillId="4" borderId="23" xfId="4" applyFont="1" applyFill="1" applyBorder="1" applyAlignment="1">
      <alignment horizontal="left" vertical="center" wrapText="1"/>
    </xf>
    <xf numFmtId="0" fontId="19" fillId="0" borderId="2" xfId="4" applyFont="1" applyBorder="1" applyAlignment="1">
      <alignment horizontal="left" vertical="center" shrinkToFit="1"/>
    </xf>
    <xf numFmtId="0" fontId="19" fillId="0" borderId="3" xfId="4" applyFont="1" applyBorder="1" applyAlignment="1">
      <alignment horizontal="left" vertical="center" shrinkToFit="1"/>
    </xf>
    <xf numFmtId="0" fontId="19" fillId="0" borderId="4" xfId="4" applyFont="1" applyBorder="1" applyAlignment="1">
      <alignment horizontal="left" vertical="center" shrinkToFit="1"/>
    </xf>
    <xf numFmtId="58" fontId="19" fillId="0" borderId="17" xfId="4" applyNumberFormat="1" applyFont="1" applyBorder="1" applyAlignment="1">
      <alignment horizontal="center" vertical="center"/>
    </xf>
    <xf numFmtId="0" fontId="19" fillId="0" borderId="11" xfId="5" applyBorder="1" applyAlignment="1">
      <alignment horizontal="left" vertical="center"/>
    </xf>
    <xf numFmtId="0" fontId="19" fillId="0" borderId="0" xfId="5" applyAlignment="1">
      <alignment horizontal="left" vertical="center"/>
    </xf>
    <xf numFmtId="0" fontId="19" fillId="0" borderId="12" xfId="5" applyBorder="1" applyAlignment="1">
      <alignment horizontal="left" vertical="center"/>
    </xf>
    <xf numFmtId="0" fontId="19" fillId="0" borderId="8" xfId="5" applyBorder="1" applyAlignment="1">
      <alignment horizontal="left" vertical="center"/>
    </xf>
    <xf numFmtId="0" fontId="19" fillId="0" borderId="10" xfId="5" applyBorder="1" applyAlignment="1">
      <alignment horizontal="left" vertical="center"/>
    </xf>
    <xf numFmtId="0" fontId="19" fillId="0" borderId="9" xfId="5" applyBorder="1" applyAlignment="1">
      <alignment horizontal="left" vertical="center"/>
    </xf>
    <xf numFmtId="0" fontId="19" fillId="0" borderId="69" xfId="5" applyBorder="1" applyAlignment="1">
      <alignment horizontal="center" vertical="center"/>
    </xf>
    <xf numFmtId="0" fontId="19" fillId="0" borderId="90" xfId="5" applyBorder="1" applyAlignment="1">
      <alignment horizontal="center" vertical="center"/>
    </xf>
    <xf numFmtId="0" fontId="19" fillId="0" borderId="88" xfId="5" applyBorder="1" applyAlignment="1">
      <alignment horizontal="center" vertical="center"/>
    </xf>
    <xf numFmtId="0" fontId="19" fillId="0" borderId="92" xfId="5" applyBorder="1" applyAlignment="1">
      <alignment horizontal="center" vertical="center"/>
    </xf>
    <xf numFmtId="0" fontId="19" fillId="0" borderId="93" xfId="5" applyBorder="1" applyAlignment="1">
      <alignment horizontal="center" vertical="center"/>
    </xf>
    <xf numFmtId="0" fontId="19" fillId="0" borderId="94" xfId="5" applyBorder="1" applyAlignment="1">
      <alignment horizontal="center" vertical="center"/>
    </xf>
    <xf numFmtId="0" fontId="19" fillId="0" borderId="6" xfId="5" applyBorder="1" applyAlignment="1">
      <alignment horizontal="left" vertical="center"/>
    </xf>
    <xf numFmtId="0" fontId="19" fillId="0" borderId="5" xfId="5" applyBorder="1" applyAlignment="1">
      <alignment horizontal="left" vertical="center"/>
    </xf>
    <xf numFmtId="0" fontId="19" fillId="0" borderId="7" xfId="5" applyBorder="1" applyAlignment="1">
      <alignment horizontal="left" vertical="center"/>
    </xf>
    <xf numFmtId="0" fontId="19" fillId="0" borderId="68" xfId="5" applyBorder="1" applyAlignment="1">
      <alignment horizontal="distributed" vertical="center"/>
    </xf>
    <xf numFmtId="0" fontId="19" fillId="0" borderId="76" xfId="5" applyBorder="1" applyAlignment="1">
      <alignment horizontal="distributed" vertical="center"/>
    </xf>
    <xf numFmtId="0" fontId="19" fillId="0" borderId="69" xfId="5" applyBorder="1" applyAlignment="1">
      <alignment horizontal="left" vertical="center"/>
    </xf>
    <xf numFmtId="0" fontId="19" fillId="0" borderId="70" xfId="5" applyBorder="1" applyAlignment="1">
      <alignment horizontal="left" vertical="center"/>
    </xf>
    <xf numFmtId="0" fontId="19" fillId="0" borderId="77" xfId="5" applyBorder="1" applyAlignment="1">
      <alignment horizontal="left" vertical="center"/>
    </xf>
    <xf numFmtId="0" fontId="19" fillId="0" borderId="78" xfId="5" applyBorder="1" applyAlignment="1">
      <alignment horizontal="left" vertical="center"/>
    </xf>
    <xf numFmtId="0" fontId="19" fillId="0" borderId="79" xfId="5" applyBorder="1" applyAlignment="1">
      <alignment horizontal="distributed" vertical="center" wrapText="1"/>
    </xf>
    <xf numFmtId="0" fontId="19" fillId="0" borderId="82" xfId="5" applyBorder="1" applyAlignment="1">
      <alignment horizontal="distributed" vertical="center" wrapText="1"/>
    </xf>
    <xf numFmtId="0" fontId="19" fillId="0" borderId="85" xfId="5" applyBorder="1" applyAlignment="1">
      <alignment horizontal="distributed" vertical="center" wrapText="1"/>
    </xf>
    <xf numFmtId="0" fontId="19" fillId="0" borderId="80" xfId="5" applyBorder="1" applyAlignment="1">
      <alignment horizontal="left" vertical="center"/>
    </xf>
    <xf numFmtId="0" fontId="19" fillId="0" borderId="81" xfId="5" applyBorder="1" applyAlignment="1">
      <alignment horizontal="left" vertical="center"/>
    </xf>
    <xf numFmtId="58" fontId="19" fillId="0" borderId="83" xfId="5" applyNumberFormat="1" applyBorder="1" applyAlignment="1">
      <alignment horizontal="left" vertical="center"/>
    </xf>
    <xf numFmtId="0" fontId="19" fillId="0" borderId="83" xfId="5" applyBorder="1" applyAlignment="1">
      <alignment horizontal="left" vertical="center"/>
    </xf>
    <xf numFmtId="0" fontId="19" fillId="0" borderId="72" xfId="5" applyBorder="1" applyAlignment="1">
      <alignment horizontal="left" vertical="center" wrapText="1"/>
    </xf>
    <xf numFmtId="0" fontId="19" fillId="0" borderId="83" xfId="5" applyBorder="1" applyAlignment="1">
      <alignment horizontal="left" vertical="center" wrapText="1"/>
    </xf>
    <xf numFmtId="0" fontId="19" fillId="0" borderId="84" xfId="5" applyBorder="1" applyAlignment="1">
      <alignment horizontal="left" vertical="center" wrapText="1"/>
    </xf>
    <xf numFmtId="0" fontId="19" fillId="0" borderId="89" xfId="5" applyBorder="1" applyAlignment="1">
      <alignment horizontal="center" vertical="center"/>
    </xf>
    <xf numFmtId="0" fontId="27" fillId="0" borderId="0" xfId="5" applyFont="1" applyAlignment="1">
      <alignment horizontal="center" vertical="center"/>
    </xf>
    <xf numFmtId="0" fontId="19" fillId="0" borderId="69" xfId="5" applyBorder="1" applyAlignment="1">
      <alignment horizontal="distributed" vertical="center"/>
    </xf>
    <xf numFmtId="0" fontId="19" fillId="0" borderId="71" xfId="5" applyBorder="1" applyAlignment="1">
      <alignment horizontal="distributed" vertical="center"/>
    </xf>
    <xf numFmtId="0" fontId="19" fillId="0" borderId="72" xfId="5" applyBorder="1" applyAlignment="1">
      <alignment horizontal="distributed" vertical="center"/>
    </xf>
    <xf numFmtId="0" fontId="19" fillId="0" borderId="72" xfId="5" applyBorder="1" applyAlignment="1">
      <alignment horizontal="left" vertical="center"/>
    </xf>
    <xf numFmtId="0" fontId="19" fillId="0" borderId="73" xfId="5" applyBorder="1" applyAlignment="1">
      <alignment horizontal="left" vertical="center"/>
    </xf>
    <xf numFmtId="0" fontId="19" fillId="0" borderId="74" xfId="5" applyBorder="1" applyAlignment="1">
      <alignment horizontal="distributed" vertical="center"/>
    </xf>
    <xf numFmtId="0" fontId="19" fillId="0" borderId="75" xfId="5" applyBorder="1" applyAlignment="1">
      <alignment horizontal="distributed" vertical="center"/>
    </xf>
    <xf numFmtId="0" fontId="19" fillId="0" borderId="46" xfId="5" applyBorder="1" applyAlignment="1">
      <alignment horizontal="left" vertical="center"/>
    </xf>
    <xf numFmtId="0" fontId="19" fillId="0" borderId="3" xfId="5" applyBorder="1" applyAlignment="1">
      <alignment horizontal="left" vertical="center"/>
    </xf>
    <xf numFmtId="0" fontId="19" fillId="0" borderId="4" xfId="5" applyBorder="1" applyAlignment="1">
      <alignment horizontal="left" vertical="center"/>
    </xf>
    <xf numFmtId="176" fontId="23" fillId="4" borderId="10" xfId="7" applyNumberFormat="1" applyFont="1" applyFill="1" applyBorder="1" applyAlignment="1">
      <alignment horizontal="center" vertical="center"/>
    </xf>
    <xf numFmtId="0" fontId="22" fillId="0" borderId="0" xfId="7" applyFont="1" applyAlignment="1">
      <alignment horizontal="center"/>
    </xf>
    <xf numFmtId="176" fontId="0" fillId="0" borderId="5" xfId="0" applyNumberFormat="1" applyBorder="1" applyAlignment="1">
      <alignment horizontal="left" vertical="center"/>
    </xf>
    <xf numFmtId="176" fontId="0" fillId="0" borderId="7" xfId="0" applyNumberFormat="1" applyBorder="1" applyAlignment="1">
      <alignment horizontal="left" vertical="center"/>
    </xf>
    <xf numFmtId="176" fontId="0" fillId="0" borderId="10" xfId="0" applyNumberFormat="1" applyBorder="1" applyAlignment="1">
      <alignment horizontal="left" vertical="center"/>
    </xf>
    <xf numFmtId="176" fontId="0" fillId="0" borderId="9" xfId="0" applyNumberFormat="1" applyBorder="1" applyAlignment="1">
      <alignment horizontal="left" vertical="center"/>
    </xf>
    <xf numFmtId="0" fontId="19" fillId="0" borderId="1" xfId="7" applyFont="1" applyBorder="1" applyAlignment="1">
      <alignment horizontal="center" vertical="center" shrinkToFit="1"/>
    </xf>
    <xf numFmtId="0" fontId="19" fillId="0" borderId="2" xfId="7" applyFont="1" applyBorder="1" applyAlignment="1">
      <alignment horizontal="center" vertical="center"/>
    </xf>
    <xf numFmtId="0" fontId="19" fillId="0" borderId="3" xfId="7" applyFont="1" applyBorder="1" applyAlignment="1">
      <alignment horizontal="center" vertical="center"/>
    </xf>
    <xf numFmtId="0" fontId="19" fillId="0" borderId="4" xfId="7" applyFont="1" applyBorder="1" applyAlignment="1">
      <alignment horizontal="center" vertical="center"/>
    </xf>
    <xf numFmtId="0" fontId="19" fillId="0" borderId="2" xfId="7" applyFont="1" applyBorder="1" applyAlignment="1">
      <alignment horizontal="center" vertical="center" shrinkToFit="1"/>
    </xf>
    <xf numFmtId="0" fontId="19" fillId="0" borderId="3" xfId="7" applyFont="1" applyBorder="1" applyAlignment="1">
      <alignment horizontal="center" vertical="center" shrinkToFit="1"/>
    </xf>
    <xf numFmtId="0" fontId="19" fillId="0" borderId="4" xfId="7" applyFont="1" applyBorder="1" applyAlignment="1">
      <alignment horizontal="center" vertical="center" shrinkToFit="1"/>
    </xf>
    <xf numFmtId="0" fontId="18" fillId="0" borderId="10" xfId="7" applyBorder="1">
      <alignment vertical="center"/>
    </xf>
    <xf numFmtId="0" fontId="0" fillId="0" borderId="10" xfId="0" applyBorder="1">
      <alignment vertical="center"/>
    </xf>
    <xf numFmtId="0" fontId="21" fillId="0" borderId="0" xfId="7" applyFont="1" applyAlignment="1">
      <alignment vertical="center" wrapText="1"/>
    </xf>
    <xf numFmtId="0" fontId="52" fillId="0" borderId="0" xfId="0" applyFont="1" applyAlignment="1">
      <alignment vertical="center" wrapText="1"/>
    </xf>
    <xf numFmtId="0" fontId="18" fillId="0" borderId="0" xfId="7">
      <alignment vertical="center"/>
    </xf>
    <xf numFmtId="0" fontId="58" fillId="0" borderId="0" xfId="7" applyFont="1">
      <alignment vertical="center"/>
    </xf>
    <xf numFmtId="0" fontId="59" fillId="0" borderId="0" xfId="0" applyFont="1">
      <alignment vertical="center"/>
    </xf>
    <xf numFmtId="0" fontId="19" fillId="0" borderId="10" xfId="7" applyFont="1" applyBorder="1">
      <alignment vertical="center"/>
    </xf>
    <xf numFmtId="0" fontId="19" fillId="0" borderId="3" xfId="7" applyFont="1" applyBorder="1">
      <alignment vertical="center"/>
    </xf>
    <xf numFmtId="0" fontId="19" fillId="0" borderId="1" xfId="7" applyFont="1" applyBorder="1" applyAlignment="1">
      <alignment horizontal="center" vertical="center"/>
    </xf>
    <xf numFmtId="0" fontId="60" fillId="0" borderId="0" xfId="7" applyFont="1" applyAlignment="1">
      <alignment horizontal="left" vertical="center"/>
    </xf>
    <xf numFmtId="0" fontId="61" fillId="0" borderId="0" xfId="0" applyFont="1" applyAlignment="1">
      <alignment horizontal="left" vertical="center"/>
    </xf>
    <xf numFmtId="0" fontId="53" fillId="0" borderId="0" xfId="0" applyFont="1">
      <alignment vertical="center"/>
    </xf>
    <xf numFmtId="0" fontId="19" fillId="0" borderId="10" xfId="7" applyFont="1" applyBorder="1" applyAlignment="1">
      <alignment horizontal="left" vertical="center"/>
    </xf>
    <xf numFmtId="0" fontId="10" fillId="0" borderId="10" xfId="0" applyFont="1" applyBorder="1" applyAlignment="1">
      <alignment horizontal="center" vertical="center"/>
    </xf>
    <xf numFmtId="0" fontId="19" fillId="0" borderId="10" xfId="7" applyFont="1" applyBorder="1" applyAlignment="1">
      <alignment horizontal="center" vertical="center"/>
    </xf>
    <xf numFmtId="176" fontId="19" fillId="0" borderId="10" xfId="7" applyNumberFormat="1" applyFont="1" applyBorder="1" applyAlignment="1">
      <alignment horizontal="center" vertical="center"/>
    </xf>
    <xf numFmtId="176" fontId="19" fillId="4" borderId="10" xfId="7" applyNumberFormat="1" applyFont="1" applyFill="1" applyBorder="1" applyAlignment="1">
      <alignment horizontal="center" vertical="center"/>
    </xf>
    <xf numFmtId="0" fontId="19" fillId="0" borderId="1" xfId="7" applyFont="1" applyBorder="1" applyAlignment="1">
      <alignment horizontal="center" vertical="center" wrapText="1" shrinkToFit="1"/>
    </xf>
    <xf numFmtId="176" fontId="0" fillId="0" borderId="42" xfId="0" applyNumberFormat="1" applyBorder="1" applyAlignment="1">
      <alignment horizontal="center" vertical="center"/>
    </xf>
  </cellXfs>
  <cellStyles count="9">
    <cellStyle name="ハイパーリンク" xfId="3" builtinId="8"/>
    <cellStyle name="標準" xfId="0" builtinId="0"/>
    <cellStyle name="標準 2" xfId="1" xr:uid="{37A4FF02-6DD3-4082-8DFE-212BB8419814}"/>
    <cellStyle name="標準 2 2" xfId="7" xr:uid="{B29241B9-80D1-4888-94F2-C389AAF77C26}"/>
    <cellStyle name="標準 3" xfId="2" xr:uid="{9D3E9542-A7D0-4382-9FF3-CBC755ECE448}"/>
    <cellStyle name="標準 4" xfId="4" xr:uid="{E614D39C-4D67-46C6-9005-8226ECF47930}"/>
    <cellStyle name="標準 5" xfId="5" xr:uid="{01D39405-BBEC-454F-A354-4FEE80A76F8A}"/>
    <cellStyle name="標準 6" xfId="6" xr:uid="{C0A108AC-67D6-48A2-A5DB-974BA56FD3F0}"/>
    <cellStyle name="標準 7" xfId="8" xr:uid="{A99E5A36-6D25-4C97-BEC7-4EA5173CA1D7}"/>
  </cellStyles>
  <dxfs count="0"/>
  <tableStyles count="0" defaultTableStyle="TableStyleMedium2" defaultPivotStyle="PivotStyleLight16"/>
  <colors>
    <mruColors>
      <color rgb="FFFF9933"/>
      <color rgb="FFFF7474"/>
      <color rgb="FFFFFFFF"/>
      <color rgb="FFFFF0E1"/>
      <color rgb="FFFF6600"/>
      <color rgb="FFFFA161"/>
      <color rgb="FFFFC1C1"/>
      <color rgb="FF0563C1"/>
      <color rgb="FFFFE38B"/>
      <color rgb="FFE5F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checked="Checked"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checked="Checked"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checked="Checked"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checked="Checked" lockText="1" noThreeD="1"/>
</file>

<file path=xl/ctrlProps/ctrlProp260.xml><?xml version="1.0" encoding="utf-8"?>
<formControlPr xmlns="http://schemas.microsoft.com/office/spreadsheetml/2009/9/main" objectType="CheckBox" checked="Checked"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checked="Checked" lockText="1" noThreeD="1"/>
</file>

<file path=xl/ctrlProps/ctrlProp263.xml><?xml version="1.0" encoding="utf-8"?>
<formControlPr xmlns="http://schemas.microsoft.com/office/spreadsheetml/2009/9/main" objectType="CheckBox" checked="Checked" lockText="1" noThreeD="1"/>
</file>

<file path=xl/ctrlProps/ctrlProp264.xml><?xml version="1.0" encoding="utf-8"?>
<formControlPr xmlns="http://schemas.microsoft.com/office/spreadsheetml/2009/9/main" objectType="CheckBox" checked="Checked"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checked="Checked" lockText="1" noThreeD="1"/>
</file>

<file path=xl/ctrlProps/ctrlProp269.xml><?xml version="1.0" encoding="utf-8"?>
<formControlPr xmlns="http://schemas.microsoft.com/office/spreadsheetml/2009/9/main" objectType="CheckBox" checked="Checked"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checked="Checked"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checked="Checked"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checked="Checked"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checked="Checked" lockText="1" noThreeD="1"/>
</file>

<file path=xl/ctrlProps/ctrlProp280.xml><?xml version="1.0" encoding="utf-8"?>
<formControlPr xmlns="http://schemas.microsoft.com/office/spreadsheetml/2009/9/main" objectType="CheckBox" checked="Checked" lockText="1" noThreeD="1"/>
</file>

<file path=xl/ctrlProps/ctrlProp281.xml><?xml version="1.0" encoding="utf-8"?>
<formControlPr xmlns="http://schemas.microsoft.com/office/spreadsheetml/2009/9/main" objectType="CheckBox" checked="Checked"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checked="Checked" lockText="1" noThreeD="1"/>
</file>

<file path=xl/ctrlProps/ctrlProp284.xml><?xml version="1.0" encoding="utf-8"?>
<formControlPr xmlns="http://schemas.microsoft.com/office/spreadsheetml/2009/9/main" objectType="CheckBox" checked="Checked"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checked="Checked"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checked="Checked" lockText="1" noThreeD="1"/>
</file>

<file path=xl/ctrlProps/ctrlProp292.xml><?xml version="1.0" encoding="utf-8"?>
<formControlPr xmlns="http://schemas.microsoft.com/office/spreadsheetml/2009/9/main" objectType="CheckBox" checked="Checked"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checked="Checked" lockText="1" noThreeD="1"/>
</file>

<file path=xl/ctrlProps/ctrlProp295.xml><?xml version="1.0" encoding="utf-8"?>
<formControlPr xmlns="http://schemas.microsoft.com/office/spreadsheetml/2009/9/main" objectType="CheckBox" checked="Checked" lockText="1" noThreeD="1"/>
</file>

<file path=xl/ctrlProps/ctrlProp296.xml><?xml version="1.0" encoding="utf-8"?>
<formControlPr xmlns="http://schemas.microsoft.com/office/spreadsheetml/2009/9/main" objectType="CheckBox" checked="Checked"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checked="Checked" lockText="1" noThreeD="1"/>
</file>

<file path=xl/ctrlProps/ctrlProp301.xml><?xml version="1.0" encoding="utf-8"?>
<formControlPr xmlns="http://schemas.microsoft.com/office/spreadsheetml/2009/9/main" objectType="CheckBox" checked="Checked"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checked="Checked"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checked="Checked"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checked="Checked"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checked="Checked" lockText="1" noThreeD="1"/>
</file>

<file path=xl/ctrlProps/ctrlProp312.xml><?xml version="1.0" encoding="utf-8"?>
<formControlPr xmlns="http://schemas.microsoft.com/office/spreadsheetml/2009/9/main" objectType="CheckBox" checked="Checked" lockText="1" noThreeD="1"/>
</file>

<file path=xl/ctrlProps/ctrlProp313.xml><?xml version="1.0" encoding="utf-8"?>
<formControlPr xmlns="http://schemas.microsoft.com/office/spreadsheetml/2009/9/main" objectType="CheckBox" checked="Checked" lockText="1" noThreeD="1"/>
</file>

<file path=xl/ctrlProps/ctrlProp314.xml><?xml version="1.0" encoding="utf-8"?>
<formControlPr xmlns="http://schemas.microsoft.com/office/spreadsheetml/2009/9/main" objectType="CheckBox" checked="Checked" lockText="1" noThreeD="1"/>
</file>

<file path=xl/ctrlProps/ctrlProp315.xml><?xml version="1.0" encoding="utf-8"?>
<formControlPr xmlns="http://schemas.microsoft.com/office/spreadsheetml/2009/9/main" objectType="CheckBox" checked="Checked" lockText="1" noThreeD="1"/>
</file>

<file path=xl/ctrlProps/ctrlProp316.xml><?xml version="1.0" encoding="utf-8"?>
<formControlPr xmlns="http://schemas.microsoft.com/office/spreadsheetml/2009/9/main" objectType="CheckBox" checked="Checked"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checked="Checked"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noThreeD="1"/>
</file>

<file path=xl/ctrlProps/ctrlProp324.xml><?xml version="1.0" encoding="utf-8"?>
<formControlPr xmlns="http://schemas.microsoft.com/office/spreadsheetml/2009/9/main" objectType="CheckBox" noThreeD="1"/>
</file>

<file path=xl/ctrlProps/ctrlProp325.xml><?xml version="1.0" encoding="utf-8"?>
<formControlPr xmlns="http://schemas.microsoft.com/office/spreadsheetml/2009/9/main" objectType="CheckBox" noThreeD="1"/>
</file>

<file path=xl/ctrlProps/ctrlProp326.xml><?xml version="1.0" encoding="utf-8"?>
<formControlPr xmlns="http://schemas.microsoft.com/office/spreadsheetml/2009/9/main" objectType="CheckBox" noThreeD="1"/>
</file>

<file path=xl/ctrlProps/ctrlProp327.xml><?xml version="1.0" encoding="utf-8"?>
<formControlPr xmlns="http://schemas.microsoft.com/office/spreadsheetml/2009/9/main" objectType="CheckBox" noThreeD="1"/>
</file>

<file path=xl/ctrlProps/ctrlProp328.xml><?xml version="1.0" encoding="utf-8"?>
<formControlPr xmlns="http://schemas.microsoft.com/office/spreadsheetml/2009/9/main" objectType="CheckBox" noThreeD="1"/>
</file>

<file path=xl/ctrlProps/ctrlProp329.xml><?xml version="1.0" encoding="utf-8"?>
<formControlPr xmlns="http://schemas.microsoft.com/office/spreadsheetml/2009/9/main" objectType="CheckBox" noThreeD="1"/>
</file>

<file path=xl/ctrlProps/ctrlProp330.xml><?xml version="1.0" encoding="utf-8"?>
<formControlPr xmlns="http://schemas.microsoft.com/office/spreadsheetml/2009/9/main" objectType="CheckBox" noThreeD="1"/>
</file>

<file path=xl/ctrlProps/ctrlProp331.xml><?xml version="1.0" encoding="utf-8"?>
<formControlPr xmlns="http://schemas.microsoft.com/office/spreadsheetml/2009/9/main" objectType="CheckBox" noThreeD="1"/>
</file>

<file path=xl/ctrlProps/ctrlProp332.xml><?xml version="1.0" encoding="utf-8"?>
<formControlPr xmlns="http://schemas.microsoft.com/office/spreadsheetml/2009/9/main" objectType="CheckBox" noThreeD="1"/>
</file>

<file path=xl/ctrlProps/ctrlProp333.xml><?xml version="1.0" encoding="utf-8"?>
<formControlPr xmlns="http://schemas.microsoft.com/office/spreadsheetml/2009/9/main" objectType="CheckBox" noThreeD="1"/>
</file>

<file path=xl/ctrlProps/ctrlProp334.xml><?xml version="1.0" encoding="utf-8"?>
<formControlPr xmlns="http://schemas.microsoft.com/office/spreadsheetml/2009/9/main" objectType="CheckBox" noThreeD="1"/>
</file>

<file path=xl/ctrlProps/ctrlProp335.xml><?xml version="1.0" encoding="utf-8"?>
<formControlPr xmlns="http://schemas.microsoft.com/office/spreadsheetml/2009/9/main" objectType="CheckBox" noThreeD="1"/>
</file>

<file path=xl/ctrlProps/ctrlProp336.xml><?xml version="1.0" encoding="utf-8"?>
<formControlPr xmlns="http://schemas.microsoft.com/office/spreadsheetml/2009/9/main" objectType="CheckBox" noThreeD="1"/>
</file>

<file path=xl/ctrlProps/ctrlProp337.xml><?xml version="1.0" encoding="utf-8"?>
<formControlPr xmlns="http://schemas.microsoft.com/office/spreadsheetml/2009/9/main" objectType="CheckBox" noThreeD="1"/>
</file>

<file path=xl/ctrlProps/ctrlProp338.xml><?xml version="1.0" encoding="utf-8"?>
<formControlPr xmlns="http://schemas.microsoft.com/office/spreadsheetml/2009/9/main" objectType="CheckBox" noThreeD="1"/>
</file>

<file path=xl/ctrlProps/ctrlProp339.xml><?xml version="1.0" encoding="utf-8"?>
<formControlPr xmlns="http://schemas.microsoft.com/office/spreadsheetml/2009/9/main" objectType="CheckBox" noThreeD="1"/>
</file>

<file path=xl/ctrlProps/ctrlProp340.xml><?xml version="1.0" encoding="utf-8"?>
<formControlPr xmlns="http://schemas.microsoft.com/office/spreadsheetml/2009/9/main" objectType="CheckBox" noThreeD="1"/>
</file>

<file path=xl/ctrlProps/ctrlProp341.xml><?xml version="1.0" encoding="utf-8"?>
<formControlPr xmlns="http://schemas.microsoft.com/office/spreadsheetml/2009/9/main" objectType="CheckBox" noThreeD="1"/>
</file>

<file path=xl/ctrlProps/ctrlProp342.xml><?xml version="1.0" encoding="utf-8"?>
<formControlPr xmlns="http://schemas.microsoft.com/office/spreadsheetml/2009/9/main" objectType="CheckBox" noThreeD="1"/>
</file>

<file path=xl/ctrlProps/ctrlProp343.xml><?xml version="1.0" encoding="utf-8"?>
<formControlPr xmlns="http://schemas.microsoft.com/office/spreadsheetml/2009/9/main" objectType="CheckBox" noThreeD="1"/>
</file>

<file path=xl/ctrlProps/ctrlProp344.xml><?xml version="1.0" encoding="utf-8"?>
<formControlPr xmlns="http://schemas.microsoft.com/office/spreadsheetml/2009/9/main" objectType="CheckBox" noThreeD="1"/>
</file>

<file path=xl/ctrlProps/ctrlProp345.xml><?xml version="1.0" encoding="utf-8"?>
<formControlPr xmlns="http://schemas.microsoft.com/office/spreadsheetml/2009/9/main" objectType="CheckBox" noThreeD="1"/>
</file>

<file path=xl/ctrlProps/ctrlProp346.xml><?xml version="1.0" encoding="utf-8"?>
<formControlPr xmlns="http://schemas.microsoft.com/office/spreadsheetml/2009/9/main" objectType="CheckBox" noThreeD="1"/>
</file>

<file path=xl/ctrlProps/ctrlProp347.xml><?xml version="1.0" encoding="utf-8"?>
<formControlPr xmlns="http://schemas.microsoft.com/office/spreadsheetml/2009/9/main" objectType="CheckBox" noThreeD="1"/>
</file>

<file path=xl/ctrlProps/ctrlProp348.xml><?xml version="1.0" encoding="utf-8"?>
<formControlPr xmlns="http://schemas.microsoft.com/office/spreadsheetml/2009/9/main" objectType="CheckBox" noThreeD="1"/>
</file>

<file path=xl/ctrlProps/ctrlProp349.xml><?xml version="1.0" encoding="utf-8"?>
<formControlPr xmlns="http://schemas.microsoft.com/office/spreadsheetml/2009/9/main" objectType="CheckBox" noThreeD="1"/>
</file>

<file path=xl/ctrlProps/ctrlProp350.xml><?xml version="1.0" encoding="utf-8"?>
<formControlPr xmlns="http://schemas.microsoft.com/office/spreadsheetml/2009/9/main" objectType="CheckBox" noThreeD="1"/>
</file>

<file path=xl/ctrlProps/ctrlProp351.xml><?xml version="1.0" encoding="utf-8"?>
<formControlPr xmlns="http://schemas.microsoft.com/office/spreadsheetml/2009/9/main" objectType="CheckBox" noThreeD="1"/>
</file>

<file path=xl/ctrlProps/ctrlProp352.xml><?xml version="1.0" encoding="utf-8"?>
<formControlPr xmlns="http://schemas.microsoft.com/office/spreadsheetml/2009/9/main" objectType="CheckBox" noThreeD="1"/>
</file>

<file path=xl/ctrlProps/ctrlProp353.xml><?xml version="1.0" encoding="utf-8"?>
<formControlPr xmlns="http://schemas.microsoft.com/office/spreadsheetml/2009/9/main" objectType="CheckBox" noThreeD="1"/>
</file>

<file path=xl/ctrlProps/ctrlProp354.xml><?xml version="1.0" encoding="utf-8"?>
<formControlPr xmlns="http://schemas.microsoft.com/office/spreadsheetml/2009/9/main" objectType="CheckBox" noThreeD="1"/>
</file>

<file path=xl/ctrlProps/ctrlProp355.xml><?xml version="1.0" encoding="utf-8"?>
<formControlPr xmlns="http://schemas.microsoft.com/office/spreadsheetml/2009/9/main" objectType="CheckBox" noThreeD="1"/>
</file>

<file path=xl/ctrlProps/ctrlProp356.xml><?xml version="1.0" encoding="utf-8"?>
<formControlPr xmlns="http://schemas.microsoft.com/office/spreadsheetml/2009/9/main" objectType="CheckBox" noThreeD="1"/>
</file>

<file path=xl/ctrlProps/ctrlProp357.xml><?xml version="1.0" encoding="utf-8"?>
<formControlPr xmlns="http://schemas.microsoft.com/office/spreadsheetml/2009/9/main" objectType="CheckBox" noThreeD="1"/>
</file>

<file path=xl/ctrlProps/ctrlProp358.xml><?xml version="1.0" encoding="utf-8"?>
<formControlPr xmlns="http://schemas.microsoft.com/office/spreadsheetml/2009/9/main" objectType="CheckBox" noThreeD="1"/>
</file>

<file path=xl/ctrlProps/ctrlProp359.xml><?xml version="1.0" encoding="utf-8"?>
<formControlPr xmlns="http://schemas.microsoft.com/office/spreadsheetml/2009/9/main" objectType="CheckBox" noThreeD="1"/>
</file>

<file path=xl/ctrlProps/ctrlProp360.xml><?xml version="1.0" encoding="utf-8"?>
<formControlPr xmlns="http://schemas.microsoft.com/office/spreadsheetml/2009/9/main" objectType="CheckBox" noThreeD="1"/>
</file>

<file path=xl/ctrlProps/ctrlProp361.xml><?xml version="1.0" encoding="utf-8"?>
<formControlPr xmlns="http://schemas.microsoft.com/office/spreadsheetml/2009/9/main" objectType="CheckBox" noThreeD="1"/>
</file>

<file path=xl/ctrlProps/ctrlProp362.xml><?xml version="1.0" encoding="utf-8"?>
<formControlPr xmlns="http://schemas.microsoft.com/office/spreadsheetml/2009/9/main" objectType="CheckBox" noThreeD="1"/>
</file>

<file path=xl/ctrlProps/ctrlProp363.xml><?xml version="1.0" encoding="utf-8"?>
<formControlPr xmlns="http://schemas.microsoft.com/office/spreadsheetml/2009/9/main" objectType="CheckBox" noThreeD="1"/>
</file>

<file path=xl/ctrlProps/ctrlProp364.xml><?xml version="1.0" encoding="utf-8"?>
<formControlPr xmlns="http://schemas.microsoft.com/office/spreadsheetml/2009/9/main" objectType="CheckBox" noThreeD="1"/>
</file>

<file path=xl/ctrlProps/ctrlProp365.xml><?xml version="1.0" encoding="utf-8"?>
<formControlPr xmlns="http://schemas.microsoft.com/office/spreadsheetml/2009/9/main" objectType="CheckBox" noThreeD="1"/>
</file>

<file path=xl/ctrlProps/ctrlProp366.xml><?xml version="1.0" encoding="utf-8"?>
<formControlPr xmlns="http://schemas.microsoft.com/office/spreadsheetml/2009/9/main" objectType="CheckBox" noThreeD="1"/>
</file>

<file path=xl/ctrlProps/ctrlProp367.xml><?xml version="1.0" encoding="utf-8"?>
<formControlPr xmlns="http://schemas.microsoft.com/office/spreadsheetml/2009/9/main" objectType="CheckBox" noThreeD="1"/>
</file>

<file path=xl/ctrlProps/ctrlProp368.xml><?xml version="1.0" encoding="utf-8"?>
<formControlPr xmlns="http://schemas.microsoft.com/office/spreadsheetml/2009/9/main" objectType="CheckBox" noThreeD="1"/>
</file>

<file path=xl/ctrlProps/ctrlProp369.xml><?xml version="1.0" encoding="utf-8"?>
<formControlPr xmlns="http://schemas.microsoft.com/office/spreadsheetml/2009/9/main" objectType="CheckBox" noThreeD="1"/>
</file>

<file path=xl/ctrlProps/ctrlProp370.xml><?xml version="1.0" encoding="utf-8"?>
<formControlPr xmlns="http://schemas.microsoft.com/office/spreadsheetml/2009/9/main" objectType="CheckBox" noThreeD="1"/>
</file>

<file path=xl/ctrlProps/ctrlProp371.xml><?xml version="1.0" encoding="utf-8"?>
<formControlPr xmlns="http://schemas.microsoft.com/office/spreadsheetml/2009/9/main" objectType="CheckBox" noThreeD="1"/>
</file>

<file path=xl/ctrlProps/ctrlProp372.xml><?xml version="1.0" encoding="utf-8"?>
<formControlPr xmlns="http://schemas.microsoft.com/office/spreadsheetml/2009/9/main" objectType="CheckBox" noThreeD="1"/>
</file>

<file path=xl/ctrlProps/ctrlProp373.xml><?xml version="1.0" encoding="utf-8"?>
<formControlPr xmlns="http://schemas.microsoft.com/office/spreadsheetml/2009/9/main" objectType="CheckBox" noThreeD="1"/>
</file>

<file path=xl/ctrlProps/ctrlProp374.xml><?xml version="1.0" encoding="utf-8"?>
<formControlPr xmlns="http://schemas.microsoft.com/office/spreadsheetml/2009/9/main" objectType="CheckBox" noThreeD="1"/>
</file>

<file path=xl/ctrlProps/ctrlProp375.xml><?xml version="1.0" encoding="utf-8"?>
<formControlPr xmlns="http://schemas.microsoft.com/office/spreadsheetml/2009/9/main" objectType="CheckBox" noThreeD="1"/>
</file>

<file path=xl/ctrlProps/ctrlProp376.xml><?xml version="1.0" encoding="utf-8"?>
<formControlPr xmlns="http://schemas.microsoft.com/office/spreadsheetml/2009/9/main" objectType="CheckBox" noThreeD="1"/>
</file>

<file path=xl/ctrlProps/ctrlProp377.xml><?xml version="1.0" encoding="utf-8"?>
<formControlPr xmlns="http://schemas.microsoft.com/office/spreadsheetml/2009/9/main" objectType="CheckBox" noThreeD="1"/>
</file>

<file path=xl/ctrlProps/ctrlProp378.xml><?xml version="1.0" encoding="utf-8"?>
<formControlPr xmlns="http://schemas.microsoft.com/office/spreadsheetml/2009/9/main" objectType="CheckBox" noThreeD="1"/>
</file>

<file path=xl/ctrlProps/ctrlProp379.xml><?xml version="1.0" encoding="utf-8"?>
<formControlPr xmlns="http://schemas.microsoft.com/office/spreadsheetml/2009/9/main" objectType="CheckBox" noThreeD="1"/>
</file>

<file path=xl/ctrlProps/ctrlProp380.xml><?xml version="1.0" encoding="utf-8"?>
<formControlPr xmlns="http://schemas.microsoft.com/office/spreadsheetml/2009/9/main" objectType="CheckBox" noThreeD="1"/>
</file>

<file path=xl/ctrlProps/ctrlProp381.xml><?xml version="1.0" encoding="utf-8"?>
<formControlPr xmlns="http://schemas.microsoft.com/office/spreadsheetml/2009/9/main" objectType="CheckBox" noThreeD="1"/>
</file>

<file path=xl/ctrlProps/ctrlProp382.xml><?xml version="1.0" encoding="utf-8"?>
<formControlPr xmlns="http://schemas.microsoft.com/office/spreadsheetml/2009/9/main" objectType="CheckBox" noThreeD="1"/>
</file>

<file path=xl/ctrlProps/ctrlProp383.xml><?xml version="1.0" encoding="utf-8"?>
<formControlPr xmlns="http://schemas.microsoft.com/office/spreadsheetml/2009/9/main" objectType="CheckBox" noThreeD="1"/>
</file>

<file path=xl/ctrlProps/ctrlProp384.xml><?xml version="1.0" encoding="utf-8"?>
<formControlPr xmlns="http://schemas.microsoft.com/office/spreadsheetml/2009/9/main" objectType="CheckBox" noThreeD="1"/>
</file>

<file path=xl/ctrlProps/ctrlProp385.xml><?xml version="1.0" encoding="utf-8"?>
<formControlPr xmlns="http://schemas.microsoft.com/office/spreadsheetml/2009/9/main" objectType="CheckBox" noThreeD="1"/>
</file>

<file path=xl/ctrlProps/ctrlProp386.xml><?xml version="1.0" encoding="utf-8"?>
<formControlPr xmlns="http://schemas.microsoft.com/office/spreadsheetml/2009/9/main" objectType="CheckBox" noThreeD="1"/>
</file>

<file path=xl/ctrlProps/ctrlProp387.xml><?xml version="1.0" encoding="utf-8"?>
<formControlPr xmlns="http://schemas.microsoft.com/office/spreadsheetml/2009/9/main" objectType="CheckBox" noThreeD="1"/>
</file>

<file path=xl/ctrlProps/ctrlProp388.xml><?xml version="1.0" encoding="utf-8"?>
<formControlPr xmlns="http://schemas.microsoft.com/office/spreadsheetml/2009/9/main" objectType="CheckBox" noThreeD="1"/>
</file>

<file path=xl/ctrlProps/ctrlProp389.xml><?xml version="1.0" encoding="utf-8"?>
<formControlPr xmlns="http://schemas.microsoft.com/office/spreadsheetml/2009/9/main" objectType="CheckBox" noThreeD="1"/>
</file>

<file path=xl/ctrlProps/ctrlProp390.xml><?xml version="1.0" encoding="utf-8"?>
<formControlPr xmlns="http://schemas.microsoft.com/office/spreadsheetml/2009/9/main" objectType="CheckBox" noThreeD="1"/>
</file>

<file path=xl/ctrlProps/ctrlProp391.xml><?xml version="1.0" encoding="utf-8"?>
<formControlPr xmlns="http://schemas.microsoft.com/office/spreadsheetml/2009/9/main" objectType="CheckBox" noThreeD="1"/>
</file>

<file path=xl/ctrlProps/ctrlProp392.xml><?xml version="1.0" encoding="utf-8"?>
<formControlPr xmlns="http://schemas.microsoft.com/office/spreadsheetml/2009/9/main" objectType="CheckBox" noThreeD="1"/>
</file>

<file path=xl/ctrlProps/ctrlProp393.xml><?xml version="1.0" encoding="utf-8"?>
<formControlPr xmlns="http://schemas.microsoft.com/office/spreadsheetml/2009/9/main" objectType="CheckBox" noThreeD="1"/>
</file>

<file path=xl/ctrlProps/ctrlProp394.xml><?xml version="1.0" encoding="utf-8"?>
<formControlPr xmlns="http://schemas.microsoft.com/office/spreadsheetml/2009/9/main" objectType="CheckBox" noThreeD="1"/>
</file>

<file path=xl/ctrlProps/ctrlProp395.xml><?xml version="1.0" encoding="utf-8"?>
<formControlPr xmlns="http://schemas.microsoft.com/office/spreadsheetml/2009/9/main" objectType="CheckBox" noThreeD="1"/>
</file>

<file path=xl/ctrlProps/ctrlProp396.xml><?xml version="1.0" encoding="utf-8"?>
<formControlPr xmlns="http://schemas.microsoft.com/office/spreadsheetml/2009/9/main" objectType="CheckBox" noThreeD="1"/>
</file>

<file path=xl/ctrlProps/ctrlProp397.xml><?xml version="1.0" encoding="utf-8"?>
<formControlPr xmlns="http://schemas.microsoft.com/office/spreadsheetml/2009/9/main" objectType="CheckBox" noThreeD="1"/>
</file>

<file path=xl/ctrlProps/ctrlProp398.xml><?xml version="1.0" encoding="utf-8"?>
<formControlPr xmlns="http://schemas.microsoft.com/office/spreadsheetml/2009/9/main" objectType="CheckBox" noThreeD="1"/>
</file>

<file path=xl/ctrlProps/ctrlProp399.xml><?xml version="1.0" encoding="utf-8"?>
<formControlPr xmlns="http://schemas.microsoft.com/office/spreadsheetml/2009/9/main" objectType="CheckBox" noThreeD="1"/>
</file>

<file path=xl/ctrlProps/ctrlProp400.xml><?xml version="1.0" encoding="utf-8"?>
<formControlPr xmlns="http://schemas.microsoft.com/office/spreadsheetml/2009/9/main" objectType="CheckBox" noThreeD="1"/>
</file>

<file path=xl/ctrlProps/ctrlProp401.xml><?xml version="1.0" encoding="utf-8"?>
<formControlPr xmlns="http://schemas.microsoft.com/office/spreadsheetml/2009/9/main" objectType="CheckBox" noThreeD="1"/>
</file>

<file path=xl/ctrlProps/ctrlProp402.xml><?xml version="1.0" encoding="utf-8"?>
<formControlPr xmlns="http://schemas.microsoft.com/office/spreadsheetml/2009/9/main" objectType="CheckBox" noThreeD="1"/>
</file>

<file path=xl/ctrlProps/ctrlProp403.xml><?xml version="1.0" encoding="utf-8"?>
<formControlPr xmlns="http://schemas.microsoft.com/office/spreadsheetml/2009/9/main" objectType="CheckBox" noThreeD="1"/>
</file>

<file path=xl/ctrlProps/ctrlProp404.xml><?xml version="1.0" encoding="utf-8"?>
<formControlPr xmlns="http://schemas.microsoft.com/office/spreadsheetml/2009/9/main" objectType="CheckBox" noThreeD="1"/>
</file>

<file path=xl/ctrlProps/ctrlProp405.xml><?xml version="1.0" encoding="utf-8"?>
<formControlPr xmlns="http://schemas.microsoft.com/office/spreadsheetml/2009/9/main" objectType="CheckBox" noThreeD="1"/>
</file>

<file path=xl/ctrlProps/ctrlProp406.xml><?xml version="1.0" encoding="utf-8"?>
<formControlPr xmlns="http://schemas.microsoft.com/office/spreadsheetml/2009/9/main" objectType="CheckBox" noThreeD="1"/>
</file>

<file path=xl/ctrlProps/ctrlProp407.xml><?xml version="1.0" encoding="utf-8"?>
<formControlPr xmlns="http://schemas.microsoft.com/office/spreadsheetml/2009/9/main" objectType="CheckBox" noThreeD="1"/>
</file>

<file path=xl/ctrlProps/ctrlProp408.xml><?xml version="1.0" encoding="utf-8"?>
<formControlPr xmlns="http://schemas.microsoft.com/office/spreadsheetml/2009/9/main" objectType="CheckBox" noThreeD="1"/>
</file>

<file path=xl/ctrlProps/ctrlProp409.xml><?xml version="1.0" encoding="utf-8"?>
<formControlPr xmlns="http://schemas.microsoft.com/office/spreadsheetml/2009/9/main" objectType="CheckBox" noThreeD="1"/>
</file>

<file path=xl/ctrlProps/ctrlProp410.xml><?xml version="1.0" encoding="utf-8"?>
<formControlPr xmlns="http://schemas.microsoft.com/office/spreadsheetml/2009/9/main" objectType="CheckBox" noThreeD="1"/>
</file>

<file path=xl/ctrlProps/ctrlProp411.xml><?xml version="1.0" encoding="utf-8"?>
<formControlPr xmlns="http://schemas.microsoft.com/office/spreadsheetml/2009/9/main" objectType="CheckBox" noThreeD="1"/>
</file>

<file path=xl/ctrlProps/ctrlProp412.xml><?xml version="1.0" encoding="utf-8"?>
<formControlPr xmlns="http://schemas.microsoft.com/office/spreadsheetml/2009/9/main" objectType="CheckBox" noThreeD="1"/>
</file>

<file path=xl/ctrlProps/ctrlProp413.xml><?xml version="1.0" encoding="utf-8"?>
<formControlPr xmlns="http://schemas.microsoft.com/office/spreadsheetml/2009/9/main" objectType="CheckBox" noThreeD="1"/>
</file>

<file path=xl/ctrlProps/ctrlProp414.xml><?xml version="1.0" encoding="utf-8"?>
<formControlPr xmlns="http://schemas.microsoft.com/office/spreadsheetml/2009/9/main" objectType="CheckBox" noThreeD="1"/>
</file>

<file path=xl/ctrlProps/ctrlProp415.xml><?xml version="1.0" encoding="utf-8"?>
<formControlPr xmlns="http://schemas.microsoft.com/office/spreadsheetml/2009/9/main" objectType="CheckBox" noThreeD="1"/>
</file>

<file path=xl/ctrlProps/ctrlProp416.xml><?xml version="1.0" encoding="utf-8"?>
<formControlPr xmlns="http://schemas.microsoft.com/office/spreadsheetml/2009/9/main" objectType="CheckBox" noThreeD="1"/>
</file>

<file path=xl/ctrlProps/ctrlProp417.xml><?xml version="1.0" encoding="utf-8"?>
<formControlPr xmlns="http://schemas.microsoft.com/office/spreadsheetml/2009/9/main" objectType="CheckBox" noThreeD="1"/>
</file>

<file path=xl/ctrlProps/ctrlProp418.xml><?xml version="1.0" encoding="utf-8"?>
<formControlPr xmlns="http://schemas.microsoft.com/office/spreadsheetml/2009/9/main" objectType="CheckBox" noThreeD="1"/>
</file>

<file path=xl/ctrlProps/ctrlProp419.xml><?xml version="1.0" encoding="utf-8"?>
<formControlPr xmlns="http://schemas.microsoft.com/office/spreadsheetml/2009/9/main" objectType="CheckBox" noThreeD="1"/>
</file>

<file path=xl/ctrlProps/ctrlProp420.xml><?xml version="1.0" encoding="utf-8"?>
<formControlPr xmlns="http://schemas.microsoft.com/office/spreadsheetml/2009/9/main" objectType="CheckBox" noThreeD="1"/>
</file>

<file path=xl/ctrlProps/ctrlProp421.xml><?xml version="1.0" encoding="utf-8"?>
<formControlPr xmlns="http://schemas.microsoft.com/office/spreadsheetml/2009/9/main" objectType="CheckBox" noThreeD="1"/>
</file>

<file path=xl/ctrlProps/ctrlProp422.xml><?xml version="1.0" encoding="utf-8"?>
<formControlPr xmlns="http://schemas.microsoft.com/office/spreadsheetml/2009/9/main" objectType="CheckBox" noThreeD="1"/>
</file>

<file path=xl/ctrlProps/ctrlProp423.xml><?xml version="1.0" encoding="utf-8"?>
<formControlPr xmlns="http://schemas.microsoft.com/office/spreadsheetml/2009/9/main" objectType="CheckBox" noThreeD="1"/>
</file>

<file path=xl/ctrlProps/ctrlProp424.xml><?xml version="1.0" encoding="utf-8"?>
<formControlPr xmlns="http://schemas.microsoft.com/office/spreadsheetml/2009/9/main" objectType="CheckBox" noThreeD="1"/>
</file>

<file path=xl/ctrlProps/ctrlProp425.xml><?xml version="1.0" encoding="utf-8"?>
<formControlPr xmlns="http://schemas.microsoft.com/office/spreadsheetml/2009/9/main" objectType="CheckBox" noThreeD="1"/>
</file>

<file path=xl/ctrlProps/ctrlProp426.xml><?xml version="1.0" encoding="utf-8"?>
<formControlPr xmlns="http://schemas.microsoft.com/office/spreadsheetml/2009/9/main" objectType="CheckBox" noThreeD="1"/>
</file>

<file path=xl/ctrlProps/ctrlProp427.xml><?xml version="1.0" encoding="utf-8"?>
<formControlPr xmlns="http://schemas.microsoft.com/office/spreadsheetml/2009/9/main" objectType="CheckBox" noThreeD="1"/>
</file>

<file path=xl/ctrlProps/ctrlProp428.xml><?xml version="1.0" encoding="utf-8"?>
<formControlPr xmlns="http://schemas.microsoft.com/office/spreadsheetml/2009/9/main" objectType="CheckBox" noThreeD="1"/>
</file>

<file path=xl/ctrlProps/ctrlProp429.xml><?xml version="1.0" encoding="utf-8"?>
<formControlPr xmlns="http://schemas.microsoft.com/office/spreadsheetml/2009/9/main" objectType="CheckBox" noThreeD="1"/>
</file>

<file path=xl/ctrlProps/ctrlProp430.xml><?xml version="1.0" encoding="utf-8"?>
<formControlPr xmlns="http://schemas.microsoft.com/office/spreadsheetml/2009/9/main" objectType="CheckBox" noThreeD="1"/>
</file>

<file path=xl/ctrlProps/ctrlProp431.xml><?xml version="1.0" encoding="utf-8"?>
<formControlPr xmlns="http://schemas.microsoft.com/office/spreadsheetml/2009/9/main" objectType="CheckBox" noThreeD="1"/>
</file>

<file path=xl/ctrlProps/ctrlProp432.xml><?xml version="1.0" encoding="utf-8"?>
<formControlPr xmlns="http://schemas.microsoft.com/office/spreadsheetml/2009/9/main" objectType="CheckBox" noThreeD="1"/>
</file>

<file path=xl/ctrlProps/ctrlProp433.xml><?xml version="1.0" encoding="utf-8"?>
<formControlPr xmlns="http://schemas.microsoft.com/office/spreadsheetml/2009/9/main" objectType="CheckBox" noThreeD="1"/>
</file>

<file path=xl/ctrlProps/ctrlProp434.xml><?xml version="1.0" encoding="utf-8"?>
<formControlPr xmlns="http://schemas.microsoft.com/office/spreadsheetml/2009/9/main" objectType="CheckBox" noThreeD="1"/>
</file>

<file path=xl/ctrlProps/ctrlProp435.xml><?xml version="1.0" encoding="utf-8"?>
<formControlPr xmlns="http://schemas.microsoft.com/office/spreadsheetml/2009/9/main" objectType="CheckBox" noThreeD="1"/>
</file>

<file path=xl/ctrlProps/ctrlProp436.xml><?xml version="1.0" encoding="utf-8"?>
<formControlPr xmlns="http://schemas.microsoft.com/office/spreadsheetml/2009/9/main" objectType="CheckBox" noThreeD="1"/>
</file>

<file path=xl/ctrlProps/ctrlProp437.xml><?xml version="1.0" encoding="utf-8"?>
<formControlPr xmlns="http://schemas.microsoft.com/office/spreadsheetml/2009/9/main" objectType="CheckBox" noThreeD="1"/>
</file>

<file path=xl/ctrlProps/ctrlProp438.xml><?xml version="1.0" encoding="utf-8"?>
<formControlPr xmlns="http://schemas.microsoft.com/office/spreadsheetml/2009/9/main" objectType="CheckBox" noThreeD="1"/>
</file>

<file path=xl/ctrlProps/ctrlProp439.xml><?xml version="1.0" encoding="utf-8"?>
<formControlPr xmlns="http://schemas.microsoft.com/office/spreadsheetml/2009/9/main" objectType="CheckBox" noThreeD="1"/>
</file>

<file path=xl/ctrlProps/ctrlProp440.xml><?xml version="1.0" encoding="utf-8"?>
<formControlPr xmlns="http://schemas.microsoft.com/office/spreadsheetml/2009/9/main" objectType="CheckBox" noThreeD="1"/>
</file>

<file path=xl/ctrlProps/ctrlProp441.xml><?xml version="1.0" encoding="utf-8"?>
<formControlPr xmlns="http://schemas.microsoft.com/office/spreadsheetml/2009/9/main" objectType="CheckBox" noThreeD="1"/>
</file>

<file path=xl/ctrlProps/ctrlProp442.xml><?xml version="1.0" encoding="utf-8"?>
<formControlPr xmlns="http://schemas.microsoft.com/office/spreadsheetml/2009/9/main" objectType="CheckBox" noThreeD="1"/>
</file>

<file path=xl/ctrlProps/ctrlProp443.xml><?xml version="1.0" encoding="utf-8"?>
<formControlPr xmlns="http://schemas.microsoft.com/office/spreadsheetml/2009/9/main" objectType="CheckBox" noThreeD="1"/>
</file>

<file path=xl/ctrlProps/ctrlProp444.xml><?xml version="1.0" encoding="utf-8"?>
<formControlPr xmlns="http://schemas.microsoft.com/office/spreadsheetml/2009/9/main" objectType="CheckBox" noThreeD="1"/>
</file>

<file path=xl/ctrlProps/ctrlProp445.xml><?xml version="1.0" encoding="utf-8"?>
<formControlPr xmlns="http://schemas.microsoft.com/office/spreadsheetml/2009/9/main" objectType="CheckBox" noThreeD="1"/>
</file>

<file path=xl/ctrlProps/ctrlProp446.xml><?xml version="1.0" encoding="utf-8"?>
<formControlPr xmlns="http://schemas.microsoft.com/office/spreadsheetml/2009/9/main" objectType="CheckBox" noThreeD="1"/>
</file>

<file path=xl/ctrlProps/ctrlProp447.xml><?xml version="1.0" encoding="utf-8"?>
<formControlPr xmlns="http://schemas.microsoft.com/office/spreadsheetml/2009/9/main" objectType="CheckBox" noThreeD="1"/>
</file>

<file path=xl/ctrlProps/ctrlProp448.xml><?xml version="1.0" encoding="utf-8"?>
<formControlPr xmlns="http://schemas.microsoft.com/office/spreadsheetml/2009/9/main" objectType="CheckBox" noThreeD="1"/>
</file>

<file path=xl/ctrlProps/ctrlProp449.xml><?xml version="1.0" encoding="utf-8"?>
<formControlPr xmlns="http://schemas.microsoft.com/office/spreadsheetml/2009/9/main" objectType="CheckBox" noThreeD="1"/>
</file>

<file path=xl/ctrlProps/ctrlProp450.xml><?xml version="1.0" encoding="utf-8"?>
<formControlPr xmlns="http://schemas.microsoft.com/office/spreadsheetml/2009/9/main" objectType="CheckBox" noThreeD="1"/>
</file>

<file path=xl/ctrlProps/ctrlProp451.xml><?xml version="1.0" encoding="utf-8"?>
<formControlPr xmlns="http://schemas.microsoft.com/office/spreadsheetml/2009/9/main" objectType="CheckBox" noThreeD="1"/>
</file>

<file path=xl/ctrlProps/ctrlProp452.xml><?xml version="1.0" encoding="utf-8"?>
<formControlPr xmlns="http://schemas.microsoft.com/office/spreadsheetml/2009/9/main" objectType="CheckBox" noThreeD="1"/>
</file>

<file path=xl/ctrlProps/ctrlProp453.xml><?xml version="1.0" encoding="utf-8"?>
<formControlPr xmlns="http://schemas.microsoft.com/office/spreadsheetml/2009/9/main" objectType="CheckBox" noThreeD="1"/>
</file>

<file path=xl/ctrlProps/ctrlProp454.xml><?xml version="1.0" encoding="utf-8"?>
<formControlPr xmlns="http://schemas.microsoft.com/office/spreadsheetml/2009/9/main" objectType="CheckBox" noThreeD="1"/>
</file>

<file path=xl/ctrlProps/ctrlProp455.xml><?xml version="1.0" encoding="utf-8"?>
<formControlPr xmlns="http://schemas.microsoft.com/office/spreadsheetml/2009/9/main" objectType="CheckBox" noThreeD="1"/>
</file>

<file path=xl/ctrlProps/ctrlProp456.xml><?xml version="1.0" encoding="utf-8"?>
<formControlPr xmlns="http://schemas.microsoft.com/office/spreadsheetml/2009/9/main" objectType="CheckBox" noThreeD="1"/>
</file>

<file path=xl/ctrlProps/ctrlProp457.xml><?xml version="1.0" encoding="utf-8"?>
<formControlPr xmlns="http://schemas.microsoft.com/office/spreadsheetml/2009/9/main" objectType="CheckBox" noThreeD="1"/>
</file>

<file path=xl/ctrlProps/ctrlProp458.xml><?xml version="1.0" encoding="utf-8"?>
<formControlPr xmlns="http://schemas.microsoft.com/office/spreadsheetml/2009/9/main" objectType="CheckBox" noThreeD="1"/>
</file>

<file path=xl/ctrlProps/ctrlProp459.xml><?xml version="1.0" encoding="utf-8"?>
<formControlPr xmlns="http://schemas.microsoft.com/office/spreadsheetml/2009/9/main" objectType="CheckBox" noThreeD="1"/>
</file>

<file path=xl/ctrlProps/ctrlProp460.xml><?xml version="1.0" encoding="utf-8"?>
<formControlPr xmlns="http://schemas.microsoft.com/office/spreadsheetml/2009/9/main" objectType="CheckBox" noThreeD="1"/>
</file>

<file path=xl/ctrlProps/ctrlProp461.xml><?xml version="1.0" encoding="utf-8"?>
<formControlPr xmlns="http://schemas.microsoft.com/office/spreadsheetml/2009/9/main" objectType="CheckBox" noThreeD="1"/>
</file>

<file path=xl/ctrlProps/ctrlProp462.xml><?xml version="1.0" encoding="utf-8"?>
<formControlPr xmlns="http://schemas.microsoft.com/office/spreadsheetml/2009/9/main" objectType="CheckBox" noThreeD="1"/>
</file>

<file path=xl/ctrlProps/ctrlProp463.xml><?xml version="1.0" encoding="utf-8"?>
<formControlPr xmlns="http://schemas.microsoft.com/office/spreadsheetml/2009/9/main" objectType="CheckBox" noThreeD="1"/>
</file>

<file path=xl/ctrlProps/ctrlProp464.xml><?xml version="1.0" encoding="utf-8"?>
<formControlPr xmlns="http://schemas.microsoft.com/office/spreadsheetml/2009/9/main" objectType="CheckBox" noThreeD="1"/>
</file>

<file path=xl/ctrlProps/ctrlProp465.xml><?xml version="1.0" encoding="utf-8"?>
<formControlPr xmlns="http://schemas.microsoft.com/office/spreadsheetml/2009/9/main" objectType="CheckBox" noThreeD="1"/>
</file>

<file path=xl/ctrlProps/ctrlProp466.xml><?xml version="1.0" encoding="utf-8"?>
<formControlPr xmlns="http://schemas.microsoft.com/office/spreadsheetml/2009/9/main" objectType="CheckBox" noThreeD="1"/>
</file>

<file path=xl/ctrlProps/ctrlProp467.xml><?xml version="1.0" encoding="utf-8"?>
<formControlPr xmlns="http://schemas.microsoft.com/office/spreadsheetml/2009/9/main" objectType="CheckBox" noThreeD="1"/>
</file>

<file path=xl/ctrlProps/ctrlProp468.xml><?xml version="1.0" encoding="utf-8"?>
<formControlPr xmlns="http://schemas.microsoft.com/office/spreadsheetml/2009/9/main" objectType="CheckBox" noThreeD="1"/>
</file>

<file path=xl/ctrlProps/ctrlProp469.xml><?xml version="1.0" encoding="utf-8"?>
<formControlPr xmlns="http://schemas.microsoft.com/office/spreadsheetml/2009/9/main" objectType="CheckBox" noThreeD="1"/>
</file>

<file path=xl/ctrlProps/ctrlProp470.xml><?xml version="1.0" encoding="utf-8"?>
<formControlPr xmlns="http://schemas.microsoft.com/office/spreadsheetml/2009/9/main" objectType="CheckBox" noThreeD="1"/>
</file>

<file path=xl/ctrlProps/ctrlProp471.xml><?xml version="1.0" encoding="utf-8"?>
<formControlPr xmlns="http://schemas.microsoft.com/office/spreadsheetml/2009/9/main" objectType="CheckBox" noThreeD="1"/>
</file>

<file path=xl/ctrlProps/ctrlProp472.xml><?xml version="1.0" encoding="utf-8"?>
<formControlPr xmlns="http://schemas.microsoft.com/office/spreadsheetml/2009/9/main" objectType="CheckBox" noThreeD="1"/>
</file>

<file path=xl/ctrlProps/ctrlProp473.xml><?xml version="1.0" encoding="utf-8"?>
<formControlPr xmlns="http://schemas.microsoft.com/office/spreadsheetml/2009/9/main" objectType="CheckBox" noThreeD="1"/>
</file>

<file path=xl/ctrlProps/ctrlProp474.xml><?xml version="1.0" encoding="utf-8"?>
<formControlPr xmlns="http://schemas.microsoft.com/office/spreadsheetml/2009/9/main" objectType="CheckBox" noThreeD="1"/>
</file>

<file path=xl/ctrlProps/ctrlProp475.xml><?xml version="1.0" encoding="utf-8"?>
<formControlPr xmlns="http://schemas.microsoft.com/office/spreadsheetml/2009/9/main" objectType="CheckBox" noThreeD="1"/>
</file>

<file path=xl/ctrlProps/ctrlProp476.xml><?xml version="1.0" encoding="utf-8"?>
<formControlPr xmlns="http://schemas.microsoft.com/office/spreadsheetml/2009/9/main" objectType="CheckBox" noThreeD="1"/>
</file>

<file path=xl/ctrlProps/ctrlProp477.xml><?xml version="1.0" encoding="utf-8"?>
<formControlPr xmlns="http://schemas.microsoft.com/office/spreadsheetml/2009/9/main" objectType="CheckBox" noThreeD="1"/>
</file>

<file path=xl/ctrlProps/ctrlProp478.xml><?xml version="1.0" encoding="utf-8"?>
<formControlPr xmlns="http://schemas.microsoft.com/office/spreadsheetml/2009/9/main" objectType="CheckBox" noThreeD="1"/>
</file>

<file path=xl/ctrlProps/ctrlProp479.xml><?xml version="1.0" encoding="utf-8"?>
<formControlPr xmlns="http://schemas.microsoft.com/office/spreadsheetml/2009/9/main" objectType="CheckBox" noThreeD="1"/>
</file>

<file path=xl/ctrlProps/ctrlProp480.xml><?xml version="1.0" encoding="utf-8"?>
<formControlPr xmlns="http://schemas.microsoft.com/office/spreadsheetml/2009/9/main" objectType="CheckBox" noThreeD="1"/>
</file>

<file path=xl/ctrlProps/ctrlProp481.xml><?xml version="1.0" encoding="utf-8"?>
<formControlPr xmlns="http://schemas.microsoft.com/office/spreadsheetml/2009/9/main" objectType="CheckBox" noThreeD="1"/>
</file>

<file path=xl/ctrlProps/ctrlProp482.xml><?xml version="1.0" encoding="utf-8"?>
<formControlPr xmlns="http://schemas.microsoft.com/office/spreadsheetml/2009/9/main" objectType="CheckBox" noThreeD="1"/>
</file>

<file path=xl/ctrlProps/ctrlProp483.xml><?xml version="1.0" encoding="utf-8"?>
<formControlPr xmlns="http://schemas.microsoft.com/office/spreadsheetml/2009/9/main" objectType="CheckBox" noThreeD="1"/>
</file>

<file path=xl/ctrlProps/ctrlProp484.xml><?xml version="1.0" encoding="utf-8"?>
<formControlPr xmlns="http://schemas.microsoft.com/office/spreadsheetml/2009/9/main" objectType="CheckBox" noThreeD="1"/>
</file>

<file path=xl/ctrlProps/ctrlProp485.xml><?xml version="1.0" encoding="utf-8"?>
<formControlPr xmlns="http://schemas.microsoft.com/office/spreadsheetml/2009/9/main" objectType="CheckBox" noThreeD="1"/>
</file>

<file path=xl/ctrlProps/ctrlProp486.xml><?xml version="1.0" encoding="utf-8"?>
<formControlPr xmlns="http://schemas.microsoft.com/office/spreadsheetml/2009/9/main" objectType="CheckBox" noThreeD="1"/>
</file>

<file path=xl/ctrlProps/ctrlProp487.xml><?xml version="1.0" encoding="utf-8"?>
<formControlPr xmlns="http://schemas.microsoft.com/office/spreadsheetml/2009/9/main" objectType="CheckBox" noThreeD="1"/>
</file>

<file path=xl/ctrlProps/ctrlProp488.xml><?xml version="1.0" encoding="utf-8"?>
<formControlPr xmlns="http://schemas.microsoft.com/office/spreadsheetml/2009/9/main" objectType="CheckBox" noThreeD="1"/>
</file>

<file path=xl/ctrlProps/ctrlProp489.xml><?xml version="1.0" encoding="utf-8"?>
<formControlPr xmlns="http://schemas.microsoft.com/office/spreadsheetml/2009/9/main" objectType="CheckBox" noThreeD="1"/>
</file>

<file path=xl/ctrlProps/ctrlProp490.xml><?xml version="1.0" encoding="utf-8"?>
<formControlPr xmlns="http://schemas.microsoft.com/office/spreadsheetml/2009/9/main" objectType="CheckBox" noThreeD="1"/>
</file>

<file path=xl/ctrlProps/ctrlProp491.xml><?xml version="1.0" encoding="utf-8"?>
<formControlPr xmlns="http://schemas.microsoft.com/office/spreadsheetml/2009/9/main" objectType="CheckBox" noThreeD="1"/>
</file>

<file path=xl/ctrlProps/ctrlProp492.xml><?xml version="1.0" encoding="utf-8"?>
<formControlPr xmlns="http://schemas.microsoft.com/office/spreadsheetml/2009/9/main" objectType="CheckBox" noThreeD="1"/>
</file>

<file path=xl/ctrlProps/ctrlProp493.xml><?xml version="1.0" encoding="utf-8"?>
<formControlPr xmlns="http://schemas.microsoft.com/office/spreadsheetml/2009/9/main" objectType="CheckBox" noThreeD="1"/>
</file>

<file path=xl/ctrlProps/ctrlProp494.xml><?xml version="1.0" encoding="utf-8"?>
<formControlPr xmlns="http://schemas.microsoft.com/office/spreadsheetml/2009/9/main" objectType="CheckBox" noThreeD="1"/>
</file>

<file path=xl/ctrlProps/ctrlProp495.xml><?xml version="1.0" encoding="utf-8"?>
<formControlPr xmlns="http://schemas.microsoft.com/office/spreadsheetml/2009/9/main" objectType="CheckBox" noThreeD="1"/>
</file>

<file path=xl/ctrlProps/ctrlProp496.xml><?xml version="1.0" encoding="utf-8"?>
<formControlPr xmlns="http://schemas.microsoft.com/office/spreadsheetml/2009/9/main" objectType="CheckBox" noThreeD="1"/>
</file>

<file path=xl/ctrlProps/ctrlProp497.xml><?xml version="1.0" encoding="utf-8"?>
<formControlPr xmlns="http://schemas.microsoft.com/office/spreadsheetml/2009/9/main" objectType="CheckBox" noThreeD="1"/>
</file>

<file path=xl/ctrlProps/ctrlProp498.xml><?xml version="1.0" encoding="utf-8"?>
<formControlPr xmlns="http://schemas.microsoft.com/office/spreadsheetml/2009/9/main" objectType="CheckBox" noThreeD="1"/>
</file>

<file path=xl/ctrlProps/ctrlProp499.xml><?xml version="1.0" encoding="utf-8"?>
<formControlPr xmlns="http://schemas.microsoft.com/office/spreadsheetml/2009/9/main" objectType="CheckBox" noThreeD="1"/>
</file>

<file path=xl/ctrlProps/ctrlProp500.xml><?xml version="1.0" encoding="utf-8"?>
<formControlPr xmlns="http://schemas.microsoft.com/office/spreadsheetml/2009/9/main" objectType="CheckBox" noThreeD="1"/>
</file>

<file path=xl/ctrlProps/ctrlProp501.xml><?xml version="1.0" encoding="utf-8"?>
<formControlPr xmlns="http://schemas.microsoft.com/office/spreadsheetml/2009/9/main" objectType="CheckBox" noThreeD="1"/>
</file>

<file path=xl/ctrlProps/ctrlProp502.xml><?xml version="1.0" encoding="utf-8"?>
<formControlPr xmlns="http://schemas.microsoft.com/office/spreadsheetml/2009/9/main" objectType="CheckBox" noThreeD="1"/>
</file>

<file path=xl/ctrlProps/ctrlProp503.xml><?xml version="1.0" encoding="utf-8"?>
<formControlPr xmlns="http://schemas.microsoft.com/office/spreadsheetml/2009/9/main" objectType="CheckBox" noThreeD="1"/>
</file>

<file path=xl/ctrlProps/ctrlProp504.xml><?xml version="1.0" encoding="utf-8"?>
<formControlPr xmlns="http://schemas.microsoft.com/office/spreadsheetml/2009/9/main" objectType="CheckBox" noThreeD="1"/>
</file>

<file path=xl/ctrlProps/ctrlProp505.xml><?xml version="1.0" encoding="utf-8"?>
<formControlPr xmlns="http://schemas.microsoft.com/office/spreadsheetml/2009/9/main" objectType="CheckBox" noThreeD="1"/>
</file>

<file path=xl/ctrlProps/ctrlProp506.xml><?xml version="1.0" encoding="utf-8"?>
<formControlPr xmlns="http://schemas.microsoft.com/office/spreadsheetml/2009/9/main" objectType="CheckBox" noThreeD="1"/>
</file>

<file path=xl/ctrlProps/ctrlProp507.xml><?xml version="1.0" encoding="utf-8"?>
<formControlPr xmlns="http://schemas.microsoft.com/office/spreadsheetml/2009/9/main" objectType="CheckBox" noThreeD="1"/>
</file>

<file path=xl/ctrlProps/ctrlProp508.xml><?xml version="1.0" encoding="utf-8"?>
<formControlPr xmlns="http://schemas.microsoft.com/office/spreadsheetml/2009/9/main" objectType="CheckBox" noThreeD="1"/>
</file>

<file path=xl/ctrlProps/ctrlProp509.xml><?xml version="1.0" encoding="utf-8"?>
<formControlPr xmlns="http://schemas.microsoft.com/office/spreadsheetml/2009/9/main" objectType="CheckBox" noThreeD="1"/>
</file>

<file path=xl/ctrlProps/ctrlProp510.xml><?xml version="1.0" encoding="utf-8"?>
<formControlPr xmlns="http://schemas.microsoft.com/office/spreadsheetml/2009/9/main" objectType="CheckBox" noThreeD="1"/>
</file>

<file path=xl/ctrlProps/ctrlProp511.xml><?xml version="1.0" encoding="utf-8"?>
<formControlPr xmlns="http://schemas.microsoft.com/office/spreadsheetml/2009/9/main" objectType="CheckBox" noThreeD="1"/>
</file>

<file path=xl/ctrlProps/ctrlProp512.xml><?xml version="1.0" encoding="utf-8"?>
<formControlPr xmlns="http://schemas.microsoft.com/office/spreadsheetml/2009/9/main" objectType="CheckBox" noThreeD="1"/>
</file>

<file path=xl/ctrlProps/ctrlProp513.xml><?xml version="1.0" encoding="utf-8"?>
<formControlPr xmlns="http://schemas.microsoft.com/office/spreadsheetml/2009/9/main" objectType="CheckBox" noThreeD="1"/>
</file>

<file path=xl/ctrlProps/ctrlProp514.xml><?xml version="1.0" encoding="utf-8"?>
<formControlPr xmlns="http://schemas.microsoft.com/office/spreadsheetml/2009/9/main" objectType="CheckBox" noThreeD="1"/>
</file>

<file path=xl/ctrlProps/ctrlProp515.xml><?xml version="1.0" encoding="utf-8"?>
<formControlPr xmlns="http://schemas.microsoft.com/office/spreadsheetml/2009/9/main" objectType="CheckBox" noThreeD="1"/>
</file>

<file path=xl/ctrlProps/ctrlProp516.xml><?xml version="1.0" encoding="utf-8"?>
<formControlPr xmlns="http://schemas.microsoft.com/office/spreadsheetml/2009/9/main" objectType="CheckBox" noThreeD="1"/>
</file>

<file path=xl/ctrlProps/ctrlProp517.xml><?xml version="1.0" encoding="utf-8"?>
<formControlPr xmlns="http://schemas.microsoft.com/office/spreadsheetml/2009/9/main" objectType="CheckBox" noThreeD="1"/>
</file>

<file path=xl/ctrlProps/ctrlProp518.xml><?xml version="1.0" encoding="utf-8"?>
<formControlPr xmlns="http://schemas.microsoft.com/office/spreadsheetml/2009/9/main" objectType="CheckBox" noThreeD="1"/>
</file>

<file path=xl/ctrlProps/ctrlProp519.xml><?xml version="1.0" encoding="utf-8"?>
<formControlPr xmlns="http://schemas.microsoft.com/office/spreadsheetml/2009/9/main" objectType="CheckBox" noThreeD="1"/>
</file>

<file path=xl/ctrlProps/ctrlProp520.xml><?xml version="1.0" encoding="utf-8"?>
<formControlPr xmlns="http://schemas.microsoft.com/office/spreadsheetml/2009/9/main" objectType="CheckBox" noThreeD="1"/>
</file>

<file path=xl/ctrlProps/ctrlProp521.xml><?xml version="1.0" encoding="utf-8"?>
<formControlPr xmlns="http://schemas.microsoft.com/office/spreadsheetml/2009/9/main" objectType="CheckBox" noThreeD="1"/>
</file>

<file path=xl/ctrlProps/ctrlProp522.xml><?xml version="1.0" encoding="utf-8"?>
<formControlPr xmlns="http://schemas.microsoft.com/office/spreadsheetml/2009/9/main" objectType="CheckBox" noThreeD="1"/>
</file>

<file path=xl/ctrlProps/ctrlProp523.xml><?xml version="1.0" encoding="utf-8"?>
<formControlPr xmlns="http://schemas.microsoft.com/office/spreadsheetml/2009/9/main" objectType="CheckBox" noThreeD="1"/>
</file>

<file path=xl/ctrlProps/ctrlProp524.xml><?xml version="1.0" encoding="utf-8"?>
<formControlPr xmlns="http://schemas.microsoft.com/office/spreadsheetml/2009/9/main" objectType="CheckBox" noThreeD="1"/>
</file>

<file path=xl/ctrlProps/ctrlProp525.xml><?xml version="1.0" encoding="utf-8"?>
<formControlPr xmlns="http://schemas.microsoft.com/office/spreadsheetml/2009/9/main" objectType="CheckBox" noThreeD="1"/>
</file>

<file path=xl/ctrlProps/ctrlProp526.xml><?xml version="1.0" encoding="utf-8"?>
<formControlPr xmlns="http://schemas.microsoft.com/office/spreadsheetml/2009/9/main" objectType="CheckBox" noThreeD="1"/>
</file>

<file path=xl/ctrlProps/ctrlProp527.xml><?xml version="1.0" encoding="utf-8"?>
<formControlPr xmlns="http://schemas.microsoft.com/office/spreadsheetml/2009/9/main" objectType="CheckBox" noThreeD="1"/>
</file>

<file path=xl/ctrlProps/ctrlProp528.xml><?xml version="1.0" encoding="utf-8"?>
<formControlPr xmlns="http://schemas.microsoft.com/office/spreadsheetml/2009/9/main" objectType="CheckBox" noThreeD="1"/>
</file>

<file path=xl/ctrlProps/ctrlProp529.xml><?xml version="1.0" encoding="utf-8"?>
<formControlPr xmlns="http://schemas.microsoft.com/office/spreadsheetml/2009/9/main" objectType="CheckBox" noThreeD="1"/>
</file>

<file path=xl/ctrlProps/ctrlProp530.xml><?xml version="1.0" encoding="utf-8"?>
<formControlPr xmlns="http://schemas.microsoft.com/office/spreadsheetml/2009/9/main" objectType="CheckBox" noThreeD="1"/>
</file>

<file path=xl/ctrlProps/ctrlProp531.xml><?xml version="1.0" encoding="utf-8"?>
<formControlPr xmlns="http://schemas.microsoft.com/office/spreadsheetml/2009/9/main" objectType="CheckBox" noThreeD="1"/>
</file>

<file path=xl/ctrlProps/ctrlProp532.xml><?xml version="1.0" encoding="utf-8"?>
<formControlPr xmlns="http://schemas.microsoft.com/office/spreadsheetml/2009/9/main" objectType="CheckBox" noThreeD="1"/>
</file>

<file path=xl/ctrlProps/ctrlProp533.xml><?xml version="1.0" encoding="utf-8"?>
<formControlPr xmlns="http://schemas.microsoft.com/office/spreadsheetml/2009/9/main" objectType="CheckBox" noThreeD="1"/>
</file>

<file path=xl/ctrlProps/ctrlProp534.xml><?xml version="1.0" encoding="utf-8"?>
<formControlPr xmlns="http://schemas.microsoft.com/office/spreadsheetml/2009/9/main" objectType="CheckBox" noThreeD="1"/>
</file>

<file path=xl/ctrlProps/ctrlProp535.xml><?xml version="1.0" encoding="utf-8"?>
<formControlPr xmlns="http://schemas.microsoft.com/office/spreadsheetml/2009/9/main" objectType="CheckBox" noThreeD="1"/>
</file>

<file path=xl/ctrlProps/ctrlProp536.xml><?xml version="1.0" encoding="utf-8"?>
<formControlPr xmlns="http://schemas.microsoft.com/office/spreadsheetml/2009/9/main" objectType="CheckBox" noThreeD="1"/>
</file>

<file path=xl/ctrlProps/ctrlProp537.xml><?xml version="1.0" encoding="utf-8"?>
<formControlPr xmlns="http://schemas.microsoft.com/office/spreadsheetml/2009/9/main" objectType="CheckBox" noThreeD="1"/>
</file>

<file path=xl/ctrlProps/ctrlProp538.xml><?xml version="1.0" encoding="utf-8"?>
<formControlPr xmlns="http://schemas.microsoft.com/office/spreadsheetml/2009/9/main" objectType="CheckBox" noThreeD="1"/>
</file>

<file path=xl/ctrlProps/ctrlProp539.xml><?xml version="1.0" encoding="utf-8"?>
<formControlPr xmlns="http://schemas.microsoft.com/office/spreadsheetml/2009/9/main" objectType="CheckBox" noThreeD="1"/>
</file>

<file path=xl/ctrlProps/ctrlProp540.xml><?xml version="1.0" encoding="utf-8"?>
<formControlPr xmlns="http://schemas.microsoft.com/office/spreadsheetml/2009/9/main" objectType="CheckBox" noThreeD="1"/>
</file>

<file path=xl/ctrlProps/ctrlProp541.xml><?xml version="1.0" encoding="utf-8"?>
<formControlPr xmlns="http://schemas.microsoft.com/office/spreadsheetml/2009/9/main" objectType="CheckBox" noThreeD="1"/>
</file>

<file path=xl/ctrlProps/ctrlProp542.xml><?xml version="1.0" encoding="utf-8"?>
<formControlPr xmlns="http://schemas.microsoft.com/office/spreadsheetml/2009/9/main" objectType="CheckBox" noThreeD="1"/>
</file>

<file path=xl/ctrlProps/ctrlProp543.xml><?xml version="1.0" encoding="utf-8"?>
<formControlPr xmlns="http://schemas.microsoft.com/office/spreadsheetml/2009/9/main" objectType="CheckBox" noThreeD="1"/>
</file>

<file path=xl/ctrlProps/ctrlProp544.xml><?xml version="1.0" encoding="utf-8"?>
<formControlPr xmlns="http://schemas.microsoft.com/office/spreadsheetml/2009/9/main" objectType="CheckBox" noThreeD="1"/>
</file>

<file path=xl/ctrlProps/ctrlProp545.xml><?xml version="1.0" encoding="utf-8"?>
<formControlPr xmlns="http://schemas.microsoft.com/office/spreadsheetml/2009/9/main" objectType="CheckBox" noThreeD="1"/>
</file>

<file path=xl/ctrlProps/ctrlProp546.xml><?xml version="1.0" encoding="utf-8"?>
<formControlPr xmlns="http://schemas.microsoft.com/office/spreadsheetml/2009/9/main" objectType="CheckBox" noThreeD="1"/>
</file>

<file path=xl/ctrlProps/ctrlProp547.xml><?xml version="1.0" encoding="utf-8"?>
<formControlPr xmlns="http://schemas.microsoft.com/office/spreadsheetml/2009/9/main" objectType="CheckBox" noThreeD="1"/>
</file>

<file path=xl/ctrlProps/ctrlProp548.xml><?xml version="1.0" encoding="utf-8"?>
<formControlPr xmlns="http://schemas.microsoft.com/office/spreadsheetml/2009/9/main" objectType="CheckBox" noThreeD="1"/>
</file>

<file path=xl/ctrlProps/ctrlProp549.xml><?xml version="1.0" encoding="utf-8"?>
<formControlPr xmlns="http://schemas.microsoft.com/office/spreadsheetml/2009/9/main" objectType="CheckBox" noThreeD="1"/>
</file>

<file path=xl/ctrlProps/ctrlProp550.xml><?xml version="1.0" encoding="utf-8"?>
<formControlPr xmlns="http://schemas.microsoft.com/office/spreadsheetml/2009/9/main" objectType="CheckBox"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12481;&#12455;&#12483;&#12463;&#12471;&#12540;&#12488;!A1"/><Relationship Id="rId1" Type="http://schemas.openxmlformats.org/officeDocument/2006/relationships/hyperlink" Target="#&#25937;&#24613;&#21307;&#30274;&#24773;&#22577;!A1"/></Relationships>
</file>

<file path=xl/drawings/_rels/drawing4.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 Id="rId4" Type="http://schemas.openxmlformats.org/officeDocument/2006/relationships/hyperlink" Target="https://drive.google.com/drive/folders/1ZmfSMNSVSKNVMoadaExsYeJqguduflUC"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hyperlink" Target="#&#12481;&#12455;&#12483;&#12463;&#12471;&#12540;&#12488;!Print_Area"/><Relationship Id="rId5" Type="http://schemas.openxmlformats.org/officeDocument/2006/relationships/image" Target="../media/image1.jpeg"/><Relationship Id="rId4" Type="http://schemas.openxmlformats.org/officeDocument/2006/relationships/hyperlink" Target="#HOME!A1"/></Relationships>
</file>

<file path=xl/drawings/_rels/drawing8.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1.jpeg"/><Relationship Id="rId1" Type="http://schemas.openxmlformats.org/officeDocument/2006/relationships/hyperlink" Target="#HOME!A1"/><Relationship Id="rId4" Type="http://schemas.openxmlformats.org/officeDocument/2006/relationships/hyperlink" Target="../&#9678;&#20027;&#20219;&#12424;&#12426;&#9678;/&#20837;&#36864;&#38498;&#26178;&#36899;&#25658;&#21152;&#31639;/&#9733;&#9733;R7.1&#65374;&#20837;&#38498;&#26178;&#24773;&#22577;&#36899;&#25658;&#21152;&#31639;&#36899;&#32097;&#31080;.xlsx"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5.jpeg"/><Relationship Id="rId1" Type="http://schemas.openxmlformats.org/officeDocument/2006/relationships/hyperlink" Target="#HOME!A1"/><Relationship Id="rId4" Type="http://schemas.openxmlformats.org/officeDocument/2006/relationships/hyperlink" Target="../&#9678;&#20027;&#20219;&#12424;&#12426;&#9678;/&#20837;&#36864;&#38498;&#26178;&#36899;&#25658;&#21152;&#31639;/&#9733;&#9733;R7.1&#65374;&#20837;&#38498;&#26178;&#24773;&#22577;&#36899;&#25658;&#21152;&#31639;&#36899;&#32097;&#31080;.xlsx" TargetMode="External"/></Relationships>
</file>

<file path=xl/drawings/_rels/drawing11.xml.rels><?xml version="1.0" encoding="UTF-8" standalone="yes"?>
<Relationships xmlns="http://schemas.openxmlformats.org/package/2006/relationships"><Relationship Id="rId3" Type="http://schemas.openxmlformats.org/officeDocument/2006/relationships/hyperlink" Target="#&#12481;&#12455;&#12483;&#12463;&#12471;&#12540;&#12488;!Print_Area"/><Relationship Id="rId2" Type="http://schemas.openxmlformats.org/officeDocument/2006/relationships/image" Target="../media/image1.jpeg"/><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3" Type="http://schemas.openxmlformats.org/officeDocument/2006/relationships/hyperlink" Target="#&#12481;&#12455;&#12483;&#12463;&#12471;&#12540;&#12488;!A1"/><Relationship Id="rId2" Type="http://schemas.openxmlformats.org/officeDocument/2006/relationships/image" Target="../media/image1.jpeg"/><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65</xdr:row>
          <xdr:rowOff>9525</xdr:rowOff>
        </xdr:from>
        <xdr:to>
          <xdr:col>7</xdr:col>
          <xdr:colOff>0</xdr:colOff>
          <xdr:row>66</xdr:row>
          <xdr:rowOff>0</xdr:rowOff>
        </xdr:to>
        <xdr:sp macro="" textlink="">
          <xdr:nvSpPr>
            <xdr:cNvPr id="49153" name="Check Box 1" hidden="1">
              <a:extLst>
                <a:ext uri="{63B3BB69-23CF-44E3-9099-C40C66FF867C}">
                  <a14:compatExt spid="_x0000_s49153"/>
                </a:ext>
                <a:ext uri="{FF2B5EF4-FFF2-40B4-BE49-F238E27FC236}">
                  <a16:creationId xmlns:a16="http://schemas.microsoft.com/office/drawing/2014/main" id="{00000000-0008-0000-0000-00000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65</xdr:row>
          <xdr:rowOff>9525</xdr:rowOff>
        </xdr:from>
        <xdr:to>
          <xdr:col>10</xdr:col>
          <xdr:colOff>9525</xdr:colOff>
          <xdr:row>66</xdr:row>
          <xdr:rowOff>0</xdr:rowOff>
        </xdr:to>
        <xdr:sp macro="" textlink="">
          <xdr:nvSpPr>
            <xdr:cNvPr id="49154" name="Check Box 2" hidden="1">
              <a:extLst>
                <a:ext uri="{63B3BB69-23CF-44E3-9099-C40C66FF867C}">
                  <a14:compatExt spid="_x0000_s49154"/>
                </a:ext>
                <a:ext uri="{FF2B5EF4-FFF2-40B4-BE49-F238E27FC236}">
                  <a16:creationId xmlns:a16="http://schemas.microsoft.com/office/drawing/2014/main" id="{00000000-0008-0000-0000-00000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65</xdr:row>
          <xdr:rowOff>9525</xdr:rowOff>
        </xdr:from>
        <xdr:to>
          <xdr:col>15</xdr:col>
          <xdr:colOff>0</xdr:colOff>
          <xdr:row>66</xdr:row>
          <xdr:rowOff>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id="{00000000-0008-0000-0000-00000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65</xdr:row>
          <xdr:rowOff>9525</xdr:rowOff>
        </xdr:from>
        <xdr:to>
          <xdr:col>21</xdr:col>
          <xdr:colOff>104775</xdr:colOff>
          <xdr:row>66</xdr:row>
          <xdr:rowOff>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00000000-0008-0000-00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86</xdr:row>
          <xdr:rowOff>28575</xdr:rowOff>
        </xdr:from>
        <xdr:to>
          <xdr:col>9</xdr:col>
          <xdr:colOff>0</xdr:colOff>
          <xdr:row>86</xdr:row>
          <xdr:rowOff>276225</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id="{00000000-0008-0000-0000-00000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86</xdr:row>
          <xdr:rowOff>19050</xdr:rowOff>
        </xdr:from>
        <xdr:to>
          <xdr:col>11</xdr:col>
          <xdr:colOff>0</xdr:colOff>
          <xdr:row>86</xdr:row>
          <xdr:rowOff>266700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id="{00000000-0008-0000-0000-00000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85</xdr:row>
          <xdr:rowOff>28575</xdr:rowOff>
        </xdr:from>
        <xdr:to>
          <xdr:col>19</xdr:col>
          <xdr:colOff>0</xdr:colOff>
          <xdr:row>85</xdr:row>
          <xdr:rowOff>276225</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id="{00000000-0008-0000-0000-00000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89</xdr:row>
          <xdr:rowOff>28575</xdr:rowOff>
        </xdr:from>
        <xdr:to>
          <xdr:col>9</xdr:col>
          <xdr:colOff>0</xdr:colOff>
          <xdr:row>89</xdr:row>
          <xdr:rowOff>276225</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id="{00000000-0008-0000-0000-00000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89</xdr:row>
          <xdr:rowOff>19050</xdr:rowOff>
        </xdr:from>
        <xdr:to>
          <xdr:col>13</xdr:col>
          <xdr:colOff>9525</xdr:colOff>
          <xdr:row>89</xdr:row>
          <xdr:rowOff>266700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id="{00000000-0008-0000-0000-00000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90</xdr:row>
          <xdr:rowOff>28575</xdr:rowOff>
        </xdr:from>
        <xdr:to>
          <xdr:col>9</xdr:col>
          <xdr:colOff>0</xdr:colOff>
          <xdr:row>90</xdr:row>
          <xdr:rowOff>276225</xdr:rowOff>
        </xdr:to>
        <xdr:sp macro="" textlink="">
          <xdr:nvSpPr>
            <xdr:cNvPr id="49164" name="Check Box 12" hidden="1">
              <a:extLst>
                <a:ext uri="{63B3BB69-23CF-44E3-9099-C40C66FF867C}">
                  <a14:compatExt spid="_x0000_s49164"/>
                </a:ext>
                <a:ext uri="{FF2B5EF4-FFF2-40B4-BE49-F238E27FC236}">
                  <a16:creationId xmlns:a16="http://schemas.microsoft.com/office/drawing/2014/main" id="{00000000-0008-0000-0000-00000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90</xdr:row>
          <xdr:rowOff>19050</xdr:rowOff>
        </xdr:from>
        <xdr:to>
          <xdr:col>13</xdr:col>
          <xdr:colOff>9525</xdr:colOff>
          <xdr:row>90</xdr:row>
          <xdr:rowOff>266700</xdr:rowOff>
        </xdr:to>
        <xdr:sp macro="" textlink="">
          <xdr:nvSpPr>
            <xdr:cNvPr id="49165" name="Check Box 13" hidden="1">
              <a:extLst>
                <a:ext uri="{63B3BB69-23CF-44E3-9099-C40C66FF867C}">
                  <a14:compatExt spid="_x0000_s49165"/>
                </a:ext>
                <a:ext uri="{FF2B5EF4-FFF2-40B4-BE49-F238E27FC236}">
                  <a16:creationId xmlns:a16="http://schemas.microsoft.com/office/drawing/2014/main" id="{00000000-0008-0000-0000-00000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92</xdr:row>
          <xdr:rowOff>0</xdr:rowOff>
        </xdr:from>
        <xdr:to>
          <xdr:col>3</xdr:col>
          <xdr:colOff>0</xdr:colOff>
          <xdr:row>92</xdr:row>
          <xdr:rowOff>247650</xdr:rowOff>
        </xdr:to>
        <xdr:sp macro="" textlink="">
          <xdr:nvSpPr>
            <xdr:cNvPr id="49166" name="Check Box 14" hidden="1">
              <a:extLst>
                <a:ext uri="{63B3BB69-23CF-44E3-9099-C40C66FF867C}">
                  <a14:compatExt spid="_x0000_s49166"/>
                </a:ext>
                <a:ext uri="{FF2B5EF4-FFF2-40B4-BE49-F238E27FC236}">
                  <a16:creationId xmlns:a16="http://schemas.microsoft.com/office/drawing/2014/main" id="{00000000-0008-0000-0000-00000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93</xdr:row>
          <xdr:rowOff>0</xdr:rowOff>
        </xdr:from>
        <xdr:to>
          <xdr:col>3</xdr:col>
          <xdr:colOff>0</xdr:colOff>
          <xdr:row>93</xdr:row>
          <xdr:rowOff>247650</xdr:rowOff>
        </xdr:to>
        <xdr:sp macro="" textlink="">
          <xdr:nvSpPr>
            <xdr:cNvPr id="49167" name="Check Box 15" hidden="1">
              <a:extLst>
                <a:ext uri="{63B3BB69-23CF-44E3-9099-C40C66FF867C}">
                  <a14:compatExt spid="_x0000_s49167"/>
                </a:ext>
                <a:ext uri="{FF2B5EF4-FFF2-40B4-BE49-F238E27FC236}">
                  <a16:creationId xmlns:a16="http://schemas.microsoft.com/office/drawing/2014/main" id="{00000000-0008-0000-0000-00000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94</xdr:row>
          <xdr:rowOff>0</xdr:rowOff>
        </xdr:from>
        <xdr:to>
          <xdr:col>3</xdr:col>
          <xdr:colOff>0</xdr:colOff>
          <xdr:row>94</xdr:row>
          <xdr:rowOff>247650</xdr:rowOff>
        </xdr:to>
        <xdr:sp macro="" textlink="">
          <xdr:nvSpPr>
            <xdr:cNvPr id="49168" name="Check Box 16" hidden="1">
              <a:extLst>
                <a:ext uri="{63B3BB69-23CF-44E3-9099-C40C66FF867C}">
                  <a14:compatExt spid="_x0000_s49168"/>
                </a:ext>
                <a:ext uri="{FF2B5EF4-FFF2-40B4-BE49-F238E27FC236}">
                  <a16:creationId xmlns:a16="http://schemas.microsoft.com/office/drawing/2014/main" id="{00000000-0008-0000-0000-00001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95</xdr:row>
          <xdr:rowOff>0</xdr:rowOff>
        </xdr:from>
        <xdr:to>
          <xdr:col>3</xdr:col>
          <xdr:colOff>0</xdr:colOff>
          <xdr:row>95</xdr:row>
          <xdr:rowOff>247650</xdr:rowOff>
        </xdr:to>
        <xdr:sp macro="" textlink="">
          <xdr:nvSpPr>
            <xdr:cNvPr id="49169" name="Check Box 17" hidden="1">
              <a:extLst>
                <a:ext uri="{63B3BB69-23CF-44E3-9099-C40C66FF867C}">
                  <a14:compatExt spid="_x0000_s49169"/>
                </a:ext>
                <a:ext uri="{FF2B5EF4-FFF2-40B4-BE49-F238E27FC236}">
                  <a16:creationId xmlns:a16="http://schemas.microsoft.com/office/drawing/2014/main" id="{00000000-0008-0000-0000-00001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96</xdr:row>
          <xdr:rowOff>0</xdr:rowOff>
        </xdr:from>
        <xdr:to>
          <xdr:col>3</xdr:col>
          <xdr:colOff>0</xdr:colOff>
          <xdr:row>96</xdr:row>
          <xdr:rowOff>247650</xdr:rowOff>
        </xdr:to>
        <xdr:sp macro="" textlink="">
          <xdr:nvSpPr>
            <xdr:cNvPr id="49170" name="Check Box 18" hidden="1">
              <a:extLst>
                <a:ext uri="{63B3BB69-23CF-44E3-9099-C40C66FF867C}">
                  <a14:compatExt spid="_x0000_s49170"/>
                </a:ext>
                <a:ext uri="{FF2B5EF4-FFF2-40B4-BE49-F238E27FC236}">
                  <a16:creationId xmlns:a16="http://schemas.microsoft.com/office/drawing/2014/main" id="{00000000-0008-0000-0000-00001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99</xdr:row>
          <xdr:rowOff>0</xdr:rowOff>
        </xdr:from>
        <xdr:to>
          <xdr:col>3</xdr:col>
          <xdr:colOff>0</xdr:colOff>
          <xdr:row>99</xdr:row>
          <xdr:rowOff>247650</xdr:rowOff>
        </xdr:to>
        <xdr:sp macro="" textlink="">
          <xdr:nvSpPr>
            <xdr:cNvPr id="49172" name="Check Box 20" hidden="1">
              <a:extLst>
                <a:ext uri="{63B3BB69-23CF-44E3-9099-C40C66FF867C}">
                  <a14:compatExt spid="_x0000_s49172"/>
                </a:ext>
                <a:ext uri="{FF2B5EF4-FFF2-40B4-BE49-F238E27FC236}">
                  <a16:creationId xmlns:a16="http://schemas.microsoft.com/office/drawing/2014/main" id="{00000000-0008-0000-0000-00001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100</xdr:row>
          <xdr:rowOff>0</xdr:rowOff>
        </xdr:from>
        <xdr:to>
          <xdr:col>3</xdr:col>
          <xdr:colOff>0</xdr:colOff>
          <xdr:row>100</xdr:row>
          <xdr:rowOff>247650</xdr:rowOff>
        </xdr:to>
        <xdr:sp macro="" textlink="">
          <xdr:nvSpPr>
            <xdr:cNvPr id="49173" name="Check Box 21" hidden="1">
              <a:extLst>
                <a:ext uri="{63B3BB69-23CF-44E3-9099-C40C66FF867C}">
                  <a14:compatExt spid="_x0000_s49173"/>
                </a:ext>
                <a:ext uri="{FF2B5EF4-FFF2-40B4-BE49-F238E27FC236}">
                  <a16:creationId xmlns:a16="http://schemas.microsoft.com/office/drawing/2014/main" id="{00000000-0008-0000-0000-00001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101</xdr:row>
          <xdr:rowOff>0</xdr:rowOff>
        </xdr:from>
        <xdr:to>
          <xdr:col>3</xdr:col>
          <xdr:colOff>0</xdr:colOff>
          <xdr:row>101</xdr:row>
          <xdr:rowOff>247650</xdr:rowOff>
        </xdr:to>
        <xdr:sp macro="" textlink="">
          <xdr:nvSpPr>
            <xdr:cNvPr id="49174" name="Check Box 22" hidden="1">
              <a:extLst>
                <a:ext uri="{63B3BB69-23CF-44E3-9099-C40C66FF867C}">
                  <a14:compatExt spid="_x0000_s49174"/>
                </a:ext>
                <a:ext uri="{FF2B5EF4-FFF2-40B4-BE49-F238E27FC236}">
                  <a16:creationId xmlns:a16="http://schemas.microsoft.com/office/drawing/2014/main" id="{00000000-0008-0000-0000-00001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84</xdr:row>
          <xdr:rowOff>28575</xdr:rowOff>
        </xdr:from>
        <xdr:to>
          <xdr:col>19</xdr:col>
          <xdr:colOff>0</xdr:colOff>
          <xdr:row>84</xdr:row>
          <xdr:rowOff>276225</xdr:rowOff>
        </xdr:to>
        <xdr:sp macro="" textlink="">
          <xdr:nvSpPr>
            <xdr:cNvPr id="49175" name="Check Box 23" hidden="1">
              <a:extLst>
                <a:ext uri="{63B3BB69-23CF-44E3-9099-C40C66FF867C}">
                  <a14:compatExt spid="_x0000_s49175"/>
                </a:ext>
                <a:ext uri="{FF2B5EF4-FFF2-40B4-BE49-F238E27FC236}">
                  <a16:creationId xmlns:a16="http://schemas.microsoft.com/office/drawing/2014/main" id="{00000000-0008-0000-0000-00001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25</xdr:col>
      <xdr:colOff>176250</xdr:colOff>
      <xdr:row>0</xdr:row>
      <xdr:rowOff>19050</xdr:rowOff>
    </xdr:from>
    <xdr:to>
      <xdr:col>27</xdr:col>
      <xdr:colOff>214350</xdr:colOff>
      <xdr:row>8</xdr:row>
      <xdr:rowOff>136525</xdr:rowOff>
    </xdr:to>
    <xdr:pic>
      <xdr:nvPicPr>
        <xdr:cNvPr id="2" name="図 1">
          <a:hlinkClick xmlns:r="http://schemas.openxmlformats.org/officeDocument/2006/relationships" r:id="rId1"/>
          <a:extLst>
            <a:ext uri="{FF2B5EF4-FFF2-40B4-BE49-F238E27FC236}">
              <a16:creationId xmlns:a16="http://schemas.microsoft.com/office/drawing/2014/main" id="{386001D5-31DE-4C13-9DE0-BEA491843C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6150" y="19050"/>
          <a:ext cx="895350" cy="1193800"/>
        </a:xfrm>
        <a:prstGeom prst="ellipse">
          <a:avLst/>
        </a:prstGeom>
        <a:ln>
          <a:noFill/>
        </a:ln>
        <a:effectLst>
          <a:softEdge rad="112500"/>
        </a:effectLst>
      </xdr:spPr>
    </xdr:pic>
    <xdr:clientData fPrintsWithSheet="0"/>
  </xdr:twoCellAnchor>
  <xdr:twoCellAnchor>
    <xdr:from>
      <xdr:col>25</xdr:col>
      <xdr:colOff>171450</xdr:colOff>
      <xdr:row>9</xdr:row>
      <xdr:rowOff>95250</xdr:rowOff>
    </xdr:from>
    <xdr:to>
      <xdr:col>27</xdr:col>
      <xdr:colOff>390600</xdr:colOff>
      <xdr:row>12</xdr:row>
      <xdr:rowOff>84900</xdr:rowOff>
    </xdr:to>
    <xdr:sp macro="[0]!Sheet19.印刷ダイアログを開く" textlink="">
      <xdr:nvSpPr>
        <xdr:cNvPr id="4" name="正方形/長方形 3">
          <a:extLst>
            <a:ext uri="{FF2B5EF4-FFF2-40B4-BE49-F238E27FC236}">
              <a16:creationId xmlns:a16="http://schemas.microsoft.com/office/drawing/2014/main" id="{54CD3975-725A-4E40-99C9-EB3CFBC37E3F}"/>
            </a:ext>
          </a:extLst>
        </xdr:cNvPr>
        <xdr:cNvSpPr/>
      </xdr:nvSpPr>
      <xdr:spPr>
        <a:xfrm>
          <a:off x="7410450" y="1362075"/>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7</xdr:row>
          <xdr:rowOff>209550</xdr:rowOff>
        </xdr:from>
        <xdr:to>
          <xdr:col>6</xdr:col>
          <xdr:colOff>352425</xdr:colOff>
          <xdr:row>10</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3</xdr:row>
          <xdr:rowOff>209550</xdr:rowOff>
        </xdr:from>
        <xdr:to>
          <xdr:col>6</xdr:col>
          <xdr:colOff>352425</xdr:colOff>
          <xdr:row>6</xdr:row>
          <xdr:rowOff>47625</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3</xdr:row>
          <xdr:rowOff>247650</xdr:rowOff>
        </xdr:from>
        <xdr:to>
          <xdr:col>1</xdr:col>
          <xdr:colOff>361950</xdr:colOff>
          <xdr:row>5</xdr:row>
          <xdr:rowOff>19050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4</xdr:row>
          <xdr:rowOff>247650</xdr:rowOff>
        </xdr:from>
        <xdr:to>
          <xdr:col>1</xdr:col>
          <xdr:colOff>361950</xdr:colOff>
          <xdr:row>6</xdr:row>
          <xdr:rowOff>19050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247650</xdr:rowOff>
        </xdr:from>
        <xdr:to>
          <xdr:col>1</xdr:col>
          <xdr:colOff>361950</xdr:colOff>
          <xdr:row>7</xdr:row>
          <xdr:rowOff>19050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1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6</xdr:row>
          <xdr:rowOff>247650</xdr:rowOff>
        </xdr:from>
        <xdr:to>
          <xdr:col>1</xdr:col>
          <xdr:colOff>361950</xdr:colOff>
          <xdr:row>8</xdr:row>
          <xdr:rowOff>19050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1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7</xdr:row>
          <xdr:rowOff>247650</xdr:rowOff>
        </xdr:from>
        <xdr:to>
          <xdr:col>1</xdr:col>
          <xdr:colOff>361950</xdr:colOff>
          <xdr:row>9</xdr:row>
          <xdr:rowOff>19050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1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xdr:row>
          <xdr:rowOff>247650</xdr:rowOff>
        </xdr:from>
        <xdr:to>
          <xdr:col>2</xdr:col>
          <xdr:colOff>371475</xdr:colOff>
          <xdr:row>12</xdr:row>
          <xdr:rowOff>19050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01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247650</xdr:rowOff>
        </xdr:from>
        <xdr:to>
          <xdr:col>2</xdr:col>
          <xdr:colOff>371475</xdr:colOff>
          <xdr:row>13</xdr:row>
          <xdr:rowOff>19050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01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247650</xdr:rowOff>
        </xdr:from>
        <xdr:to>
          <xdr:col>2</xdr:col>
          <xdr:colOff>371475</xdr:colOff>
          <xdr:row>14</xdr:row>
          <xdr:rowOff>19050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01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247650</xdr:rowOff>
        </xdr:from>
        <xdr:to>
          <xdr:col>2</xdr:col>
          <xdr:colOff>371475</xdr:colOff>
          <xdr:row>15</xdr:row>
          <xdr:rowOff>19050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01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14</xdr:row>
          <xdr:rowOff>247650</xdr:rowOff>
        </xdr:from>
        <xdr:to>
          <xdr:col>1</xdr:col>
          <xdr:colOff>361950</xdr:colOff>
          <xdr:row>16</xdr:row>
          <xdr:rowOff>19050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01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0</xdr:rowOff>
        </xdr:from>
        <xdr:to>
          <xdr:col>1</xdr:col>
          <xdr:colOff>361950</xdr:colOff>
          <xdr:row>17</xdr:row>
          <xdr:rowOff>28575</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01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0</xdr:rowOff>
        </xdr:from>
        <xdr:to>
          <xdr:col>1</xdr:col>
          <xdr:colOff>361950</xdr:colOff>
          <xdr:row>19</xdr:row>
          <xdr:rowOff>28575</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01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22</xdr:row>
          <xdr:rowOff>209550</xdr:rowOff>
        </xdr:from>
        <xdr:to>
          <xdr:col>1</xdr:col>
          <xdr:colOff>352425</xdr:colOff>
          <xdr:row>25</xdr:row>
          <xdr:rowOff>47625</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01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20</xdr:row>
          <xdr:rowOff>0</xdr:rowOff>
        </xdr:from>
        <xdr:to>
          <xdr:col>1</xdr:col>
          <xdr:colOff>361950</xdr:colOff>
          <xdr:row>21</xdr:row>
          <xdr:rowOff>28575</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00000000-0008-0000-0100-00002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21</xdr:row>
          <xdr:rowOff>0</xdr:rowOff>
        </xdr:from>
        <xdr:to>
          <xdr:col>1</xdr:col>
          <xdr:colOff>361950</xdr:colOff>
          <xdr:row>22</xdr:row>
          <xdr:rowOff>28575</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00000000-0008-0000-0100-00002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22</xdr:row>
          <xdr:rowOff>0</xdr:rowOff>
        </xdr:from>
        <xdr:to>
          <xdr:col>1</xdr:col>
          <xdr:colOff>361950</xdr:colOff>
          <xdr:row>23</xdr:row>
          <xdr:rowOff>28575</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01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24</xdr:row>
          <xdr:rowOff>209550</xdr:rowOff>
        </xdr:from>
        <xdr:to>
          <xdr:col>1</xdr:col>
          <xdr:colOff>352425</xdr:colOff>
          <xdr:row>27</xdr:row>
          <xdr:rowOff>47625</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9</xdr:row>
          <xdr:rowOff>247650</xdr:rowOff>
        </xdr:from>
        <xdr:to>
          <xdr:col>1</xdr:col>
          <xdr:colOff>361950</xdr:colOff>
          <xdr:row>11</xdr:row>
          <xdr:rowOff>19050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10</xdr:row>
          <xdr:rowOff>247650</xdr:rowOff>
        </xdr:from>
        <xdr:to>
          <xdr:col>4</xdr:col>
          <xdr:colOff>219075</xdr:colOff>
          <xdr:row>12</xdr:row>
          <xdr:rowOff>19050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11</xdr:row>
          <xdr:rowOff>247650</xdr:rowOff>
        </xdr:from>
        <xdr:to>
          <xdr:col>4</xdr:col>
          <xdr:colOff>219075</xdr:colOff>
          <xdr:row>13</xdr:row>
          <xdr:rowOff>19050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1057275</xdr:colOff>
      <xdr:row>11</xdr:row>
      <xdr:rowOff>133350</xdr:rowOff>
    </xdr:from>
    <xdr:to>
      <xdr:col>3</xdr:col>
      <xdr:colOff>1762125</xdr:colOff>
      <xdr:row>11</xdr:row>
      <xdr:rowOff>133350</xdr:rowOff>
    </xdr:to>
    <xdr:cxnSp macro="">
      <xdr:nvCxnSpPr>
        <xdr:cNvPr id="3" name="直線矢印コネクタ 2">
          <a:extLst>
            <a:ext uri="{FF2B5EF4-FFF2-40B4-BE49-F238E27FC236}">
              <a16:creationId xmlns:a16="http://schemas.microsoft.com/office/drawing/2014/main" id="{437413FC-D730-468C-5774-1DD4C80E92C1}"/>
            </a:ext>
          </a:extLst>
        </xdr:cNvPr>
        <xdr:cNvCxnSpPr/>
      </xdr:nvCxnSpPr>
      <xdr:spPr>
        <a:xfrm>
          <a:off x="2076450" y="2733675"/>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1057275</xdr:colOff>
      <xdr:row>12</xdr:row>
      <xdr:rowOff>142875</xdr:rowOff>
    </xdr:from>
    <xdr:to>
      <xdr:col>3</xdr:col>
      <xdr:colOff>1762125</xdr:colOff>
      <xdr:row>12</xdr:row>
      <xdr:rowOff>142875</xdr:rowOff>
    </xdr:to>
    <xdr:cxnSp macro="">
      <xdr:nvCxnSpPr>
        <xdr:cNvPr id="4" name="直線矢印コネクタ 3">
          <a:extLst>
            <a:ext uri="{FF2B5EF4-FFF2-40B4-BE49-F238E27FC236}">
              <a16:creationId xmlns:a16="http://schemas.microsoft.com/office/drawing/2014/main" id="{75F87EC5-8921-4E54-AD80-DF916B8A87CF}"/>
            </a:ext>
          </a:extLst>
        </xdr:cNvPr>
        <xdr:cNvCxnSpPr/>
      </xdr:nvCxnSpPr>
      <xdr:spPr>
        <a:xfrm>
          <a:off x="2076450" y="3000375"/>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17</xdr:row>
          <xdr:rowOff>0</xdr:rowOff>
        </xdr:from>
        <xdr:to>
          <xdr:col>1</xdr:col>
          <xdr:colOff>361950</xdr:colOff>
          <xdr:row>18</xdr:row>
          <xdr:rowOff>28575</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1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1847850</xdr:colOff>
          <xdr:row>6</xdr:row>
          <xdr:rowOff>247650</xdr:rowOff>
        </xdr:from>
        <xdr:to>
          <xdr:col>9</xdr:col>
          <xdr:colOff>219075</xdr:colOff>
          <xdr:row>8</xdr:row>
          <xdr:rowOff>19050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1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1019175</xdr:colOff>
      <xdr:row>7</xdr:row>
      <xdr:rowOff>133350</xdr:rowOff>
    </xdr:from>
    <xdr:to>
      <xdr:col>8</xdr:col>
      <xdr:colOff>1724025</xdr:colOff>
      <xdr:row>7</xdr:row>
      <xdr:rowOff>133350</xdr:rowOff>
    </xdr:to>
    <xdr:cxnSp macro="">
      <xdr:nvCxnSpPr>
        <xdr:cNvPr id="6" name="直線矢印コネクタ 5">
          <a:extLst>
            <a:ext uri="{FF2B5EF4-FFF2-40B4-BE49-F238E27FC236}">
              <a16:creationId xmlns:a16="http://schemas.microsoft.com/office/drawing/2014/main" id="{1F5AAEB6-719A-4C73-8C0E-3EE5AC741098}"/>
            </a:ext>
          </a:extLst>
        </xdr:cNvPr>
        <xdr:cNvCxnSpPr/>
      </xdr:nvCxnSpPr>
      <xdr:spPr>
        <a:xfrm>
          <a:off x="6200775" y="2476500"/>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1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1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1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12</xdr:row>
          <xdr:rowOff>0</xdr:rowOff>
        </xdr:from>
        <xdr:to>
          <xdr:col>6</xdr:col>
          <xdr:colOff>361950</xdr:colOff>
          <xdr:row>13</xdr:row>
          <xdr:rowOff>28575</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1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0</xdr:rowOff>
        </xdr:from>
        <xdr:to>
          <xdr:col>6</xdr:col>
          <xdr:colOff>361950</xdr:colOff>
          <xdr:row>14</xdr:row>
          <xdr:rowOff>28575</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1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0</xdr:rowOff>
        </xdr:from>
        <xdr:to>
          <xdr:col>6</xdr:col>
          <xdr:colOff>361950</xdr:colOff>
          <xdr:row>15</xdr:row>
          <xdr:rowOff>28575</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1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14</xdr:row>
          <xdr:rowOff>0</xdr:rowOff>
        </xdr:from>
        <xdr:to>
          <xdr:col>6</xdr:col>
          <xdr:colOff>361950</xdr:colOff>
          <xdr:row>15</xdr:row>
          <xdr:rowOff>28575</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1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15</xdr:row>
          <xdr:rowOff>0</xdr:rowOff>
        </xdr:from>
        <xdr:to>
          <xdr:col>6</xdr:col>
          <xdr:colOff>361950</xdr:colOff>
          <xdr:row>16</xdr:row>
          <xdr:rowOff>28575</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1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16</xdr:row>
          <xdr:rowOff>0</xdr:rowOff>
        </xdr:from>
        <xdr:to>
          <xdr:col>6</xdr:col>
          <xdr:colOff>361950</xdr:colOff>
          <xdr:row>17</xdr:row>
          <xdr:rowOff>28575</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1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10</xdr:row>
          <xdr:rowOff>0</xdr:rowOff>
        </xdr:from>
        <xdr:to>
          <xdr:col>6</xdr:col>
          <xdr:colOff>361950</xdr:colOff>
          <xdr:row>11</xdr:row>
          <xdr:rowOff>28575</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1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7</xdr:row>
          <xdr:rowOff>0</xdr:rowOff>
        </xdr:from>
        <xdr:to>
          <xdr:col>6</xdr:col>
          <xdr:colOff>361950</xdr:colOff>
          <xdr:row>8</xdr:row>
          <xdr:rowOff>28575</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01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6</xdr:row>
          <xdr:rowOff>0</xdr:rowOff>
        </xdr:from>
        <xdr:to>
          <xdr:col>6</xdr:col>
          <xdr:colOff>361950</xdr:colOff>
          <xdr:row>7</xdr:row>
          <xdr:rowOff>28575</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01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xdr:row>
          <xdr:rowOff>209550</xdr:rowOff>
        </xdr:from>
        <xdr:to>
          <xdr:col>11</xdr:col>
          <xdr:colOff>352425</xdr:colOff>
          <xdr:row>13</xdr:row>
          <xdr:rowOff>47625</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1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3</xdr:row>
          <xdr:rowOff>209550</xdr:rowOff>
        </xdr:from>
        <xdr:to>
          <xdr:col>11</xdr:col>
          <xdr:colOff>352425</xdr:colOff>
          <xdr:row>6</xdr:row>
          <xdr:rowOff>47625</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1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1847850</xdr:colOff>
          <xdr:row>9</xdr:row>
          <xdr:rowOff>247650</xdr:rowOff>
        </xdr:from>
        <xdr:to>
          <xdr:col>14</xdr:col>
          <xdr:colOff>219075</xdr:colOff>
          <xdr:row>11</xdr:row>
          <xdr:rowOff>19050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1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1019175</xdr:colOff>
      <xdr:row>10</xdr:row>
      <xdr:rowOff>133350</xdr:rowOff>
    </xdr:from>
    <xdr:to>
      <xdr:col>13</xdr:col>
      <xdr:colOff>1724025</xdr:colOff>
      <xdr:row>10</xdr:row>
      <xdr:rowOff>133350</xdr:rowOff>
    </xdr:to>
    <xdr:cxnSp macro="">
      <xdr:nvCxnSpPr>
        <xdr:cNvPr id="7" name="直線矢印コネクタ 6">
          <a:extLst>
            <a:ext uri="{FF2B5EF4-FFF2-40B4-BE49-F238E27FC236}">
              <a16:creationId xmlns:a16="http://schemas.microsoft.com/office/drawing/2014/main" id="{0892A0B2-6A77-4A4C-B3A8-0982FA5863AF}"/>
            </a:ext>
          </a:extLst>
        </xdr:cNvPr>
        <xdr:cNvCxnSpPr/>
      </xdr:nvCxnSpPr>
      <xdr:spPr>
        <a:xfrm>
          <a:off x="6200775" y="2476500"/>
          <a:ext cx="704850" cy="0"/>
        </a:xfrm>
        <a:prstGeom prst="straightConnector1">
          <a:avLst/>
        </a:prstGeom>
        <a:ln w="19050">
          <a:solidFill>
            <a:schemeClr val="tx1"/>
          </a:solidFill>
          <a:headEnd type="none"/>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11</xdr:col>
          <xdr:colOff>104775</xdr:colOff>
          <xdr:row>6</xdr:row>
          <xdr:rowOff>0</xdr:rowOff>
        </xdr:from>
        <xdr:to>
          <xdr:col>11</xdr:col>
          <xdr:colOff>361950</xdr:colOff>
          <xdr:row>7</xdr:row>
          <xdr:rowOff>28575</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1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7</xdr:row>
          <xdr:rowOff>0</xdr:rowOff>
        </xdr:from>
        <xdr:to>
          <xdr:col>11</xdr:col>
          <xdr:colOff>361950</xdr:colOff>
          <xdr:row>8</xdr:row>
          <xdr:rowOff>28575</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1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8</xdr:row>
          <xdr:rowOff>0</xdr:rowOff>
        </xdr:from>
        <xdr:to>
          <xdr:col>11</xdr:col>
          <xdr:colOff>361950</xdr:colOff>
          <xdr:row>9</xdr:row>
          <xdr:rowOff>28575</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1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15</xdr:row>
          <xdr:rowOff>0</xdr:rowOff>
        </xdr:from>
        <xdr:to>
          <xdr:col>11</xdr:col>
          <xdr:colOff>361950</xdr:colOff>
          <xdr:row>16</xdr:row>
          <xdr:rowOff>28575</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1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16</xdr:row>
          <xdr:rowOff>0</xdr:rowOff>
        </xdr:from>
        <xdr:to>
          <xdr:col>11</xdr:col>
          <xdr:colOff>361950</xdr:colOff>
          <xdr:row>17</xdr:row>
          <xdr:rowOff>28575</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1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17</xdr:row>
          <xdr:rowOff>0</xdr:rowOff>
        </xdr:from>
        <xdr:to>
          <xdr:col>11</xdr:col>
          <xdr:colOff>361950</xdr:colOff>
          <xdr:row>18</xdr:row>
          <xdr:rowOff>28575</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1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17</xdr:row>
          <xdr:rowOff>0</xdr:rowOff>
        </xdr:from>
        <xdr:to>
          <xdr:col>11</xdr:col>
          <xdr:colOff>361950</xdr:colOff>
          <xdr:row>18</xdr:row>
          <xdr:rowOff>28575</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1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18</xdr:row>
          <xdr:rowOff>0</xdr:rowOff>
        </xdr:from>
        <xdr:to>
          <xdr:col>11</xdr:col>
          <xdr:colOff>361950</xdr:colOff>
          <xdr:row>19</xdr:row>
          <xdr:rowOff>28575</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1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19</xdr:row>
          <xdr:rowOff>0</xdr:rowOff>
        </xdr:from>
        <xdr:to>
          <xdr:col>11</xdr:col>
          <xdr:colOff>361950</xdr:colOff>
          <xdr:row>20</xdr:row>
          <xdr:rowOff>28575</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1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13</xdr:row>
          <xdr:rowOff>0</xdr:rowOff>
        </xdr:from>
        <xdr:to>
          <xdr:col>11</xdr:col>
          <xdr:colOff>361950</xdr:colOff>
          <xdr:row>14</xdr:row>
          <xdr:rowOff>28575</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1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xdr:row>
          <xdr:rowOff>0</xdr:rowOff>
        </xdr:from>
        <xdr:to>
          <xdr:col>11</xdr:col>
          <xdr:colOff>361950</xdr:colOff>
          <xdr:row>11</xdr:row>
          <xdr:rowOff>28575</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1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8</xdr:row>
          <xdr:rowOff>0</xdr:rowOff>
        </xdr:from>
        <xdr:to>
          <xdr:col>11</xdr:col>
          <xdr:colOff>361950</xdr:colOff>
          <xdr:row>9</xdr:row>
          <xdr:rowOff>28575</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01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8</xdr:col>
      <xdr:colOff>547725</xdr:colOff>
      <xdr:row>17</xdr:row>
      <xdr:rowOff>190500</xdr:rowOff>
    </xdr:from>
    <xdr:to>
      <xdr:col>8</xdr:col>
      <xdr:colOff>1443075</xdr:colOff>
      <xdr:row>22</xdr:row>
      <xdr:rowOff>98425</xdr:rowOff>
    </xdr:to>
    <xdr:pic>
      <xdr:nvPicPr>
        <xdr:cNvPr id="2" name="図 1">
          <a:hlinkClick xmlns:r="http://schemas.openxmlformats.org/officeDocument/2006/relationships" r:id="rId1"/>
          <a:extLst>
            <a:ext uri="{FF2B5EF4-FFF2-40B4-BE49-F238E27FC236}">
              <a16:creationId xmlns:a16="http://schemas.microsoft.com/office/drawing/2014/main" id="{CB9C0DF6-7D65-43DB-B9CA-61F8942850F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29325" y="4238625"/>
          <a:ext cx="895350" cy="1193800"/>
        </a:xfrm>
        <a:prstGeom prst="ellipse">
          <a:avLst/>
        </a:prstGeom>
        <a:ln>
          <a:noFill/>
        </a:ln>
        <a:effectLst>
          <a:softEdge rad="112500"/>
        </a:effectLst>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266700</xdr:colOff>
      <xdr:row>6</xdr:row>
      <xdr:rowOff>209550</xdr:rowOff>
    </xdr:from>
    <xdr:to>
      <xdr:col>3</xdr:col>
      <xdr:colOff>2181225</xdr:colOff>
      <xdr:row>8</xdr:row>
      <xdr:rowOff>190500</xdr:rowOff>
    </xdr:to>
    <xdr:sp macro="" textlink="">
      <xdr:nvSpPr>
        <xdr:cNvPr id="2" name="楕円 1">
          <a:hlinkClick xmlns:r="http://schemas.openxmlformats.org/officeDocument/2006/relationships" r:id="rId1"/>
          <a:extLst>
            <a:ext uri="{FF2B5EF4-FFF2-40B4-BE49-F238E27FC236}">
              <a16:creationId xmlns:a16="http://schemas.microsoft.com/office/drawing/2014/main" id="{F1AC6C11-A2C7-2642-57C3-EBFF5D1B47BA}"/>
            </a:ext>
          </a:extLst>
        </xdr:cNvPr>
        <xdr:cNvSpPr/>
      </xdr:nvSpPr>
      <xdr:spPr>
        <a:xfrm>
          <a:off x="3200400" y="2647950"/>
          <a:ext cx="1914525" cy="742950"/>
        </a:xfrm>
        <a:prstGeom prst="ellipse">
          <a:avLst/>
        </a:prstGeom>
        <a:ln w="57150">
          <a:solidFill>
            <a:srgbClr val="FF66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2800">
              <a:latin typeface="HG丸ｺﾞｼｯｸM-PRO" panose="020F0600000000000000" pitchFamily="50" charset="-128"/>
              <a:ea typeface="HG丸ｺﾞｼｯｸM-PRO" panose="020F0600000000000000" pitchFamily="50" charset="-128"/>
            </a:rPr>
            <a:t>救急</a:t>
          </a:r>
        </a:p>
      </xdr:txBody>
    </xdr:sp>
    <xdr:clientData/>
  </xdr:twoCellAnchor>
  <xdr:twoCellAnchor>
    <xdr:from>
      <xdr:col>3</xdr:col>
      <xdr:colOff>676312</xdr:colOff>
      <xdr:row>9</xdr:row>
      <xdr:rowOff>200025</xdr:rowOff>
    </xdr:from>
    <xdr:to>
      <xdr:col>3</xdr:col>
      <xdr:colOff>1752638</xdr:colOff>
      <xdr:row>10</xdr:row>
      <xdr:rowOff>323850</xdr:rowOff>
    </xdr:to>
    <xdr:sp macro="" textlink="">
      <xdr:nvSpPr>
        <xdr:cNvPr id="5" name="正方形/長方形 4">
          <a:hlinkClick xmlns:r="http://schemas.openxmlformats.org/officeDocument/2006/relationships" r:id="rId2"/>
          <a:extLst>
            <a:ext uri="{FF2B5EF4-FFF2-40B4-BE49-F238E27FC236}">
              <a16:creationId xmlns:a16="http://schemas.microsoft.com/office/drawing/2014/main" id="{3D12D5A0-8827-4E40-B3DA-7ECF063D198D}"/>
            </a:ext>
          </a:extLst>
        </xdr:cNvPr>
        <xdr:cNvSpPr/>
      </xdr:nvSpPr>
      <xdr:spPr>
        <a:xfrm>
          <a:off x="3610012" y="37814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37</xdr:col>
      <xdr:colOff>304837</xdr:colOff>
      <xdr:row>0</xdr:row>
      <xdr:rowOff>0</xdr:rowOff>
    </xdr:from>
    <xdr:to>
      <xdr:col>38</xdr:col>
      <xdr:colOff>238162</xdr:colOff>
      <xdr:row>6</xdr:row>
      <xdr:rowOff>165100</xdr:rowOff>
    </xdr:to>
    <xdr:pic>
      <xdr:nvPicPr>
        <xdr:cNvPr id="4" name="図 3">
          <a:hlinkClick xmlns:r="http://schemas.openxmlformats.org/officeDocument/2006/relationships" r:id="rId1"/>
          <a:extLst>
            <a:ext uri="{FF2B5EF4-FFF2-40B4-BE49-F238E27FC236}">
              <a16:creationId xmlns:a16="http://schemas.microsoft.com/office/drawing/2014/main" id="{6C8E6B43-6859-E733-1457-3F4BB6FF03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53337" y="0"/>
          <a:ext cx="895350" cy="1193800"/>
        </a:xfrm>
        <a:prstGeom prst="ellipse">
          <a:avLst/>
        </a:prstGeom>
        <a:ln>
          <a:noFill/>
        </a:ln>
        <a:effectLst>
          <a:softEdge rad="112500"/>
        </a:effectLst>
      </xdr:spPr>
    </xdr:pic>
    <xdr:clientData fPrintsWithSheet="0"/>
  </xdr:twoCellAnchor>
  <xdr:twoCellAnchor>
    <xdr:from>
      <xdr:col>37</xdr:col>
      <xdr:colOff>214349</xdr:colOff>
      <xdr:row>6</xdr:row>
      <xdr:rowOff>133350</xdr:rowOff>
    </xdr:from>
    <xdr:to>
      <xdr:col>38</xdr:col>
      <xdr:colOff>328650</xdr:colOff>
      <xdr:row>9</xdr:row>
      <xdr:rowOff>95250</xdr:rowOff>
    </xdr:to>
    <xdr:sp macro="" textlink="">
      <xdr:nvSpPr>
        <xdr:cNvPr id="5" name="正方形/長方形 4">
          <a:hlinkClick xmlns:r="http://schemas.openxmlformats.org/officeDocument/2006/relationships" r:id="rId3"/>
          <a:extLst>
            <a:ext uri="{FF2B5EF4-FFF2-40B4-BE49-F238E27FC236}">
              <a16:creationId xmlns:a16="http://schemas.microsoft.com/office/drawing/2014/main" id="{E41BF5DA-D7DB-40AA-9158-FF48DAFADBA4}"/>
            </a:ext>
          </a:extLst>
        </xdr:cNvPr>
        <xdr:cNvSpPr/>
      </xdr:nvSpPr>
      <xdr:spPr>
        <a:xfrm>
          <a:off x="7262849"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37</xdr:col>
      <xdr:colOff>480173</xdr:colOff>
      <xdr:row>16</xdr:row>
      <xdr:rowOff>38100</xdr:rowOff>
    </xdr:from>
    <xdr:to>
      <xdr:col>39</xdr:col>
      <xdr:colOff>788123</xdr:colOff>
      <xdr:row>19</xdr:row>
      <xdr:rowOff>35175</xdr:rowOff>
    </xdr:to>
    <xdr:sp macro="" textlink="">
      <xdr:nvSpPr>
        <xdr:cNvPr id="2" name="テキスト ボックス 1">
          <a:extLst>
            <a:ext uri="{FF2B5EF4-FFF2-40B4-BE49-F238E27FC236}">
              <a16:creationId xmlns:a16="http://schemas.microsoft.com/office/drawing/2014/main" id="{4742A5E7-C8A2-4813-85F2-2D96F765B98B}"/>
            </a:ext>
          </a:extLst>
        </xdr:cNvPr>
        <xdr:cNvSpPr txBox="1"/>
      </xdr:nvSpPr>
      <xdr:spPr>
        <a:xfrm>
          <a:off x="7528673" y="3219450"/>
          <a:ext cx="2232000" cy="540000"/>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範囲を指定してコピー</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37</xdr:col>
      <xdr:colOff>0</xdr:colOff>
      <xdr:row>22</xdr:row>
      <xdr:rowOff>146175</xdr:rowOff>
    </xdr:from>
    <xdr:to>
      <xdr:col>37</xdr:col>
      <xdr:colOff>476250</xdr:colOff>
      <xdr:row>22</xdr:row>
      <xdr:rowOff>171450</xdr:rowOff>
    </xdr:to>
    <xdr:cxnSp macro="">
      <xdr:nvCxnSpPr>
        <xdr:cNvPr id="6" name="直線矢印コネクタ 5">
          <a:extLst>
            <a:ext uri="{FF2B5EF4-FFF2-40B4-BE49-F238E27FC236}">
              <a16:creationId xmlns:a16="http://schemas.microsoft.com/office/drawing/2014/main" id="{5726E342-2C59-46A3-9B8A-73B5A5C946F6}"/>
            </a:ext>
          </a:extLst>
        </xdr:cNvPr>
        <xdr:cNvCxnSpPr>
          <a:stCxn id="18" idx="1"/>
        </xdr:cNvCxnSpPr>
      </xdr:nvCxnSpPr>
      <xdr:spPr>
        <a:xfrm flipH="1">
          <a:off x="7048500" y="4518150"/>
          <a:ext cx="476250" cy="25275"/>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37</xdr:col>
      <xdr:colOff>480173</xdr:colOff>
      <xdr:row>11</xdr:row>
      <xdr:rowOff>238124</xdr:rowOff>
    </xdr:from>
    <xdr:to>
      <xdr:col>39</xdr:col>
      <xdr:colOff>788123</xdr:colOff>
      <xdr:row>14</xdr:row>
      <xdr:rowOff>92324</xdr:rowOff>
    </xdr:to>
    <xdr:sp macro="" textlink="">
      <xdr:nvSpPr>
        <xdr:cNvPr id="11" name="テキスト ボックス 10">
          <a:hlinkClick xmlns:r="http://schemas.openxmlformats.org/officeDocument/2006/relationships" r:id="rId4"/>
          <a:extLst>
            <a:ext uri="{FF2B5EF4-FFF2-40B4-BE49-F238E27FC236}">
              <a16:creationId xmlns:a16="http://schemas.microsoft.com/office/drawing/2014/main" id="{AE23FFD2-C0D9-4114-8DED-EC32AC352C40}"/>
            </a:ext>
          </a:extLst>
        </xdr:cNvPr>
        <xdr:cNvSpPr txBox="1"/>
      </xdr:nvSpPr>
      <xdr:spPr>
        <a:xfrm>
          <a:off x="7528673" y="2228849"/>
          <a:ext cx="2232000" cy="540000"/>
        </a:xfrm>
        <a:prstGeom prst="rect">
          <a:avLst/>
        </a:prstGeom>
        <a:solidFill>
          <a:schemeClr val="lt1"/>
        </a:solidFill>
        <a:ln w="3810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スプレッドシートへ</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38</xdr:col>
      <xdr:colOff>634148</xdr:colOff>
      <xdr:row>14</xdr:row>
      <xdr:rowOff>92324</xdr:rowOff>
    </xdr:from>
    <xdr:to>
      <xdr:col>38</xdr:col>
      <xdr:colOff>634148</xdr:colOff>
      <xdr:row>16</xdr:row>
      <xdr:rowOff>38100</xdr:rowOff>
    </xdr:to>
    <xdr:cxnSp macro="">
      <xdr:nvCxnSpPr>
        <xdr:cNvPr id="13" name="直線矢印コネクタ 12">
          <a:extLst>
            <a:ext uri="{FF2B5EF4-FFF2-40B4-BE49-F238E27FC236}">
              <a16:creationId xmlns:a16="http://schemas.microsoft.com/office/drawing/2014/main" id="{FEB1B69F-5F4E-45B5-838C-60DF942DC7F5}"/>
            </a:ext>
          </a:extLst>
        </xdr:cNvPr>
        <xdr:cNvCxnSpPr>
          <a:stCxn id="11" idx="2"/>
          <a:endCxn id="2" idx="0"/>
        </xdr:cNvCxnSpPr>
      </xdr:nvCxnSpPr>
      <xdr:spPr>
        <a:xfrm>
          <a:off x="8644673" y="2768849"/>
          <a:ext cx="0" cy="450601"/>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37</xdr:col>
      <xdr:colOff>476250</xdr:colOff>
      <xdr:row>21</xdr:row>
      <xdr:rowOff>161925</xdr:rowOff>
    </xdr:from>
    <xdr:to>
      <xdr:col>39</xdr:col>
      <xdr:colOff>784200</xdr:colOff>
      <xdr:row>24</xdr:row>
      <xdr:rowOff>54225</xdr:rowOff>
    </xdr:to>
    <xdr:sp macro="" textlink="">
      <xdr:nvSpPr>
        <xdr:cNvPr id="18" name="テキスト ボックス 17">
          <a:extLst>
            <a:ext uri="{FF2B5EF4-FFF2-40B4-BE49-F238E27FC236}">
              <a16:creationId xmlns:a16="http://schemas.microsoft.com/office/drawing/2014/main" id="{2664C38D-9349-4A7C-8382-1723D385DF91}"/>
            </a:ext>
          </a:extLst>
        </xdr:cNvPr>
        <xdr:cNvSpPr txBox="1"/>
      </xdr:nvSpPr>
      <xdr:spPr>
        <a:xfrm>
          <a:off x="7524750" y="4248150"/>
          <a:ext cx="2232000" cy="540000"/>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0">
              <a:latin typeface="BIZ UDPゴシック" panose="020B0400000000000000" pitchFamily="50" charset="-128"/>
              <a:ea typeface="BIZ UDPゴシック" panose="020B0400000000000000" pitchFamily="50" charset="-128"/>
            </a:rPr>
            <a:t>範囲を指定し貼り付け</a:t>
          </a:r>
          <a:endParaRPr kumimoji="1" lang="en-US" altLang="ja-JP"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38</xdr:col>
      <xdr:colOff>628650</xdr:colOff>
      <xdr:row>19</xdr:row>
      <xdr:rowOff>57150</xdr:rowOff>
    </xdr:from>
    <xdr:to>
      <xdr:col>38</xdr:col>
      <xdr:colOff>628650</xdr:colOff>
      <xdr:row>21</xdr:row>
      <xdr:rowOff>145801</xdr:rowOff>
    </xdr:to>
    <xdr:cxnSp macro="">
      <xdr:nvCxnSpPr>
        <xdr:cNvPr id="20" name="直線矢印コネクタ 19">
          <a:extLst>
            <a:ext uri="{FF2B5EF4-FFF2-40B4-BE49-F238E27FC236}">
              <a16:creationId xmlns:a16="http://schemas.microsoft.com/office/drawing/2014/main" id="{DCFA1039-E776-4412-B0B1-C6F655266E84}"/>
            </a:ext>
          </a:extLst>
        </xdr:cNvPr>
        <xdr:cNvCxnSpPr/>
      </xdr:nvCxnSpPr>
      <xdr:spPr>
        <a:xfrm>
          <a:off x="8639175" y="3781425"/>
          <a:ext cx="0" cy="450601"/>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1</xdr:col>
      <xdr:colOff>200025</xdr:colOff>
      <xdr:row>2</xdr:row>
      <xdr:rowOff>0</xdr:rowOff>
    </xdr:from>
    <xdr:to>
      <xdr:col>27</xdr:col>
      <xdr:colOff>0</xdr:colOff>
      <xdr:row>2</xdr:row>
      <xdr:rowOff>252000</xdr:rowOff>
    </xdr:to>
    <xdr:sp macro="" textlink="">
      <xdr:nvSpPr>
        <xdr:cNvPr id="2" name="Text Box 1">
          <a:extLst>
            <a:ext uri="{FF2B5EF4-FFF2-40B4-BE49-F238E27FC236}">
              <a16:creationId xmlns:a16="http://schemas.microsoft.com/office/drawing/2014/main" id="{D1ACA6ED-C153-4110-A376-0EC26D03CFB5}"/>
            </a:ext>
          </a:extLst>
        </xdr:cNvPr>
        <xdr:cNvSpPr txBox="1">
          <a:spLocks noChangeArrowheads="1"/>
        </xdr:cNvSpPr>
      </xdr:nvSpPr>
      <xdr:spPr bwMode="auto">
        <a:xfrm>
          <a:off x="457200" y="628650"/>
          <a:ext cx="4181475" cy="252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t" upright="1"/>
        <a:lstStyle/>
        <a:p>
          <a:pPr algn="l" rtl="0">
            <a:defRPr sz="1000"/>
          </a:pPr>
          <a:r>
            <a:rPr lang="ja-JP" altLang="en-US" sz="1050" b="0" i="0" u="none" strike="noStrike" baseline="0">
              <a:solidFill>
                <a:srgbClr val="000000"/>
              </a:solidFill>
              <a:latin typeface="ＭＳ ゴシック"/>
              <a:ea typeface="ＭＳ ゴシック"/>
            </a:rPr>
            <a:t>※介護保険被保険者証（ピンク色）を添えて提出してください。</a:t>
          </a:r>
        </a:p>
      </xdr:txBody>
    </xdr:sp>
    <xdr:clientData/>
  </xdr:twoCellAnchor>
  <xdr:twoCellAnchor>
    <xdr:from>
      <xdr:col>30</xdr:col>
      <xdr:colOff>0</xdr:colOff>
      <xdr:row>41</xdr:row>
      <xdr:rowOff>123405</xdr:rowOff>
    </xdr:from>
    <xdr:to>
      <xdr:col>41</xdr:col>
      <xdr:colOff>9827</xdr:colOff>
      <xdr:row>42</xdr:row>
      <xdr:rowOff>1151275</xdr:rowOff>
    </xdr:to>
    <xdr:sp macro="" textlink="">
      <xdr:nvSpPr>
        <xdr:cNvPr id="3" name="Oval 5">
          <a:extLst>
            <a:ext uri="{FF2B5EF4-FFF2-40B4-BE49-F238E27FC236}">
              <a16:creationId xmlns:a16="http://schemas.microsoft.com/office/drawing/2014/main" id="{3E3E40E7-95E6-4907-A97C-99127E1FA279}"/>
            </a:ext>
          </a:extLst>
        </xdr:cNvPr>
        <xdr:cNvSpPr>
          <a:spLocks noChangeAspect="1" noChangeArrowheads="1"/>
        </xdr:cNvSpPr>
      </xdr:nvSpPr>
      <xdr:spPr bwMode="auto">
        <a:xfrm>
          <a:off x="5000625" y="8276805"/>
          <a:ext cx="1152827" cy="1180270"/>
        </a:xfrm>
        <a:prstGeom prst="ellipse">
          <a:avLst/>
        </a:prstGeom>
        <a:solidFill>
          <a:srgbClr val="FFFFFF"/>
        </a:solidFill>
        <a:ln w="6350">
          <a:solidFill>
            <a:srgbClr val="000000"/>
          </a:solidFill>
          <a:prstDash val="dash"/>
          <a:round/>
          <a:headEnd/>
          <a:tailEnd/>
        </a:ln>
      </xdr:spPr>
    </xdr:sp>
    <xdr:clientData/>
  </xdr:twoCellAnchor>
  <xdr:twoCellAnchor>
    <xdr:from>
      <xdr:col>30</xdr:col>
      <xdr:colOff>0</xdr:colOff>
      <xdr:row>41</xdr:row>
      <xdr:rowOff>123824</xdr:rowOff>
    </xdr:from>
    <xdr:to>
      <xdr:col>40</xdr:col>
      <xdr:colOff>8740</xdr:colOff>
      <xdr:row>42</xdr:row>
      <xdr:rowOff>1151999</xdr:rowOff>
    </xdr:to>
    <xdr:sp macro="" textlink="">
      <xdr:nvSpPr>
        <xdr:cNvPr id="4" name="Text Box 6">
          <a:extLst>
            <a:ext uri="{FF2B5EF4-FFF2-40B4-BE49-F238E27FC236}">
              <a16:creationId xmlns:a16="http://schemas.microsoft.com/office/drawing/2014/main" id="{7FB32E7B-52C1-4B97-B72D-4ACFC7987BD4}"/>
            </a:ext>
          </a:extLst>
        </xdr:cNvPr>
        <xdr:cNvSpPr txBox="1">
          <a:spLocks noChangeAspect="1" noChangeArrowheads="1"/>
        </xdr:cNvSpPr>
      </xdr:nvSpPr>
      <xdr:spPr bwMode="auto">
        <a:xfrm>
          <a:off x="5000625" y="8277224"/>
          <a:ext cx="1143000" cy="1180575"/>
        </a:xfrm>
        <a:prstGeom prst="rect">
          <a:avLst/>
        </a:prstGeom>
        <a:no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ctr" upright="1"/>
        <a:lstStyle/>
        <a:p>
          <a:pPr algn="ctr" rtl="0">
            <a:defRPr sz="1000"/>
          </a:pPr>
          <a:r>
            <a:rPr lang="ja-JP" altLang="en-US" sz="900" b="0" i="0" u="none" strike="noStrike" baseline="0">
              <a:solidFill>
                <a:srgbClr val="A6A6A6"/>
              </a:solidFill>
              <a:latin typeface="ＭＳ ゴシック"/>
              <a:ea typeface="ＭＳ ゴシック"/>
            </a:rPr>
            <a:t>受　付　印</a:t>
          </a:r>
        </a:p>
      </xdr:txBody>
    </xdr:sp>
    <xdr:clientData/>
  </xdr:twoCellAnchor>
  <mc:AlternateContent xmlns:mc="http://schemas.openxmlformats.org/markup-compatibility/2006">
    <mc:Choice xmlns:a14="http://schemas.microsoft.com/office/drawing/2010/main" Requires="a14">
      <xdr:twoCellAnchor editAs="absolute">
        <xdr:from>
          <xdr:col>0</xdr:col>
          <xdr:colOff>66675</xdr:colOff>
          <xdr:row>24</xdr:row>
          <xdr:rowOff>0</xdr:rowOff>
        </xdr:from>
        <xdr:to>
          <xdr:col>1</xdr:col>
          <xdr:colOff>66675</xdr:colOff>
          <xdr:row>25</xdr:row>
          <xdr:rowOff>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26</xdr:row>
          <xdr:rowOff>0</xdr:rowOff>
        </xdr:from>
        <xdr:to>
          <xdr:col>1</xdr:col>
          <xdr:colOff>66675</xdr:colOff>
          <xdr:row>27</xdr:row>
          <xdr:rowOff>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4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25</xdr:row>
          <xdr:rowOff>0</xdr:rowOff>
        </xdr:from>
        <xdr:to>
          <xdr:col>1</xdr:col>
          <xdr:colOff>66675</xdr:colOff>
          <xdr:row>26</xdr:row>
          <xdr:rowOff>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4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16</xdr:row>
          <xdr:rowOff>76200</xdr:rowOff>
        </xdr:from>
        <xdr:to>
          <xdr:col>1</xdr:col>
          <xdr:colOff>57150</xdr:colOff>
          <xdr:row>18</xdr:row>
          <xdr:rowOff>9525</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4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18</xdr:row>
          <xdr:rowOff>180975</xdr:rowOff>
        </xdr:from>
        <xdr:to>
          <xdr:col>1</xdr:col>
          <xdr:colOff>57150</xdr:colOff>
          <xdr:row>20</xdr:row>
          <xdr:rowOff>9525</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04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17</xdr:row>
          <xdr:rowOff>180975</xdr:rowOff>
        </xdr:from>
        <xdr:to>
          <xdr:col>1</xdr:col>
          <xdr:colOff>57150</xdr:colOff>
          <xdr:row>19</xdr:row>
          <xdr:rowOff>9525</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04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19</xdr:row>
          <xdr:rowOff>171450</xdr:rowOff>
        </xdr:from>
        <xdr:to>
          <xdr:col>1</xdr:col>
          <xdr:colOff>57150</xdr:colOff>
          <xdr:row>21</xdr:row>
          <xdr:rowOff>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04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41</xdr:col>
      <xdr:colOff>290550</xdr:colOff>
      <xdr:row>0</xdr:row>
      <xdr:rowOff>114300</xdr:rowOff>
    </xdr:from>
    <xdr:to>
      <xdr:col>42</xdr:col>
      <xdr:colOff>500100</xdr:colOff>
      <xdr:row>4</xdr:row>
      <xdr:rowOff>203200</xdr:rowOff>
    </xdr:to>
    <xdr:pic>
      <xdr:nvPicPr>
        <xdr:cNvPr id="6" name="図 5">
          <a:hlinkClick xmlns:r="http://schemas.openxmlformats.org/officeDocument/2006/relationships" r:id="rId1"/>
          <a:extLst>
            <a:ext uri="{FF2B5EF4-FFF2-40B4-BE49-F238E27FC236}">
              <a16:creationId xmlns:a16="http://schemas.microsoft.com/office/drawing/2014/main" id="{A9EC0326-06FF-4F37-A231-5DB1A41F390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4175" y="114300"/>
          <a:ext cx="895350" cy="1193800"/>
        </a:xfrm>
        <a:prstGeom prst="ellipse">
          <a:avLst/>
        </a:prstGeom>
        <a:ln>
          <a:noFill/>
        </a:ln>
        <a:effectLst>
          <a:softEdge rad="112500"/>
        </a:effectLst>
      </xdr:spPr>
    </xdr:pic>
    <xdr:clientData fPrintsWithSheet="0"/>
  </xdr:twoCellAnchor>
  <xdr:twoCellAnchor>
    <xdr:from>
      <xdr:col>41</xdr:col>
      <xdr:colOff>200025</xdr:colOff>
      <xdr:row>8</xdr:row>
      <xdr:rowOff>114299</xdr:rowOff>
    </xdr:from>
    <xdr:to>
      <xdr:col>42</xdr:col>
      <xdr:colOff>590625</xdr:colOff>
      <xdr:row>10</xdr:row>
      <xdr:rowOff>18224</xdr:rowOff>
    </xdr:to>
    <xdr:sp macro="[0]!A4両面印刷" textlink="">
      <xdr:nvSpPr>
        <xdr:cNvPr id="7" name="正方形/長方形 6">
          <a:extLst>
            <a:ext uri="{FF2B5EF4-FFF2-40B4-BE49-F238E27FC236}">
              <a16:creationId xmlns:a16="http://schemas.microsoft.com/office/drawing/2014/main" id="{EAEC25A6-D3D2-46FF-82FA-BA4599338D65}"/>
            </a:ext>
          </a:extLst>
        </xdr:cNvPr>
        <xdr:cNvSpPr/>
      </xdr:nvSpPr>
      <xdr:spPr>
        <a:xfrm>
          <a:off x="6343650" y="20097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41</xdr:col>
      <xdr:colOff>200062</xdr:colOff>
      <xdr:row>5</xdr:row>
      <xdr:rowOff>19050</xdr:rowOff>
    </xdr:from>
    <xdr:to>
      <xdr:col>42</xdr:col>
      <xdr:colOff>590588</xdr:colOff>
      <xdr:row>7</xdr:row>
      <xdr:rowOff>209550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9558C472-37DE-4F1E-BB54-A35687E3BEE1}"/>
            </a:ext>
          </a:extLst>
        </xdr:cNvPr>
        <xdr:cNvSpPr/>
      </xdr:nvSpPr>
      <xdr:spPr>
        <a:xfrm>
          <a:off x="6343687" y="13335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xdr:col>
      <xdr:colOff>200025</xdr:colOff>
      <xdr:row>1</xdr:row>
      <xdr:rowOff>186150</xdr:rowOff>
    </xdr:from>
    <xdr:to>
      <xdr:col>27</xdr:col>
      <xdr:colOff>0</xdr:colOff>
      <xdr:row>2</xdr:row>
      <xdr:rowOff>211650</xdr:rowOff>
    </xdr:to>
    <xdr:sp macro="" textlink="">
      <xdr:nvSpPr>
        <xdr:cNvPr id="2" name="Text Box 1">
          <a:extLst>
            <a:ext uri="{FF2B5EF4-FFF2-40B4-BE49-F238E27FC236}">
              <a16:creationId xmlns:a16="http://schemas.microsoft.com/office/drawing/2014/main" id="{9EE9901F-983E-412E-9388-4A5125B4A578}"/>
            </a:ext>
          </a:extLst>
        </xdr:cNvPr>
        <xdr:cNvSpPr txBox="1">
          <a:spLocks noChangeArrowheads="1"/>
        </xdr:cNvSpPr>
      </xdr:nvSpPr>
      <xdr:spPr bwMode="auto">
        <a:xfrm>
          <a:off x="457200" y="624300"/>
          <a:ext cx="4181475" cy="2160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t" upright="1"/>
        <a:lstStyle/>
        <a:p>
          <a:pPr algn="l" rtl="0">
            <a:defRPr sz="1000"/>
          </a:pPr>
          <a:r>
            <a:rPr lang="ja-JP" altLang="en-US" sz="1050" b="0" i="0" u="none" strike="noStrike" baseline="0">
              <a:solidFill>
                <a:srgbClr val="000000"/>
              </a:solidFill>
              <a:latin typeface="ＭＳ ゴシック"/>
              <a:ea typeface="ＭＳ ゴシック"/>
            </a:rPr>
            <a:t>※介護保険被保険者証（ピンク色）を添えて提出してください。</a:t>
          </a:r>
        </a:p>
      </xdr:txBody>
    </xdr:sp>
    <xdr:clientData/>
  </xdr:twoCellAnchor>
  <xdr:twoCellAnchor>
    <xdr:from>
      <xdr:col>30</xdr:col>
      <xdr:colOff>0</xdr:colOff>
      <xdr:row>43</xdr:row>
      <xdr:rowOff>123405</xdr:rowOff>
    </xdr:from>
    <xdr:to>
      <xdr:col>41</xdr:col>
      <xdr:colOff>9827</xdr:colOff>
      <xdr:row>44</xdr:row>
      <xdr:rowOff>1151275</xdr:rowOff>
    </xdr:to>
    <xdr:sp macro="" textlink="">
      <xdr:nvSpPr>
        <xdr:cNvPr id="3" name="Oval 5">
          <a:extLst>
            <a:ext uri="{FF2B5EF4-FFF2-40B4-BE49-F238E27FC236}">
              <a16:creationId xmlns:a16="http://schemas.microsoft.com/office/drawing/2014/main" id="{702D77E1-95ED-454B-ABF2-9DD9CD2AFD60}"/>
            </a:ext>
          </a:extLst>
        </xdr:cNvPr>
        <xdr:cNvSpPr>
          <a:spLocks noChangeAspect="1" noChangeArrowheads="1"/>
        </xdr:cNvSpPr>
      </xdr:nvSpPr>
      <xdr:spPr bwMode="auto">
        <a:xfrm>
          <a:off x="5000625" y="8276805"/>
          <a:ext cx="1152827" cy="1180270"/>
        </a:xfrm>
        <a:prstGeom prst="ellipse">
          <a:avLst/>
        </a:prstGeom>
        <a:solidFill>
          <a:srgbClr val="FFFFFF"/>
        </a:solidFill>
        <a:ln w="6350">
          <a:solidFill>
            <a:srgbClr val="000000"/>
          </a:solidFill>
          <a:prstDash val="dash"/>
          <a:round/>
          <a:headEnd/>
          <a:tailEnd/>
        </a:ln>
      </xdr:spPr>
    </xdr:sp>
    <xdr:clientData/>
  </xdr:twoCellAnchor>
  <xdr:twoCellAnchor>
    <xdr:from>
      <xdr:col>30</xdr:col>
      <xdr:colOff>0</xdr:colOff>
      <xdr:row>43</xdr:row>
      <xdr:rowOff>123824</xdr:rowOff>
    </xdr:from>
    <xdr:to>
      <xdr:col>40</xdr:col>
      <xdr:colOff>8740</xdr:colOff>
      <xdr:row>44</xdr:row>
      <xdr:rowOff>1151999</xdr:rowOff>
    </xdr:to>
    <xdr:sp macro="" textlink="">
      <xdr:nvSpPr>
        <xdr:cNvPr id="4" name="Text Box 6">
          <a:extLst>
            <a:ext uri="{FF2B5EF4-FFF2-40B4-BE49-F238E27FC236}">
              <a16:creationId xmlns:a16="http://schemas.microsoft.com/office/drawing/2014/main" id="{B4A8D948-711C-4BB7-9A3F-27450E8DE734}"/>
            </a:ext>
          </a:extLst>
        </xdr:cNvPr>
        <xdr:cNvSpPr txBox="1">
          <a:spLocks noChangeAspect="1" noChangeArrowheads="1"/>
        </xdr:cNvSpPr>
      </xdr:nvSpPr>
      <xdr:spPr bwMode="auto">
        <a:xfrm>
          <a:off x="5000625" y="8277224"/>
          <a:ext cx="1143000" cy="1180575"/>
        </a:xfrm>
        <a:prstGeom prst="rect">
          <a:avLst/>
        </a:prstGeom>
        <a:no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74295" tIns="8890" rIns="74295" bIns="8890" anchor="ctr" upright="1"/>
        <a:lstStyle/>
        <a:p>
          <a:pPr algn="ctr" rtl="0">
            <a:defRPr sz="1000"/>
          </a:pPr>
          <a:r>
            <a:rPr lang="ja-JP" altLang="en-US" sz="900" b="0" i="0" u="none" strike="noStrike" baseline="0">
              <a:solidFill>
                <a:srgbClr val="A6A6A6"/>
              </a:solidFill>
              <a:latin typeface="ＭＳ ゴシック"/>
              <a:ea typeface="ＭＳ ゴシック"/>
            </a:rPr>
            <a:t>受　付　印</a:t>
          </a:r>
        </a:p>
      </xdr:txBody>
    </xdr:sp>
    <xdr:clientData/>
  </xdr:twoCellAnchor>
  <mc:AlternateContent xmlns:mc="http://schemas.openxmlformats.org/markup-compatibility/2006">
    <mc:Choice xmlns:a14="http://schemas.microsoft.com/office/drawing/2010/main" Requires="a14">
      <xdr:twoCellAnchor editAs="absolute">
        <xdr:from>
          <xdr:col>0</xdr:col>
          <xdr:colOff>57150</xdr:colOff>
          <xdr:row>20</xdr:row>
          <xdr:rowOff>123825</xdr:rowOff>
        </xdr:from>
        <xdr:to>
          <xdr:col>1</xdr:col>
          <xdr:colOff>57150</xdr:colOff>
          <xdr:row>22</xdr:row>
          <xdr:rowOff>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21</xdr:row>
          <xdr:rowOff>123825</xdr:rowOff>
        </xdr:from>
        <xdr:to>
          <xdr:col>1</xdr:col>
          <xdr:colOff>57150</xdr:colOff>
          <xdr:row>23</xdr:row>
          <xdr:rowOff>9525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22</xdr:row>
          <xdr:rowOff>123825</xdr:rowOff>
        </xdr:from>
        <xdr:to>
          <xdr:col>1</xdr:col>
          <xdr:colOff>57150</xdr:colOff>
          <xdr:row>24</xdr:row>
          <xdr:rowOff>9525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23</xdr:row>
          <xdr:rowOff>123825</xdr:rowOff>
        </xdr:from>
        <xdr:to>
          <xdr:col>1</xdr:col>
          <xdr:colOff>57150</xdr:colOff>
          <xdr:row>25</xdr:row>
          <xdr:rowOff>9525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24</xdr:row>
          <xdr:rowOff>114300</xdr:rowOff>
        </xdr:from>
        <xdr:to>
          <xdr:col>1</xdr:col>
          <xdr:colOff>57150</xdr:colOff>
          <xdr:row>26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27</xdr:row>
          <xdr:rowOff>304800</xdr:rowOff>
        </xdr:from>
        <xdr:to>
          <xdr:col>1</xdr:col>
          <xdr:colOff>57150</xdr:colOff>
          <xdr:row>29</xdr:row>
          <xdr:rowOff>9525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29</xdr:row>
          <xdr:rowOff>114300</xdr:rowOff>
        </xdr:from>
        <xdr:to>
          <xdr:col>1</xdr:col>
          <xdr:colOff>57150</xdr:colOff>
          <xdr:row>31</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28</xdr:row>
          <xdr:rowOff>114300</xdr:rowOff>
        </xdr:from>
        <xdr:to>
          <xdr:col>1</xdr:col>
          <xdr:colOff>57150</xdr:colOff>
          <xdr:row>30</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41</xdr:col>
      <xdr:colOff>290550</xdr:colOff>
      <xdr:row>0</xdr:row>
      <xdr:rowOff>19050</xdr:rowOff>
    </xdr:from>
    <xdr:to>
      <xdr:col>42</xdr:col>
      <xdr:colOff>500100</xdr:colOff>
      <xdr:row>4</xdr:row>
      <xdr:rowOff>184150</xdr:rowOff>
    </xdr:to>
    <xdr:pic>
      <xdr:nvPicPr>
        <xdr:cNvPr id="6" name="図 5">
          <a:hlinkClick xmlns:r="http://schemas.openxmlformats.org/officeDocument/2006/relationships" r:id="rId1"/>
          <a:extLst>
            <a:ext uri="{FF2B5EF4-FFF2-40B4-BE49-F238E27FC236}">
              <a16:creationId xmlns:a16="http://schemas.microsoft.com/office/drawing/2014/main" id="{5F540C4F-7736-4A3D-879C-3F90995D3B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4175" y="19050"/>
          <a:ext cx="895350" cy="1193800"/>
        </a:xfrm>
        <a:prstGeom prst="ellipse">
          <a:avLst/>
        </a:prstGeom>
        <a:ln>
          <a:noFill/>
        </a:ln>
        <a:effectLst>
          <a:softEdge rad="112500"/>
        </a:effectLst>
      </xdr:spPr>
    </xdr:pic>
    <xdr:clientData fPrintsWithSheet="0"/>
  </xdr:twoCellAnchor>
  <xdr:twoCellAnchor>
    <xdr:from>
      <xdr:col>41</xdr:col>
      <xdr:colOff>200025</xdr:colOff>
      <xdr:row>8</xdr:row>
      <xdr:rowOff>133349</xdr:rowOff>
    </xdr:from>
    <xdr:to>
      <xdr:col>42</xdr:col>
      <xdr:colOff>590625</xdr:colOff>
      <xdr:row>11</xdr:row>
      <xdr:rowOff>27749</xdr:rowOff>
    </xdr:to>
    <xdr:sp macro="[0]!A4両面印刷" textlink="">
      <xdr:nvSpPr>
        <xdr:cNvPr id="7" name="正方形/長方形 6">
          <a:extLst>
            <a:ext uri="{FF2B5EF4-FFF2-40B4-BE49-F238E27FC236}">
              <a16:creationId xmlns:a16="http://schemas.microsoft.com/office/drawing/2014/main" id="{B801B0E1-B1B8-4FA1-AFEC-C8C1B682CBAF}"/>
            </a:ext>
          </a:extLst>
        </xdr:cNvPr>
        <xdr:cNvSpPr/>
      </xdr:nvSpPr>
      <xdr:spPr>
        <a:xfrm>
          <a:off x="6343650" y="191452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41</xdr:col>
      <xdr:colOff>200062</xdr:colOff>
      <xdr:row>5</xdr:row>
      <xdr:rowOff>0</xdr:rowOff>
    </xdr:from>
    <xdr:to>
      <xdr:col>42</xdr:col>
      <xdr:colOff>590588</xdr:colOff>
      <xdr:row>7</xdr:row>
      <xdr:rowOff>228600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DBCA9B47-15CD-4FE8-AF51-F4B11AD75E5A}"/>
            </a:ext>
          </a:extLst>
        </xdr:cNvPr>
        <xdr:cNvSpPr/>
      </xdr:nvSpPr>
      <xdr:spPr>
        <a:xfrm>
          <a:off x="6343687" y="123825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161925</xdr:rowOff>
        </xdr:from>
        <xdr:to>
          <xdr:col>13</xdr:col>
          <xdr:colOff>180975</xdr:colOff>
          <xdr:row>4</xdr:row>
          <xdr:rowOff>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xdr:row>
          <xdr:rowOff>161925</xdr:rowOff>
        </xdr:from>
        <xdr:to>
          <xdr:col>17</xdr:col>
          <xdr:colOff>0</xdr:colOff>
          <xdr:row>4</xdr:row>
          <xdr:rowOff>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161925</xdr:rowOff>
        </xdr:from>
        <xdr:to>
          <xdr:col>20</xdr:col>
          <xdr:colOff>0</xdr:colOff>
          <xdr:row>4</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161925</xdr:rowOff>
        </xdr:from>
        <xdr:to>
          <xdr:col>10</xdr:col>
          <xdr:colOff>180975</xdr:colOff>
          <xdr:row>4</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0</xdr:rowOff>
        </xdr:from>
        <xdr:to>
          <xdr:col>0</xdr:col>
          <xdr:colOff>180975</xdr:colOff>
          <xdr:row>111</xdr:row>
          <xdr:rowOff>180975</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0</xdr:rowOff>
        </xdr:from>
        <xdr:to>
          <xdr:col>0</xdr:col>
          <xdr:colOff>180975</xdr:colOff>
          <xdr:row>110</xdr:row>
          <xdr:rowOff>180975</xdr:rowOff>
        </xdr:to>
        <xdr:sp macro="" textlink="">
          <xdr:nvSpPr>
            <xdr:cNvPr id="9224" name="Check Box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0</xdr:col>
          <xdr:colOff>180975</xdr:colOff>
          <xdr:row>109</xdr:row>
          <xdr:rowOff>180975</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0</xdr:col>
          <xdr:colOff>180975</xdr:colOff>
          <xdr:row>108</xdr:row>
          <xdr:rowOff>180975</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0</xdr:rowOff>
        </xdr:from>
        <xdr:to>
          <xdr:col>0</xdr:col>
          <xdr:colOff>180975</xdr:colOff>
          <xdr:row>107</xdr:row>
          <xdr:rowOff>180975</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0</xdr:col>
          <xdr:colOff>180975</xdr:colOff>
          <xdr:row>106</xdr:row>
          <xdr:rowOff>180975</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0</xdr:rowOff>
        </xdr:from>
        <xdr:to>
          <xdr:col>0</xdr:col>
          <xdr:colOff>180975</xdr:colOff>
          <xdr:row>105</xdr:row>
          <xdr:rowOff>180975</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0</xdr:col>
          <xdr:colOff>180975</xdr:colOff>
          <xdr:row>104</xdr:row>
          <xdr:rowOff>180975</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0</xdr:rowOff>
        </xdr:from>
        <xdr:to>
          <xdr:col>0</xdr:col>
          <xdr:colOff>180975</xdr:colOff>
          <xdr:row>103</xdr:row>
          <xdr:rowOff>180975</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6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0</xdr:col>
          <xdr:colOff>180975</xdr:colOff>
          <xdr:row>102</xdr:row>
          <xdr:rowOff>180975</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6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0</xdr:col>
          <xdr:colOff>180975</xdr:colOff>
          <xdr:row>101</xdr:row>
          <xdr:rowOff>180975</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6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101</xdr:row>
          <xdr:rowOff>0</xdr:rowOff>
        </xdr:from>
        <xdr:to>
          <xdr:col>19</xdr:col>
          <xdr:colOff>0</xdr:colOff>
          <xdr:row>101</xdr:row>
          <xdr:rowOff>180975</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6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102</xdr:row>
          <xdr:rowOff>0</xdr:rowOff>
        </xdr:from>
        <xdr:to>
          <xdr:col>19</xdr:col>
          <xdr:colOff>0</xdr:colOff>
          <xdr:row>102</xdr:row>
          <xdr:rowOff>180975</xdr:rowOff>
        </xdr:to>
        <xdr:sp macro="" textlink="">
          <xdr:nvSpPr>
            <xdr:cNvPr id="9235" name="Check Box 19" hidden="1">
              <a:extLst>
                <a:ext uri="{63B3BB69-23CF-44E3-9099-C40C66FF867C}">
                  <a14:compatExt spid="_x0000_s9235"/>
                </a:ext>
                <a:ext uri="{FF2B5EF4-FFF2-40B4-BE49-F238E27FC236}">
                  <a16:creationId xmlns:a16="http://schemas.microsoft.com/office/drawing/2014/main" id="{00000000-0008-0000-0600-00001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103</xdr:row>
          <xdr:rowOff>0</xdr:rowOff>
        </xdr:from>
        <xdr:to>
          <xdr:col>19</xdr:col>
          <xdr:colOff>0</xdr:colOff>
          <xdr:row>103</xdr:row>
          <xdr:rowOff>180975</xdr:rowOff>
        </xdr:to>
        <xdr:sp macro="" textlink="">
          <xdr:nvSpPr>
            <xdr:cNvPr id="9236" name="Check Box 20" hidden="1">
              <a:extLst>
                <a:ext uri="{63B3BB69-23CF-44E3-9099-C40C66FF867C}">
                  <a14:compatExt spid="_x0000_s9236"/>
                </a:ext>
                <a:ext uri="{FF2B5EF4-FFF2-40B4-BE49-F238E27FC236}">
                  <a16:creationId xmlns:a16="http://schemas.microsoft.com/office/drawing/2014/main" id="{00000000-0008-0000-0600-00001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104</xdr:row>
          <xdr:rowOff>0</xdr:rowOff>
        </xdr:from>
        <xdr:to>
          <xdr:col>19</xdr:col>
          <xdr:colOff>0</xdr:colOff>
          <xdr:row>104</xdr:row>
          <xdr:rowOff>180975</xdr:rowOff>
        </xdr:to>
        <xdr:sp macro="" textlink="">
          <xdr:nvSpPr>
            <xdr:cNvPr id="9237" name="Check Box 21" hidden="1">
              <a:extLst>
                <a:ext uri="{63B3BB69-23CF-44E3-9099-C40C66FF867C}">
                  <a14:compatExt spid="_x0000_s9237"/>
                </a:ext>
                <a:ext uri="{FF2B5EF4-FFF2-40B4-BE49-F238E27FC236}">
                  <a16:creationId xmlns:a16="http://schemas.microsoft.com/office/drawing/2014/main" id="{00000000-0008-0000-0600-00001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105</xdr:row>
          <xdr:rowOff>0</xdr:rowOff>
        </xdr:from>
        <xdr:to>
          <xdr:col>19</xdr:col>
          <xdr:colOff>0</xdr:colOff>
          <xdr:row>105</xdr:row>
          <xdr:rowOff>180975</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6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106</xdr:row>
          <xdr:rowOff>0</xdr:rowOff>
        </xdr:from>
        <xdr:to>
          <xdr:col>19</xdr:col>
          <xdr:colOff>0</xdr:colOff>
          <xdr:row>106</xdr:row>
          <xdr:rowOff>180975</xdr:rowOff>
        </xdr:to>
        <xdr:sp macro="" textlink="">
          <xdr:nvSpPr>
            <xdr:cNvPr id="9239" name="Check Box 23" hidden="1">
              <a:extLst>
                <a:ext uri="{63B3BB69-23CF-44E3-9099-C40C66FF867C}">
                  <a14:compatExt spid="_x0000_s9239"/>
                </a:ext>
                <a:ext uri="{FF2B5EF4-FFF2-40B4-BE49-F238E27FC236}">
                  <a16:creationId xmlns:a16="http://schemas.microsoft.com/office/drawing/2014/main" id="{00000000-0008-0000-0600-00001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107</xdr:row>
          <xdr:rowOff>0</xdr:rowOff>
        </xdr:from>
        <xdr:to>
          <xdr:col>19</xdr:col>
          <xdr:colOff>0</xdr:colOff>
          <xdr:row>107</xdr:row>
          <xdr:rowOff>180975</xdr:rowOff>
        </xdr:to>
        <xdr:sp macro="" textlink="">
          <xdr:nvSpPr>
            <xdr:cNvPr id="9240" name="Check Box 24" hidden="1">
              <a:extLst>
                <a:ext uri="{63B3BB69-23CF-44E3-9099-C40C66FF867C}">
                  <a14:compatExt spid="_x0000_s9240"/>
                </a:ext>
                <a:ext uri="{FF2B5EF4-FFF2-40B4-BE49-F238E27FC236}">
                  <a16:creationId xmlns:a16="http://schemas.microsoft.com/office/drawing/2014/main" id="{00000000-0008-0000-0600-00001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108</xdr:row>
          <xdr:rowOff>0</xdr:rowOff>
        </xdr:from>
        <xdr:to>
          <xdr:col>19</xdr:col>
          <xdr:colOff>0</xdr:colOff>
          <xdr:row>108</xdr:row>
          <xdr:rowOff>180975</xdr:rowOff>
        </xdr:to>
        <xdr:sp macro="" textlink="">
          <xdr:nvSpPr>
            <xdr:cNvPr id="9241" name="Check Box 25" hidden="1">
              <a:extLst>
                <a:ext uri="{63B3BB69-23CF-44E3-9099-C40C66FF867C}">
                  <a14:compatExt spid="_x0000_s9241"/>
                </a:ext>
                <a:ext uri="{FF2B5EF4-FFF2-40B4-BE49-F238E27FC236}">
                  <a16:creationId xmlns:a16="http://schemas.microsoft.com/office/drawing/2014/main" id="{00000000-0008-0000-0600-00001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142875</xdr:colOff>
          <xdr:row>103</xdr:row>
          <xdr:rowOff>0</xdr:rowOff>
        </xdr:from>
        <xdr:to>
          <xdr:col>33</xdr:col>
          <xdr:colOff>133350</xdr:colOff>
          <xdr:row>103</xdr:row>
          <xdr:rowOff>180975</xdr:rowOff>
        </xdr:to>
        <xdr:sp macro="" textlink="">
          <xdr:nvSpPr>
            <xdr:cNvPr id="9242" name="Check Box 26" hidden="1">
              <a:extLst>
                <a:ext uri="{63B3BB69-23CF-44E3-9099-C40C66FF867C}">
                  <a14:compatExt spid="_x0000_s9242"/>
                </a:ext>
                <a:ext uri="{FF2B5EF4-FFF2-40B4-BE49-F238E27FC236}">
                  <a16:creationId xmlns:a16="http://schemas.microsoft.com/office/drawing/2014/main" id="{00000000-0008-0000-0600-00001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103</xdr:row>
          <xdr:rowOff>0</xdr:rowOff>
        </xdr:from>
        <xdr:to>
          <xdr:col>30</xdr:col>
          <xdr:colOff>152400</xdr:colOff>
          <xdr:row>103</xdr:row>
          <xdr:rowOff>180975</xdr:rowOff>
        </xdr:to>
        <xdr:sp macro="" textlink="">
          <xdr:nvSpPr>
            <xdr:cNvPr id="9243" name="Check Box 27" hidden="1">
              <a:extLst>
                <a:ext uri="{63B3BB69-23CF-44E3-9099-C40C66FF867C}">
                  <a14:compatExt spid="_x0000_s9243"/>
                </a:ext>
                <a:ext uri="{FF2B5EF4-FFF2-40B4-BE49-F238E27FC236}">
                  <a16:creationId xmlns:a16="http://schemas.microsoft.com/office/drawing/2014/main" id="{00000000-0008-0000-0600-00001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0</xdr:rowOff>
        </xdr:from>
        <xdr:to>
          <xdr:col>0</xdr:col>
          <xdr:colOff>180975</xdr:colOff>
          <xdr:row>113</xdr:row>
          <xdr:rowOff>180975</xdr:rowOff>
        </xdr:to>
        <xdr:sp macro="" textlink="">
          <xdr:nvSpPr>
            <xdr:cNvPr id="9252" name="Check Box 36" hidden="1">
              <a:extLst>
                <a:ext uri="{63B3BB69-23CF-44E3-9099-C40C66FF867C}">
                  <a14:compatExt spid="_x0000_s9252"/>
                </a:ext>
                <a:ext uri="{FF2B5EF4-FFF2-40B4-BE49-F238E27FC236}">
                  <a16:creationId xmlns:a16="http://schemas.microsoft.com/office/drawing/2014/main" id="{00000000-0008-0000-0600-00002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0</xdr:col>
          <xdr:colOff>180975</xdr:colOff>
          <xdr:row>114</xdr:row>
          <xdr:rowOff>180975</xdr:rowOff>
        </xdr:to>
        <xdr:sp macro="" textlink="">
          <xdr:nvSpPr>
            <xdr:cNvPr id="9253" name="Check Box 37" hidden="1">
              <a:extLst>
                <a:ext uri="{63B3BB69-23CF-44E3-9099-C40C66FF867C}">
                  <a14:compatExt spid="_x0000_s9253"/>
                </a:ext>
                <a:ext uri="{FF2B5EF4-FFF2-40B4-BE49-F238E27FC236}">
                  <a16:creationId xmlns:a16="http://schemas.microsoft.com/office/drawing/2014/main" id="{00000000-0008-0000-0600-00002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0</xdr:rowOff>
        </xdr:from>
        <xdr:to>
          <xdr:col>0</xdr:col>
          <xdr:colOff>180975</xdr:colOff>
          <xdr:row>115</xdr:row>
          <xdr:rowOff>180975</xdr:rowOff>
        </xdr:to>
        <xdr:sp macro="" textlink="">
          <xdr:nvSpPr>
            <xdr:cNvPr id="9254" name="Check Box 38" hidden="1">
              <a:extLst>
                <a:ext uri="{63B3BB69-23CF-44E3-9099-C40C66FF867C}">
                  <a14:compatExt spid="_x0000_s9254"/>
                </a:ext>
                <a:ext uri="{FF2B5EF4-FFF2-40B4-BE49-F238E27FC236}">
                  <a16:creationId xmlns:a16="http://schemas.microsoft.com/office/drawing/2014/main" id="{00000000-0008-0000-0600-00002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0</xdr:col>
          <xdr:colOff>180975</xdr:colOff>
          <xdr:row>116</xdr:row>
          <xdr:rowOff>180975</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600-00002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0</xdr:rowOff>
        </xdr:from>
        <xdr:to>
          <xdr:col>0</xdr:col>
          <xdr:colOff>180975</xdr:colOff>
          <xdr:row>117</xdr:row>
          <xdr:rowOff>180975</xdr:rowOff>
        </xdr:to>
        <xdr:sp macro="" textlink="">
          <xdr:nvSpPr>
            <xdr:cNvPr id="9256" name="Check Box 40" hidden="1">
              <a:extLst>
                <a:ext uri="{63B3BB69-23CF-44E3-9099-C40C66FF867C}">
                  <a14:compatExt spid="_x0000_s9256"/>
                </a:ext>
                <a:ext uri="{FF2B5EF4-FFF2-40B4-BE49-F238E27FC236}">
                  <a16:creationId xmlns:a16="http://schemas.microsoft.com/office/drawing/2014/main" id="{00000000-0008-0000-0600-00002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0</xdr:col>
          <xdr:colOff>180975</xdr:colOff>
          <xdr:row>118</xdr:row>
          <xdr:rowOff>180975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6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0</xdr:rowOff>
        </xdr:from>
        <xdr:to>
          <xdr:col>0</xdr:col>
          <xdr:colOff>180975</xdr:colOff>
          <xdr:row>119</xdr:row>
          <xdr:rowOff>180975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6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0</xdr:rowOff>
        </xdr:from>
        <xdr:to>
          <xdr:col>0</xdr:col>
          <xdr:colOff>180975</xdr:colOff>
          <xdr:row>120</xdr:row>
          <xdr:rowOff>180975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6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113</xdr:row>
          <xdr:rowOff>0</xdr:rowOff>
        </xdr:from>
        <xdr:to>
          <xdr:col>18</xdr:col>
          <xdr:colOff>209550</xdr:colOff>
          <xdr:row>113</xdr:row>
          <xdr:rowOff>180975</xdr:rowOff>
        </xdr:to>
        <xdr:sp macro="" textlink="">
          <xdr:nvSpPr>
            <xdr:cNvPr id="9260" name="Check Box 44" hidden="1">
              <a:extLst>
                <a:ext uri="{63B3BB69-23CF-44E3-9099-C40C66FF867C}">
                  <a14:compatExt spid="_x0000_s9260"/>
                </a:ext>
                <a:ext uri="{FF2B5EF4-FFF2-40B4-BE49-F238E27FC236}">
                  <a16:creationId xmlns:a16="http://schemas.microsoft.com/office/drawing/2014/main" id="{00000000-0008-0000-0600-00002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18</xdr:col>
          <xdr:colOff>209550</xdr:colOff>
          <xdr:row>114</xdr:row>
          <xdr:rowOff>180975</xdr:rowOff>
        </xdr:to>
        <xdr:sp macro="" textlink="">
          <xdr:nvSpPr>
            <xdr:cNvPr id="9261" name="Check Box 45" hidden="1">
              <a:extLst>
                <a:ext uri="{63B3BB69-23CF-44E3-9099-C40C66FF867C}">
                  <a14:compatExt spid="_x0000_s9261"/>
                </a:ext>
                <a:ext uri="{FF2B5EF4-FFF2-40B4-BE49-F238E27FC236}">
                  <a16:creationId xmlns:a16="http://schemas.microsoft.com/office/drawing/2014/main" id="{00000000-0008-0000-0600-00002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115</xdr:row>
          <xdr:rowOff>0</xdr:rowOff>
        </xdr:from>
        <xdr:to>
          <xdr:col>18</xdr:col>
          <xdr:colOff>209550</xdr:colOff>
          <xdr:row>115</xdr:row>
          <xdr:rowOff>180975</xdr:rowOff>
        </xdr:to>
        <xdr:sp macro="" textlink="">
          <xdr:nvSpPr>
            <xdr:cNvPr id="9262" name="Check Box 46" hidden="1">
              <a:extLst>
                <a:ext uri="{63B3BB69-23CF-44E3-9099-C40C66FF867C}">
                  <a14:compatExt spid="_x0000_s9262"/>
                </a:ext>
                <a:ext uri="{FF2B5EF4-FFF2-40B4-BE49-F238E27FC236}">
                  <a16:creationId xmlns:a16="http://schemas.microsoft.com/office/drawing/2014/main" id="{00000000-0008-0000-0600-00002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18</xdr:col>
          <xdr:colOff>209550</xdr:colOff>
          <xdr:row>117</xdr:row>
          <xdr:rowOff>180975</xdr:rowOff>
        </xdr:to>
        <xdr:sp macro="" textlink="">
          <xdr:nvSpPr>
            <xdr:cNvPr id="9263" name="Check Box 47" hidden="1">
              <a:extLst>
                <a:ext uri="{63B3BB69-23CF-44E3-9099-C40C66FF867C}">
                  <a14:compatExt spid="_x0000_s9263"/>
                </a:ext>
                <a:ext uri="{FF2B5EF4-FFF2-40B4-BE49-F238E27FC236}">
                  <a16:creationId xmlns:a16="http://schemas.microsoft.com/office/drawing/2014/main" id="{00000000-0008-0000-0600-00002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118</xdr:row>
          <xdr:rowOff>0</xdr:rowOff>
        </xdr:from>
        <xdr:to>
          <xdr:col>18</xdr:col>
          <xdr:colOff>209550</xdr:colOff>
          <xdr:row>118</xdr:row>
          <xdr:rowOff>180975</xdr:rowOff>
        </xdr:to>
        <xdr:sp macro="" textlink="">
          <xdr:nvSpPr>
            <xdr:cNvPr id="9264" name="Check Box 48" hidden="1">
              <a:extLst>
                <a:ext uri="{63B3BB69-23CF-44E3-9099-C40C66FF867C}">
                  <a14:compatExt spid="_x0000_s9264"/>
                </a:ext>
                <a:ext uri="{FF2B5EF4-FFF2-40B4-BE49-F238E27FC236}">
                  <a16:creationId xmlns:a16="http://schemas.microsoft.com/office/drawing/2014/main" id="{00000000-0008-0000-0600-00003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120</xdr:row>
          <xdr:rowOff>180975</xdr:rowOff>
        </xdr:from>
        <xdr:to>
          <xdr:col>3</xdr:col>
          <xdr:colOff>0</xdr:colOff>
          <xdr:row>121</xdr:row>
          <xdr:rowOff>171450</xdr:rowOff>
        </xdr:to>
        <xdr:sp macro="" textlink="">
          <xdr:nvSpPr>
            <xdr:cNvPr id="9265" name="Check Box 49" hidden="1">
              <a:extLst>
                <a:ext uri="{63B3BB69-23CF-44E3-9099-C40C66FF867C}">
                  <a14:compatExt spid="_x0000_s9265"/>
                </a:ext>
                <a:ext uri="{FF2B5EF4-FFF2-40B4-BE49-F238E27FC236}">
                  <a16:creationId xmlns:a16="http://schemas.microsoft.com/office/drawing/2014/main" id="{00000000-0008-0000-0600-00003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180975</xdr:rowOff>
        </xdr:from>
        <xdr:to>
          <xdr:col>3</xdr:col>
          <xdr:colOff>0</xdr:colOff>
          <xdr:row>122</xdr:row>
          <xdr:rowOff>171450</xdr:rowOff>
        </xdr:to>
        <xdr:sp macro="" textlink="">
          <xdr:nvSpPr>
            <xdr:cNvPr id="9266" name="Check Box 50" hidden="1">
              <a:extLst>
                <a:ext uri="{63B3BB69-23CF-44E3-9099-C40C66FF867C}">
                  <a14:compatExt spid="_x0000_s9266"/>
                </a:ext>
                <a:ext uri="{FF2B5EF4-FFF2-40B4-BE49-F238E27FC236}">
                  <a16:creationId xmlns:a16="http://schemas.microsoft.com/office/drawing/2014/main" id="{00000000-0008-0000-0600-00003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122</xdr:row>
          <xdr:rowOff>180975</xdr:rowOff>
        </xdr:from>
        <xdr:to>
          <xdr:col>3</xdr:col>
          <xdr:colOff>0</xdr:colOff>
          <xdr:row>123</xdr:row>
          <xdr:rowOff>171450</xdr:rowOff>
        </xdr:to>
        <xdr:sp macro="" textlink="">
          <xdr:nvSpPr>
            <xdr:cNvPr id="9267" name="Check Box 51" hidden="1">
              <a:extLst>
                <a:ext uri="{63B3BB69-23CF-44E3-9099-C40C66FF867C}">
                  <a14:compatExt spid="_x0000_s9267"/>
                </a:ext>
                <a:ext uri="{FF2B5EF4-FFF2-40B4-BE49-F238E27FC236}">
                  <a16:creationId xmlns:a16="http://schemas.microsoft.com/office/drawing/2014/main" id="{00000000-0008-0000-0600-00003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180975</xdr:rowOff>
        </xdr:from>
        <xdr:to>
          <xdr:col>3</xdr:col>
          <xdr:colOff>0</xdr:colOff>
          <xdr:row>124</xdr:row>
          <xdr:rowOff>171450</xdr:rowOff>
        </xdr:to>
        <xdr:sp macro="" textlink="">
          <xdr:nvSpPr>
            <xdr:cNvPr id="9268" name="Check Box 52" hidden="1">
              <a:extLst>
                <a:ext uri="{63B3BB69-23CF-44E3-9099-C40C66FF867C}">
                  <a14:compatExt spid="_x0000_s9268"/>
                </a:ext>
                <a:ext uri="{FF2B5EF4-FFF2-40B4-BE49-F238E27FC236}">
                  <a16:creationId xmlns:a16="http://schemas.microsoft.com/office/drawing/2014/main" id="{00000000-0008-0000-0600-00003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xdr:row>
          <xdr:rowOff>180975</xdr:rowOff>
        </xdr:from>
        <xdr:to>
          <xdr:col>3</xdr:col>
          <xdr:colOff>0</xdr:colOff>
          <xdr:row>125</xdr:row>
          <xdr:rowOff>171450</xdr:rowOff>
        </xdr:to>
        <xdr:sp macro="" textlink="">
          <xdr:nvSpPr>
            <xdr:cNvPr id="9269" name="Check Box 53" hidden="1">
              <a:extLst>
                <a:ext uri="{63B3BB69-23CF-44E3-9099-C40C66FF867C}">
                  <a14:compatExt spid="_x0000_s9269"/>
                </a:ext>
                <a:ext uri="{FF2B5EF4-FFF2-40B4-BE49-F238E27FC236}">
                  <a16:creationId xmlns:a16="http://schemas.microsoft.com/office/drawing/2014/main" id="{00000000-0008-0000-0600-00003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121</xdr:row>
          <xdr:rowOff>0</xdr:rowOff>
        </xdr:from>
        <xdr:to>
          <xdr:col>18</xdr:col>
          <xdr:colOff>180975</xdr:colOff>
          <xdr:row>121</xdr:row>
          <xdr:rowOff>180975</xdr:rowOff>
        </xdr:to>
        <xdr:sp macro="" textlink="">
          <xdr:nvSpPr>
            <xdr:cNvPr id="9270" name="Check Box 54" hidden="1">
              <a:extLst>
                <a:ext uri="{63B3BB69-23CF-44E3-9099-C40C66FF867C}">
                  <a14:compatExt spid="_x0000_s9270"/>
                </a:ext>
                <a:ext uri="{FF2B5EF4-FFF2-40B4-BE49-F238E27FC236}">
                  <a16:creationId xmlns:a16="http://schemas.microsoft.com/office/drawing/2014/main" id="{00000000-0008-0000-0600-00003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272" name="Check Box 56" hidden="1">
              <a:extLst>
                <a:ext uri="{63B3BB69-23CF-44E3-9099-C40C66FF867C}">
                  <a14:compatExt spid="_x0000_s9272"/>
                </a:ext>
                <a:ext uri="{FF2B5EF4-FFF2-40B4-BE49-F238E27FC236}">
                  <a16:creationId xmlns:a16="http://schemas.microsoft.com/office/drawing/2014/main" id="{00000000-0008-0000-0600-00003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125</xdr:row>
          <xdr:rowOff>0</xdr:rowOff>
        </xdr:from>
        <xdr:to>
          <xdr:col>18</xdr:col>
          <xdr:colOff>180975</xdr:colOff>
          <xdr:row>125</xdr:row>
          <xdr:rowOff>180975</xdr:rowOff>
        </xdr:to>
        <xdr:sp macro="" textlink="">
          <xdr:nvSpPr>
            <xdr:cNvPr id="9274" name="Check Box 58" hidden="1">
              <a:extLst>
                <a:ext uri="{63B3BB69-23CF-44E3-9099-C40C66FF867C}">
                  <a14:compatExt spid="_x0000_s9274"/>
                </a:ext>
                <a:ext uri="{FF2B5EF4-FFF2-40B4-BE49-F238E27FC236}">
                  <a16:creationId xmlns:a16="http://schemas.microsoft.com/office/drawing/2014/main" id="{00000000-0008-0000-0600-00003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275" name="Check Box 59" hidden="1">
              <a:extLst>
                <a:ext uri="{63B3BB69-23CF-44E3-9099-C40C66FF867C}">
                  <a14:compatExt spid="_x0000_s9275"/>
                </a:ext>
                <a:ext uri="{FF2B5EF4-FFF2-40B4-BE49-F238E27FC236}">
                  <a16:creationId xmlns:a16="http://schemas.microsoft.com/office/drawing/2014/main" id="{00000000-0008-0000-0600-00003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3</xdr:col>
          <xdr:colOff>180975</xdr:colOff>
          <xdr:row>127</xdr:row>
          <xdr:rowOff>180975</xdr:rowOff>
        </xdr:to>
        <xdr:sp macro="" textlink="">
          <xdr:nvSpPr>
            <xdr:cNvPr id="9276" name="Check Box 60" hidden="1">
              <a:extLst>
                <a:ext uri="{63B3BB69-23CF-44E3-9099-C40C66FF867C}">
                  <a14:compatExt spid="_x0000_s9276"/>
                </a:ext>
                <a:ext uri="{FF2B5EF4-FFF2-40B4-BE49-F238E27FC236}">
                  <a16:creationId xmlns:a16="http://schemas.microsoft.com/office/drawing/2014/main" id="{00000000-0008-0000-0600-00003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180975</xdr:colOff>
          <xdr:row>128</xdr:row>
          <xdr:rowOff>180975</xdr:rowOff>
        </xdr:to>
        <xdr:sp macro="" textlink="">
          <xdr:nvSpPr>
            <xdr:cNvPr id="9277" name="Check Box 61" hidden="1">
              <a:extLst>
                <a:ext uri="{63B3BB69-23CF-44E3-9099-C40C66FF867C}">
                  <a14:compatExt spid="_x0000_s9277"/>
                </a:ext>
                <a:ext uri="{FF2B5EF4-FFF2-40B4-BE49-F238E27FC236}">
                  <a16:creationId xmlns:a16="http://schemas.microsoft.com/office/drawing/2014/main" id="{00000000-0008-0000-0600-00003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3</xdr:col>
          <xdr:colOff>180975</xdr:colOff>
          <xdr:row>129</xdr:row>
          <xdr:rowOff>180975</xdr:rowOff>
        </xdr:to>
        <xdr:sp macro="" textlink="">
          <xdr:nvSpPr>
            <xdr:cNvPr id="9278" name="Check Box 62" hidden="1">
              <a:extLst>
                <a:ext uri="{63B3BB69-23CF-44E3-9099-C40C66FF867C}">
                  <a14:compatExt spid="_x0000_s9278"/>
                </a:ext>
                <a:ext uri="{FF2B5EF4-FFF2-40B4-BE49-F238E27FC236}">
                  <a16:creationId xmlns:a16="http://schemas.microsoft.com/office/drawing/2014/main" id="{00000000-0008-0000-0600-00003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129</xdr:row>
          <xdr:rowOff>180975</xdr:rowOff>
        </xdr:from>
        <xdr:to>
          <xdr:col>3</xdr:col>
          <xdr:colOff>0</xdr:colOff>
          <xdr:row>130</xdr:row>
          <xdr:rowOff>171450</xdr:rowOff>
        </xdr:to>
        <xdr:sp macro="" textlink="">
          <xdr:nvSpPr>
            <xdr:cNvPr id="9279" name="Check Box 63" hidden="1">
              <a:extLst>
                <a:ext uri="{63B3BB69-23CF-44E3-9099-C40C66FF867C}">
                  <a14:compatExt spid="_x0000_s9279"/>
                </a:ext>
                <a:ext uri="{FF2B5EF4-FFF2-40B4-BE49-F238E27FC236}">
                  <a16:creationId xmlns:a16="http://schemas.microsoft.com/office/drawing/2014/main" id="{00000000-0008-0000-0600-00003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130</xdr:row>
          <xdr:rowOff>180975</xdr:rowOff>
        </xdr:from>
        <xdr:to>
          <xdr:col>3</xdr:col>
          <xdr:colOff>0</xdr:colOff>
          <xdr:row>131</xdr:row>
          <xdr:rowOff>171450</xdr:rowOff>
        </xdr:to>
        <xdr:sp macro="" textlink="">
          <xdr:nvSpPr>
            <xdr:cNvPr id="9280" name="Check Box 64" hidden="1">
              <a:extLst>
                <a:ext uri="{63B3BB69-23CF-44E3-9099-C40C66FF867C}">
                  <a14:compatExt spid="_x0000_s9280"/>
                </a:ext>
                <a:ext uri="{FF2B5EF4-FFF2-40B4-BE49-F238E27FC236}">
                  <a16:creationId xmlns:a16="http://schemas.microsoft.com/office/drawing/2014/main" id="{00000000-0008-0000-0600-00004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180975</xdr:rowOff>
        </xdr:from>
        <xdr:to>
          <xdr:col>3</xdr:col>
          <xdr:colOff>0</xdr:colOff>
          <xdr:row>132</xdr:row>
          <xdr:rowOff>171450</xdr:rowOff>
        </xdr:to>
        <xdr:sp macro="" textlink="">
          <xdr:nvSpPr>
            <xdr:cNvPr id="9281" name="Check Box 65" hidden="1">
              <a:extLst>
                <a:ext uri="{63B3BB69-23CF-44E3-9099-C40C66FF867C}">
                  <a14:compatExt spid="_x0000_s9281"/>
                </a:ext>
                <a:ext uri="{FF2B5EF4-FFF2-40B4-BE49-F238E27FC236}">
                  <a16:creationId xmlns:a16="http://schemas.microsoft.com/office/drawing/2014/main" id="{00000000-0008-0000-0600-00004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132</xdr:row>
          <xdr:rowOff>180975</xdr:rowOff>
        </xdr:from>
        <xdr:to>
          <xdr:col>3</xdr:col>
          <xdr:colOff>0</xdr:colOff>
          <xdr:row>133</xdr:row>
          <xdr:rowOff>171450</xdr:rowOff>
        </xdr:to>
        <xdr:sp macro="" textlink="">
          <xdr:nvSpPr>
            <xdr:cNvPr id="9282" name="Check Box 66" hidden="1">
              <a:extLst>
                <a:ext uri="{63B3BB69-23CF-44E3-9099-C40C66FF867C}">
                  <a14:compatExt spid="_x0000_s9282"/>
                </a:ext>
                <a:ext uri="{FF2B5EF4-FFF2-40B4-BE49-F238E27FC236}">
                  <a16:creationId xmlns:a16="http://schemas.microsoft.com/office/drawing/2014/main" id="{00000000-0008-0000-0600-00004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180975</xdr:rowOff>
        </xdr:from>
        <xdr:to>
          <xdr:col>3</xdr:col>
          <xdr:colOff>0</xdr:colOff>
          <xdr:row>134</xdr:row>
          <xdr:rowOff>171450</xdr:rowOff>
        </xdr:to>
        <xdr:sp macro="" textlink="">
          <xdr:nvSpPr>
            <xdr:cNvPr id="9283" name="Check Box 67" hidden="1">
              <a:extLst>
                <a:ext uri="{63B3BB69-23CF-44E3-9099-C40C66FF867C}">
                  <a14:compatExt spid="_x0000_s9283"/>
                </a:ext>
                <a:ext uri="{FF2B5EF4-FFF2-40B4-BE49-F238E27FC236}">
                  <a16:creationId xmlns:a16="http://schemas.microsoft.com/office/drawing/2014/main" id="{00000000-0008-0000-0600-00004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134</xdr:row>
          <xdr:rowOff>180975</xdr:rowOff>
        </xdr:from>
        <xdr:to>
          <xdr:col>3</xdr:col>
          <xdr:colOff>0</xdr:colOff>
          <xdr:row>135</xdr:row>
          <xdr:rowOff>171450</xdr:rowOff>
        </xdr:to>
        <xdr:sp macro="" textlink="">
          <xdr:nvSpPr>
            <xdr:cNvPr id="9284" name="Check Box 68" hidden="1">
              <a:extLst>
                <a:ext uri="{63B3BB69-23CF-44E3-9099-C40C66FF867C}">
                  <a14:compatExt spid="_x0000_s9284"/>
                </a:ext>
                <a:ext uri="{FF2B5EF4-FFF2-40B4-BE49-F238E27FC236}">
                  <a16:creationId xmlns:a16="http://schemas.microsoft.com/office/drawing/2014/main" id="{00000000-0008-0000-0600-00004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180975</xdr:rowOff>
        </xdr:from>
        <xdr:to>
          <xdr:col>3</xdr:col>
          <xdr:colOff>0</xdr:colOff>
          <xdr:row>136</xdr:row>
          <xdr:rowOff>171450</xdr:rowOff>
        </xdr:to>
        <xdr:sp macro="" textlink="">
          <xdr:nvSpPr>
            <xdr:cNvPr id="9285" name="Check Box 69" hidden="1">
              <a:extLst>
                <a:ext uri="{63B3BB69-23CF-44E3-9099-C40C66FF867C}">
                  <a14:compatExt spid="_x0000_s9285"/>
                </a:ext>
                <a:ext uri="{FF2B5EF4-FFF2-40B4-BE49-F238E27FC236}">
                  <a16:creationId xmlns:a16="http://schemas.microsoft.com/office/drawing/2014/main" id="{00000000-0008-0000-0600-00004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135</xdr:row>
          <xdr:rowOff>161925</xdr:rowOff>
        </xdr:from>
        <xdr:to>
          <xdr:col>16</xdr:col>
          <xdr:colOff>0</xdr:colOff>
          <xdr:row>136</xdr:row>
          <xdr:rowOff>152400</xdr:rowOff>
        </xdr:to>
        <xdr:sp macro="" textlink="">
          <xdr:nvSpPr>
            <xdr:cNvPr id="9307" name="Check Box 91" hidden="1">
              <a:extLst>
                <a:ext uri="{63B3BB69-23CF-44E3-9099-C40C66FF867C}">
                  <a14:compatExt spid="_x0000_s9307"/>
                </a:ext>
                <a:ext uri="{FF2B5EF4-FFF2-40B4-BE49-F238E27FC236}">
                  <a16:creationId xmlns:a16="http://schemas.microsoft.com/office/drawing/2014/main" id="{00000000-0008-0000-0600-00005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135</xdr:row>
          <xdr:rowOff>161925</xdr:rowOff>
        </xdr:from>
        <xdr:to>
          <xdr:col>13</xdr:col>
          <xdr:colOff>0</xdr:colOff>
          <xdr:row>136</xdr:row>
          <xdr:rowOff>152400</xdr:rowOff>
        </xdr:to>
        <xdr:sp macro="" textlink="">
          <xdr:nvSpPr>
            <xdr:cNvPr id="9308" name="Check Box 92" hidden="1">
              <a:extLst>
                <a:ext uri="{63B3BB69-23CF-44E3-9099-C40C66FF867C}">
                  <a14:compatExt spid="_x0000_s9308"/>
                </a:ext>
                <a:ext uri="{FF2B5EF4-FFF2-40B4-BE49-F238E27FC236}">
                  <a16:creationId xmlns:a16="http://schemas.microsoft.com/office/drawing/2014/main" id="{00000000-0008-0000-0600-00005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161925</xdr:rowOff>
        </xdr:from>
        <xdr:to>
          <xdr:col>9</xdr:col>
          <xdr:colOff>0</xdr:colOff>
          <xdr:row>136</xdr:row>
          <xdr:rowOff>152400</xdr:rowOff>
        </xdr:to>
        <xdr:sp macro="" textlink="">
          <xdr:nvSpPr>
            <xdr:cNvPr id="9309" name="Check Box 93" hidden="1">
              <a:extLst>
                <a:ext uri="{63B3BB69-23CF-44E3-9099-C40C66FF867C}">
                  <a14:compatExt spid="_x0000_s9309"/>
                </a:ext>
                <a:ext uri="{FF2B5EF4-FFF2-40B4-BE49-F238E27FC236}">
                  <a16:creationId xmlns:a16="http://schemas.microsoft.com/office/drawing/2014/main" id="{00000000-0008-0000-0600-00005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127</xdr:row>
          <xdr:rowOff>0</xdr:rowOff>
        </xdr:from>
        <xdr:to>
          <xdr:col>20</xdr:col>
          <xdr:colOff>0</xdr:colOff>
          <xdr:row>127</xdr:row>
          <xdr:rowOff>180975</xdr:rowOff>
        </xdr:to>
        <xdr:sp macro="" textlink="">
          <xdr:nvSpPr>
            <xdr:cNvPr id="9310" name="Check Box 94" hidden="1">
              <a:extLst>
                <a:ext uri="{63B3BB69-23CF-44E3-9099-C40C66FF867C}">
                  <a14:compatExt spid="_x0000_s9310"/>
                </a:ext>
                <a:ext uri="{FF2B5EF4-FFF2-40B4-BE49-F238E27FC236}">
                  <a16:creationId xmlns:a16="http://schemas.microsoft.com/office/drawing/2014/main" id="{00000000-0008-0000-0600-00005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128</xdr:row>
          <xdr:rowOff>0</xdr:rowOff>
        </xdr:from>
        <xdr:to>
          <xdr:col>20</xdr:col>
          <xdr:colOff>0</xdr:colOff>
          <xdr:row>128</xdr:row>
          <xdr:rowOff>180975</xdr:rowOff>
        </xdr:to>
        <xdr:sp macro="" textlink="">
          <xdr:nvSpPr>
            <xdr:cNvPr id="9311" name="Check Box 95" hidden="1">
              <a:extLst>
                <a:ext uri="{63B3BB69-23CF-44E3-9099-C40C66FF867C}">
                  <a14:compatExt spid="_x0000_s9311"/>
                </a:ext>
                <a:ext uri="{FF2B5EF4-FFF2-40B4-BE49-F238E27FC236}">
                  <a16:creationId xmlns:a16="http://schemas.microsoft.com/office/drawing/2014/main" id="{00000000-0008-0000-0600-00005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129</xdr:row>
          <xdr:rowOff>0</xdr:rowOff>
        </xdr:from>
        <xdr:to>
          <xdr:col>20</xdr:col>
          <xdr:colOff>0</xdr:colOff>
          <xdr:row>129</xdr:row>
          <xdr:rowOff>180975</xdr:rowOff>
        </xdr:to>
        <xdr:sp macro="" textlink="">
          <xdr:nvSpPr>
            <xdr:cNvPr id="9312" name="Check Box 96" hidden="1">
              <a:extLst>
                <a:ext uri="{63B3BB69-23CF-44E3-9099-C40C66FF867C}">
                  <a14:compatExt spid="_x0000_s9312"/>
                </a:ext>
                <a:ext uri="{FF2B5EF4-FFF2-40B4-BE49-F238E27FC236}">
                  <a16:creationId xmlns:a16="http://schemas.microsoft.com/office/drawing/2014/main" id="{00000000-0008-0000-0600-00006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130</xdr:row>
          <xdr:rowOff>0</xdr:rowOff>
        </xdr:from>
        <xdr:to>
          <xdr:col>20</xdr:col>
          <xdr:colOff>0</xdr:colOff>
          <xdr:row>130</xdr:row>
          <xdr:rowOff>180975</xdr:rowOff>
        </xdr:to>
        <xdr:sp macro="" textlink="">
          <xdr:nvSpPr>
            <xdr:cNvPr id="9313" name="Check Box 97" hidden="1">
              <a:extLst>
                <a:ext uri="{63B3BB69-23CF-44E3-9099-C40C66FF867C}">
                  <a14:compatExt spid="_x0000_s9313"/>
                </a:ext>
                <a:ext uri="{FF2B5EF4-FFF2-40B4-BE49-F238E27FC236}">
                  <a16:creationId xmlns:a16="http://schemas.microsoft.com/office/drawing/2014/main" id="{00000000-0008-0000-0600-00006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131</xdr:row>
          <xdr:rowOff>0</xdr:rowOff>
        </xdr:from>
        <xdr:to>
          <xdr:col>20</xdr:col>
          <xdr:colOff>0</xdr:colOff>
          <xdr:row>131</xdr:row>
          <xdr:rowOff>180975</xdr:rowOff>
        </xdr:to>
        <xdr:sp macro="" textlink="">
          <xdr:nvSpPr>
            <xdr:cNvPr id="9314" name="Check Box 98" hidden="1">
              <a:extLst>
                <a:ext uri="{63B3BB69-23CF-44E3-9099-C40C66FF867C}">
                  <a14:compatExt spid="_x0000_s9314"/>
                </a:ext>
                <a:ext uri="{FF2B5EF4-FFF2-40B4-BE49-F238E27FC236}">
                  <a16:creationId xmlns:a16="http://schemas.microsoft.com/office/drawing/2014/main" id="{00000000-0008-0000-0600-00006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126</xdr:row>
          <xdr:rowOff>85725</xdr:rowOff>
        </xdr:from>
        <xdr:to>
          <xdr:col>27</xdr:col>
          <xdr:colOff>0</xdr:colOff>
          <xdr:row>127</xdr:row>
          <xdr:rowOff>171450</xdr:rowOff>
        </xdr:to>
        <xdr:sp macro="" textlink="">
          <xdr:nvSpPr>
            <xdr:cNvPr id="9315" name="Check Box 99" hidden="1">
              <a:extLst>
                <a:ext uri="{63B3BB69-23CF-44E3-9099-C40C66FF867C}">
                  <a14:compatExt spid="_x0000_s9315"/>
                </a:ext>
                <a:ext uri="{FF2B5EF4-FFF2-40B4-BE49-F238E27FC236}">
                  <a16:creationId xmlns:a16="http://schemas.microsoft.com/office/drawing/2014/main" id="{00000000-0008-0000-0600-00006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127</xdr:row>
          <xdr:rowOff>180975</xdr:rowOff>
        </xdr:from>
        <xdr:to>
          <xdr:col>27</xdr:col>
          <xdr:colOff>0</xdr:colOff>
          <xdr:row>128</xdr:row>
          <xdr:rowOff>171450</xdr:rowOff>
        </xdr:to>
        <xdr:sp macro="" textlink="">
          <xdr:nvSpPr>
            <xdr:cNvPr id="9316" name="Check Box 100" hidden="1">
              <a:extLst>
                <a:ext uri="{63B3BB69-23CF-44E3-9099-C40C66FF867C}">
                  <a14:compatExt spid="_x0000_s9316"/>
                </a:ext>
                <a:ext uri="{FF2B5EF4-FFF2-40B4-BE49-F238E27FC236}">
                  <a16:creationId xmlns:a16="http://schemas.microsoft.com/office/drawing/2014/main" id="{00000000-0008-0000-0600-00006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128</xdr:row>
          <xdr:rowOff>180975</xdr:rowOff>
        </xdr:from>
        <xdr:to>
          <xdr:col>27</xdr:col>
          <xdr:colOff>0</xdr:colOff>
          <xdr:row>129</xdr:row>
          <xdr:rowOff>171450</xdr:rowOff>
        </xdr:to>
        <xdr:sp macro="" textlink="">
          <xdr:nvSpPr>
            <xdr:cNvPr id="9317" name="Check Box 101" hidden="1">
              <a:extLst>
                <a:ext uri="{63B3BB69-23CF-44E3-9099-C40C66FF867C}">
                  <a14:compatExt spid="_x0000_s9317"/>
                </a:ext>
                <a:ext uri="{FF2B5EF4-FFF2-40B4-BE49-F238E27FC236}">
                  <a16:creationId xmlns:a16="http://schemas.microsoft.com/office/drawing/2014/main" id="{00000000-0008-0000-0600-00006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129</xdr:row>
          <xdr:rowOff>180975</xdr:rowOff>
        </xdr:from>
        <xdr:to>
          <xdr:col>27</xdr:col>
          <xdr:colOff>0</xdr:colOff>
          <xdr:row>130</xdr:row>
          <xdr:rowOff>171450</xdr:rowOff>
        </xdr:to>
        <xdr:sp macro="" textlink="">
          <xdr:nvSpPr>
            <xdr:cNvPr id="9318" name="Check Box 102" hidden="1">
              <a:extLst>
                <a:ext uri="{63B3BB69-23CF-44E3-9099-C40C66FF867C}">
                  <a14:compatExt spid="_x0000_s9318"/>
                </a:ext>
                <a:ext uri="{FF2B5EF4-FFF2-40B4-BE49-F238E27FC236}">
                  <a16:creationId xmlns:a16="http://schemas.microsoft.com/office/drawing/2014/main" id="{00000000-0008-0000-0600-00006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131</xdr:row>
          <xdr:rowOff>161925</xdr:rowOff>
        </xdr:from>
        <xdr:to>
          <xdr:col>19</xdr:col>
          <xdr:colOff>0</xdr:colOff>
          <xdr:row>132</xdr:row>
          <xdr:rowOff>152400</xdr:rowOff>
        </xdr:to>
        <xdr:sp macro="" textlink="">
          <xdr:nvSpPr>
            <xdr:cNvPr id="9319" name="Check Box 103" hidden="1">
              <a:extLst>
                <a:ext uri="{63B3BB69-23CF-44E3-9099-C40C66FF867C}">
                  <a14:compatExt spid="_x0000_s9319"/>
                </a:ext>
                <a:ext uri="{FF2B5EF4-FFF2-40B4-BE49-F238E27FC236}">
                  <a16:creationId xmlns:a16="http://schemas.microsoft.com/office/drawing/2014/main" id="{00000000-0008-0000-0600-00006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133</xdr:row>
          <xdr:rowOff>180975</xdr:rowOff>
        </xdr:from>
        <xdr:to>
          <xdr:col>20</xdr:col>
          <xdr:colOff>0</xdr:colOff>
          <xdr:row>134</xdr:row>
          <xdr:rowOff>171450</xdr:rowOff>
        </xdr:to>
        <xdr:sp macro="" textlink="">
          <xdr:nvSpPr>
            <xdr:cNvPr id="9320" name="Check Box 104" hidden="1">
              <a:extLst>
                <a:ext uri="{63B3BB69-23CF-44E3-9099-C40C66FF867C}">
                  <a14:compatExt spid="_x0000_s9320"/>
                </a:ext>
                <a:ext uri="{FF2B5EF4-FFF2-40B4-BE49-F238E27FC236}">
                  <a16:creationId xmlns:a16="http://schemas.microsoft.com/office/drawing/2014/main" id="{00000000-0008-0000-0600-00006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134</xdr:row>
          <xdr:rowOff>180975</xdr:rowOff>
        </xdr:from>
        <xdr:to>
          <xdr:col>20</xdr:col>
          <xdr:colOff>0</xdr:colOff>
          <xdr:row>135</xdr:row>
          <xdr:rowOff>171450</xdr:rowOff>
        </xdr:to>
        <xdr:sp macro="" textlink="">
          <xdr:nvSpPr>
            <xdr:cNvPr id="9321" name="Check Box 105" hidden="1">
              <a:extLst>
                <a:ext uri="{63B3BB69-23CF-44E3-9099-C40C66FF867C}">
                  <a14:compatExt spid="_x0000_s9321"/>
                </a:ext>
                <a:ext uri="{FF2B5EF4-FFF2-40B4-BE49-F238E27FC236}">
                  <a16:creationId xmlns:a16="http://schemas.microsoft.com/office/drawing/2014/main" id="{00000000-0008-0000-0600-00006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135</xdr:row>
          <xdr:rowOff>180975</xdr:rowOff>
        </xdr:from>
        <xdr:to>
          <xdr:col>20</xdr:col>
          <xdr:colOff>0</xdr:colOff>
          <xdr:row>136</xdr:row>
          <xdr:rowOff>171450</xdr:rowOff>
        </xdr:to>
        <xdr:sp macro="" textlink="">
          <xdr:nvSpPr>
            <xdr:cNvPr id="9322" name="Check Box 106" hidden="1">
              <a:extLst>
                <a:ext uri="{63B3BB69-23CF-44E3-9099-C40C66FF867C}">
                  <a14:compatExt spid="_x0000_s9322"/>
                </a:ext>
                <a:ext uri="{FF2B5EF4-FFF2-40B4-BE49-F238E27FC236}">
                  <a16:creationId xmlns:a16="http://schemas.microsoft.com/office/drawing/2014/main" id="{00000000-0008-0000-0600-00006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154</xdr:row>
          <xdr:rowOff>28575</xdr:rowOff>
        </xdr:from>
        <xdr:to>
          <xdr:col>7</xdr:col>
          <xdr:colOff>0</xdr:colOff>
          <xdr:row>154</xdr:row>
          <xdr:rowOff>209550</xdr:rowOff>
        </xdr:to>
        <xdr:sp macro="" textlink="">
          <xdr:nvSpPr>
            <xdr:cNvPr id="9376" name="Check Box 160" hidden="1">
              <a:extLst>
                <a:ext uri="{63B3BB69-23CF-44E3-9099-C40C66FF867C}">
                  <a14:compatExt spid="_x0000_s9376"/>
                </a:ext>
                <a:ext uri="{FF2B5EF4-FFF2-40B4-BE49-F238E27FC236}">
                  <a16:creationId xmlns:a16="http://schemas.microsoft.com/office/drawing/2014/main" id="{00000000-0008-0000-0600-0000A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154</xdr:row>
          <xdr:rowOff>28575</xdr:rowOff>
        </xdr:from>
        <xdr:to>
          <xdr:col>9</xdr:col>
          <xdr:colOff>161925</xdr:colOff>
          <xdr:row>154</xdr:row>
          <xdr:rowOff>209550</xdr:rowOff>
        </xdr:to>
        <xdr:sp macro="" textlink="">
          <xdr:nvSpPr>
            <xdr:cNvPr id="9377" name="Check Box 161" hidden="1">
              <a:extLst>
                <a:ext uri="{63B3BB69-23CF-44E3-9099-C40C66FF867C}">
                  <a14:compatExt spid="_x0000_s9377"/>
                </a:ext>
                <a:ext uri="{FF2B5EF4-FFF2-40B4-BE49-F238E27FC236}">
                  <a16:creationId xmlns:a16="http://schemas.microsoft.com/office/drawing/2014/main" id="{00000000-0008-0000-0600-0000A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154</xdr:row>
          <xdr:rowOff>28575</xdr:rowOff>
        </xdr:from>
        <xdr:to>
          <xdr:col>15</xdr:col>
          <xdr:colOff>0</xdr:colOff>
          <xdr:row>154</xdr:row>
          <xdr:rowOff>209550</xdr:rowOff>
        </xdr:to>
        <xdr:sp macro="" textlink="">
          <xdr:nvSpPr>
            <xdr:cNvPr id="9378" name="Check Box 162" hidden="1">
              <a:extLst>
                <a:ext uri="{63B3BB69-23CF-44E3-9099-C40C66FF867C}">
                  <a14:compatExt spid="_x0000_s9378"/>
                </a:ext>
                <a:ext uri="{FF2B5EF4-FFF2-40B4-BE49-F238E27FC236}">
                  <a16:creationId xmlns:a16="http://schemas.microsoft.com/office/drawing/2014/main" id="{00000000-0008-0000-0600-0000A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154</xdr:row>
          <xdr:rowOff>28575</xdr:rowOff>
        </xdr:from>
        <xdr:to>
          <xdr:col>18</xdr:col>
          <xdr:colOff>0</xdr:colOff>
          <xdr:row>154</xdr:row>
          <xdr:rowOff>209550</xdr:rowOff>
        </xdr:to>
        <xdr:sp macro="" textlink="">
          <xdr:nvSpPr>
            <xdr:cNvPr id="9379" name="Check Box 163" hidden="1">
              <a:extLst>
                <a:ext uri="{63B3BB69-23CF-44E3-9099-C40C66FF867C}">
                  <a14:compatExt spid="_x0000_s9379"/>
                </a:ext>
                <a:ext uri="{FF2B5EF4-FFF2-40B4-BE49-F238E27FC236}">
                  <a16:creationId xmlns:a16="http://schemas.microsoft.com/office/drawing/2014/main" id="{00000000-0008-0000-0600-0000A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154</xdr:row>
          <xdr:rowOff>28575</xdr:rowOff>
        </xdr:from>
        <xdr:to>
          <xdr:col>21</xdr:col>
          <xdr:colOff>0</xdr:colOff>
          <xdr:row>154</xdr:row>
          <xdr:rowOff>209550</xdr:rowOff>
        </xdr:to>
        <xdr:sp macro="" textlink="">
          <xdr:nvSpPr>
            <xdr:cNvPr id="9380" name="Check Box 164" hidden="1">
              <a:extLst>
                <a:ext uri="{63B3BB69-23CF-44E3-9099-C40C66FF867C}">
                  <a14:compatExt spid="_x0000_s9380"/>
                </a:ext>
                <a:ext uri="{FF2B5EF4-FFF2-40B4-BE49-F238E27FC236}">
                  <a16:creationId xmlns:a16="http://schemas.microsoft.com/office/drawing/2014/main" id="{00000000-0008-0000-0600-0000A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200</xdr:row>
          <xdr:rowOff>114300</xdr:rowOff>
        </xdr:from>
        <xdr:to>
          <xdr:col>9</xdr:col>
          <xdr:colOff>0</xdr:colOff>
          <xdr:row>202</xdr:row>
          <xdr:rowOff>9525</xdr:rowOff>
        </xdr:to>
        <xdr:sp macro="" textlink="">
          <xdr:nvSpPr>
            <xdr:cNvPr id="9386" name="Check Box 170" hidden="1">
              <a:extLst>
                <a:ext uri="{63B3BB69-23CF-44E3-9099-C40C66FF867C}">
                  <a14:compatExt spid="_x0000_s9386"/>
                </a:ext>
                <a:ext uri="{FF2B5EF4-FFF2-40B4-BE49-F238E27FC236}">
                  <a16:creationId xmlns:a16="http://schemas.microsoft.com/office/drawing/2014/main" id="{00000000-0008-0000-0600-0000A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201</xdr:row>
          <xdr:rowOff>114300</xdr:rowOff>
        </xdr:from>
        <xdr:to>
          <xdr:col>9</xdr:col>
          <xdr:colOff>0</xdr:colOff>
          <xdr:row>203</xdr:row>
          <xdr:rowOff>9525</xdr:rowOff>
        </xdr:to>
        <xdr:sp macro="" textlink="">
          <xdr:nvSpPr>
            <xdr:cNvPr id="9387" name="Check Box 171" hidden="1">
              <a:extLst>
                <a:ext uri="{63B3BB69-23CF-44E3-9099-C40C66FF867C}">
                  <a14:compatExt spid="_x0000_s9387"/>
                </a:ext>
                <a:ext uri="{FF2B5EF4-FFF2-40B4-BE49-F238E27FC236}">
                  <a16:creationId xmlns:a16="http://schemas.microsoft.com/office/drawing/2014/main" id="{00000000-0008-0000-0600-0000A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200</xdr:row>
          <xdr:rowOff>114300</xdr:rowOff>
        </xdr:from>
        <xdr:to>
          <xdr:col>16</xdr:col>
          <xdr:colOff>0</xdr:colOff>
          <xdr:row>202</xdr:row>
          <xdr:rowOff>9525</xdr:rowOff>
        </xdr:to>
        <xdr:sp macro="" textlink="">
          <xdr:nvSpPr>
            <xdr:cNvPr id="9388" name="Check Box 172" hidden="1">
              <a:extLst>
                <a:ext uri="{63B3BB69-23CF-44E3-9099-C40C66FF867C}">
                  <a14:compatExt spid="_x0000_s9388"/>
                </a:ext>
                <a:ext uri="{FF2B5EF4-FFF2-40B4-BE49-F238E27FC236}">
                  <a16:creationId xmlns:a16="http://schemas.microsoft.com/office/drawing/2014/main" id="{00000000-0008-0000-0600-0000A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201</xdr:row>
          <xdr:rowOff>114300</xdr:rowOff>
        </xdr:from>
        <xdr:to>
          <xdr:col>16</xdr:col>
          <xdr:colOff>0</xdr:colOff>
          <xdr:row>203</xdr:row>
          <xdr:rowOff>9525</xdr:rowOff>
        </xdr:to>
        <xdr:sp macro="" textlink="">
          <xdr:nvSpPr>
            <xdr:cNvPr id="9389" name="Check Box 173" hidden="1">
              <a:extLst>
                <a:ext uri="{63B3BB69-23CF-44E3-9099-C40C66FF867C}">
                  <a14:compatExt spid="_x0000_s9389"/>
                </a:ext>
                <a:ext uri="{FF2B5EF4-FFF2-40B4-BE49-F238E27FC236}">
                  <a16:creationId xmlns:a16="http://schemas.microsoft.com/office/drawing/2014/main" id="{00000000-0008-0000-0600-0000A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200</xdr:row>
          <xdr:rowOff>114300</xdr:rowOff>
        </xdr:from>
        <xdr:to>
          <xdr:col>23</xdr:col>
          <xdr:colOff>0</xdr:colOff>
          <xdr:row>202</xdr:row>
          <xdr:rowOff>9525</xdr:rowOff>
        </xdr:to>
        <xdr:sp macro="" textlink="">
          <xdr:nvSpPr>
            <xdr:cNvPr id="9392" name="Check Box 176" hidden="1">
              <a:extLst>
                <a:ext uri="{63B3BB69-23CF-44E3-9099-C40C66FF867C}">
                  <a14:compatExt spid="_x0000_s9392"/>
                </a:ext>
                <a:ext uri="{FF2B5EF4-FFF2-40B4-BE49-F238E27FC236}">
                  <a16:creationId xmlns:a16="http://schemas.microsoft.com/office/drawing/2014/main" id="{00000000-0008-0000-0600-0000B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201</xdr:row>
          <xdr:rowOff>114300</xdr:rowOff>
        </xdr:from>
        <xdr:to>
          <xdr:col>23</xdr:col>
          <xdr:colOff>0</xdr:colOff>
          <xdr:row>203</xdr:row>
          <xdr:rowOff>9525</xdr:rowOff>
        </xdr:to>
        <xdr:sp macro="" textlink="">
          <xdr:nvSpPr>
            <xdr:cNvPr id="9393" name="Check Box 177" hidden="1">
              <a:extLst>
                <a:ext uri="{63B3BB69-23CF-44E3-9099-C40C66FF867C}">
                  <a14:compatExt spid="_x0000_s9393"/>
                </a:ext>
                <a:ext uri="{FF2B5EF4-FFF2-40B4-BE49-F238E27FC236}">
                  <a16:creationId xmlns:a16="http://schemas.microsoft.com/office/drawing/2014/main" id="{00000000-0008-0000-0600-0000B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200</xdr:row>
          <xdr:rowOff>114300</xdr:rowOff>
        </xdr:from>
        <xdr:to>
          <xdr:col>30</xdr:col>
          <xdr:colOff>0</xdr:colOff>
          <xdr:row>202</xdr:row>
          <xdr:rowOff>9525</xdr:rowOff>
        </xdr:to>
        <xdr:sp macro="" textlink="">
          <xdr:nvSpPr>
            <xdr:cNvPr id="9394" name="Check Box 178" hidden="1">
              <a:extLst>
                <a:ext uri="{63B3BB69-23CF-44E3-9099-C40C66FF867C}">
                  <a14:compatExt spid="_x0000_s9394"/>
                </a:ext>
                <a:ext uri="{FF2B5EF4-FFF2-40B4-BE49-F238E27FC236}">
                  <a16:creationId xmlns:a16="http://schemas.microsoft.com/office/drawing/2014/main" id="{00000000-0008-0000-0600-0000B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201</xdr:row>
          <xdr:rowOff>114300</xdr:rowOff>
        </xdr:from>
        <xdr:to>
          <xdr:col>30</xdr:col>
          <xdr:colOff>0</xdr:colOff>
          <xdr:row>203</xdr:row>
          <xdr:rowOff>9525</xdr:rowOff>
        </xdr:to>
        <xdr:sp macro="" textlink="">
          <xdr:nvSpPr>
            <xdr:cNvPr id="9395" name="Check Box 179" hidden="1">
              <a:extLst>
                <a:ext uri="{63B3BB69-23CF-44E3-9099-C40C66FF867C}">
                  <a14:compatExt spid="_x0000_s9395"/>
                </a:ext>
                <a:ext uri="{FF2B5EF4-FFF2-40B4-BE49-F238E27FC236}">
                  <a16:creationId xmlns:a16="http://schemas.microsoft.com/office/drawing/2014/main" id="{00000000-0008-0000-0600-0000B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171450</xdr:colOff>
      <xdr:row>172</xdr:row>
      <xdr:rowOff>10837</xdr:rowOff>
    </xdr:from>
    <xdr:to>
      <xdr:col>32</xdr:col>
      <xdr:colOff>38100</xdr:colOff>
      <xdr:row>185</xdr:row>
      <xdr:rowOff>128512</xdr:rowOff>
    </xdr:to>
    <xdr:pic>
      <xdr:nvPicPr>
        <xdr:cNvPr id="2" name="図 1">
          <a:extLst>
            <a:ext uri="{FF2B5EF4-FFF2-40B4-BE49-F238E27FC236}">
              <a16:creationId xmlns:a16="http://schemas.microsoft.com/office/drawing/2014/main" id="{779D4D07-604F-964D-3305-B411C55DB5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30443212"/>
          <a:ext cx="2533650" cy="19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180974</xdr:colOff>
      <xdr:row>170</xdr:row>
      <xdr:rowOff>76201</xdr:rowOff>
    </xdr:from>
    <xdr:to>
      <xdr:col>41</xdr:col>
      <xdr:colOff>171449</xdr:colOff>
      <xdr:row>171</xdr:row>
      <xdr:rowOff>104776</xdr:rowOff>
    </xdr:to>
    <xdr:sp macro="" textlink="">
      <xdr:nvSpPr>
        <xdr:cNvPr id="3" name="テキスト ボックス 2">
          <a:extLst>
            <a:ext uri="{FF2B5EF4-FFF2-40B4-BE49-F238E27FC236}">
              <a16:creationId xmlns:a16="http://schemas.microsoft.com/office/drawing/2014/main" id="{66E303E2-09E2-2746-1BC2-828E1DE77254}"/>
            </a:ext>
          </a:extLst>
        </xdr:cNvPr>
        <xdr:cNvSpPr txBox="1"/>
      </xdr:nvSpPr>
      <xdr:spPr>
        <a:xfrm>
          <a:off x="7858124" y="30222826"/>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42</xdr:col>
      <xdr:colOff>95250</xdr:colOff>
      <xdr:row>170</xdr:row>
      <xdr:rowOff>66675</xdr:rowOff>
    </xdr:from>
    <xdr:to>
      <xdr:col>43</xdr:col>
      <xdr:colOff>85725</xdr:colOff>
      <xdr:row>171</xdr:row>
      <xdr:rowOff>95250</xdr:rowOff>
    </xdr:to>
    <xdr:sp macro="" textlink="">
      <xdr:nvSpPr>
        <xdr:cNvPr id="5" name="テキスト ボックス 4">
          <a:extLst>
            <a:ext uri="{FF2B5EF4-FFF2-40B4-BE49-F238E27FC236}">
              <a16:creationId xmlns:a16="http://schemas.microsoft.com/office/drawing/2014/main" id="{CF12547D-C5DF-480C-9610-80B5C29612AA}"/>
            </a:ext>
          </a:extLst>
        </xdr:cNvPr>
        <xdr:cNvSpPr txBox="1"/>
      </xdr:nvSpPr>
      <xdr:spPr>
        <a:xfrm>
          <a:off x="81534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43</xdr:col>
      <xdr:colOff>171450</xdr:colOff>
      <xdr:row>170</xdr:row>
      <xdr:rowOff>66675</xdr:rowOff>
    </xdr:from>
    <xdr:to>
      <xdr:col>44</xdr:col>
      <xdr:colOff>161925</xdr:colOff>
      <xdr:row>171</xdr:row>
      <xdr:rowOff>95250</xdr:rowOff>
    </xdr:to>
    <xdr:sp macro="" textlink="">
      <xdr:nvSpPr>
        <xdr:cNvPr id="6" name="テキスト ボックス 5">
          <a:extLst>
            <a:ext uri="{FF2B5EF4-FFF2-40B4-BE49-F238E27FC236}">
              <a16:creationId xmlns:a16="http://schemas.microsoft.com/office/drawing/2014/main" id="{05363262-45BD-4168-9DCB-5DEAB0261EC9}"/>
            </a:ext>
          </a:extLst>
        </xdr:cNvPr>
        <xdr:cNvSpPr txBox="1"/>
      </xdr:nvSpPr>
      <xdr:spPr>
        <a:xfrm>
          <a:off x="84201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41</xdr:col>
      <xdr:colOff>19050</xdr:colOff>
      <xdr:row>173</xdr:row>
      <xdr:rowOff>57150</xdr:rowOff>
    </xdr:from>
    <xdr:to>
      <xdr:col>42</xdr:col>
      <xdr:colOff>9525</xdr:colOff>
      <xdr:row>174</xdr:row>
      <xdr:rowOff>85725</xdr:rowOff>
    </xdr:to>
    <xdr:sp macro="" textlink="">
      <xdr:nvSpPr>
        <xdr:cNvPr id="7" name="テキスト ボックス 6">
          <a:extLst>
            <a:ext uri="{FF2B5EF4-FFF2-40B4-BE49-F238E27FC236}">
              <a16:creationId xmlns:a16="http://schemas.microsoft.com/office/drawing/2014/main" id="{F337349F-EC21-40C4-9A24-9F326D972EDA}"/>
            </a:ext>
          </a:extLst>
        </xdr:cNvPr>
        <xdr:cNvSpPr txBox="1"/>
      </xdr:nvSpPr>
      <xdr:spPr>
        <a:xfrm>
          <a:off x="7886700" y="306324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42</xdr:col>
      <xdr:colOff>142875</xdr:colOff>
      <xdr:row>173</xdr:row>
      <xdr:rowOff>85725</xdr:rowOff>
    </xdr:from>
    <xdr:to>
      <xdr:col>43</xdr:col>
      <xdr:colOff>133350</xdr:colOff>
      <xdr:row>174</xdr:row>
      <xdr:rowOff>114300</xdr:rowOff>
    </xdr:to>
    <xdr:sp macro="" textlink="">
      <xdr:nvSpPr>
        <xdr:cNvPr id="8" name="テキスト ボックス 7">
          <a:extLst>
            <a:ext uri="{FF2B5EF4-FFF2-40B4-BE49-F238E27FC236}">
              <a16:creationId xmlns:a16="http://schemas.microsoft.com/office/drawing/2014/main" id="{6F817176-3C43-4A1E-8572-14DC2BFE2248}"/>
            </a:ext>
          </a:extLst>
        </xdr:cNvPr>
        <xdr:cNvSpPr txBox="1"/>
      </xdr:nvSpPr>
      <xdr:spPr>
        <a:xfrm>
          <a:off x="82010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44</xdr:col>
      <xdr:colOff>66675</xdr:colOff>
      <xdr:row>173</xdr:row>
      <xdr:rowOff>85725</xdr:rowOff>
    </xdr:from>
    <xdr:to>
      <xdr:col>45</xdr:col>
      <xdr:colOff>57150</xdr:colOff>
      <xdr:row>174</xdr:row>
      <xdr:rowOff>114300</xdr:rowOff>
    </xdr:to>
    <xdr:sp macro="" textlink="">
      <xdr:nvSpPr>
        <xdr:cNvPr id="9" name="テキスト ボックス 8">
          <a:extLst>
            <a:ext uri="{FF2B5EF4-FFF2-40B4-BE49-F238E27FC236}">
              <a16:creationId xmlns:a16="http://schemas.microsoft.com/office/drawing/2014/main" id="{D37580A8-D532-4869-A1DA-2C811FFFB18C}"/>
            </a:ext>
          </a:extLst>
        </xdr:cNvPr>
        <xdr:cNvSpPr txBox="1"/>
      </xdr:nvSpPr>
      <xdr:spPr>
        <a:xfrm>
          <a:off x="85058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41</xdr:col>
      <xdr:colOff>38100</xdr:colOff>
      <xdr:row>177</xdr:row>
      <xdr:rowOff>0</xdr:rowOff>
    </xdr:from>
    <xdr:to>
      <xdr:col>42</xdr:col>
      <xdr:colOff>28575</xdr:colOff>
      <xdr:row>178</xdr:row>
      <xdr:rowOff>28575</xdr:rowOff>
    </xdr:to>
    <xdr:sp macro="" textlink="">
      <xdr:nvSpPr>
        <xdr:cNvPr id="10" name="テキスト ボックス 9">
          <a:extLst>
            <a:ext uri="{FF2B5EF4-FFF2-40B4-BE49-F238E27FC236}">
              <a16:creationId xmlns:a16="http://schemas.microsoft.com/office/drawing/2014/main" id="{4D7A72D7-7ED5-4F16-A810-E08AA0252826}"/>
            </a:ext>
          </a:extLst>
        </xdr:cNvPr>
        <xdr:cNvSpPr txBox="1"/>
      </xdr:nvSpPr>
      <xdr:spPr>
        <a:xfrm>
          <a:off x="79057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42</xdr:col>
      <xdr:colOff>76200</xdr:colOff>
      <xdr:row>177</xdr:row>
      <xdr:rowOff>0</xdr:rowOff>
    </xdr:from>
    <xdr:to>
      <xdr:col>43</xdr:col>
      <xdr:colOff>66675</xdr:colOff>
      <xdr:row>178</xdr:row>
      <xdr:rowOff>28575</xdr:rowOff>
    </xdr:to>
    <xdr:sp macro="" textlink="">
      <xdr:nvSpPr>
        <xdr:cNvPr id="11" name="テキスト ボックス 10">
          <a:extLst>
            <a:ext uri="{FF2B5EF4-FFF2-40B4-BE49-F238E27FC236}">
              <a16:creationId xmlns:a16="http://schemas.microsoft.com/office/drawing/2014/main" id="{4025D17D-498F-457F-9653-AE8E7A1A3F26}"/>
            </a:ext>
          </a:extLst>
        </xdr:cNvPr>
        <xdr:cNvSpPr txBox="1"/>
      </xdr:nvSpPr>
      <xdr:spPr>
        <a:xfrm>
          <a:off x="81343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43</xdr:col>
      <xdr:colOff>171450</xdr:colOff>
      <xdr:row>177</xdr:row>
      <xdr:rowOff>0</xdr:rowOff>
    </xdr:from>
    <xdr:to>
      <xdr:col>44</xdr:col>
      <xdr:colOff>161925</xdr:colOff>
      <xdr:row>178</xdr:row>
      <xdr:rowOff>28575</xdr:rowOff>
    </xdr:to>
    <xdr:sp macro="" textlink="">
      <xdr:nvSpPr>
        <xdr:cNvPr id="12" name="テキスト ボックス 11">
          <a:extLst>
            <a:ext uri="{FF2B5EF4-FFF2-40B4-BE49-F238E27FC236}">
              <a16:creationId xmlns:a16="http://schemas.microsoft.com/office/drawing/2014/main" id="{75BAFD8D-0B9E-4C68-A441-4EB9268DC4E1}"/>
            </a:ext>
          </a:extLst>
        </xdr:cNvPr>
        <xdr:cNvSpPr txBox="1"/>
      </xdr:nvSpPr>
      <xdr:spPr>
        <a:xfrm>
          <a:off x="842010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editAs="oneCell">
    <xdr:from>
      <xdr:col>41</xdr:col>
      <xdr:colOff>180976</xdr:colOff>
      <xdr:row>141</xdr:row>
      <xdr:rowOff>0</xdr:rowOff>
    </xdr:from>
    <xdr:to>
      <xdr:col>52</xdr:col>
      <xdr:colOff>154432</xdr:colOff>
      <xdr:row>152</xdr:row>
      <xdr:rowOff>142875</xdr:rowOff>
    </xdr:to>
    <xdr:pic>
      <xdr:nvPicPr>
        <xdr:cNvPr id="13" name="図 12">
          <a:extLst>
            <a:ext uri="{FF2B5EF4-FFF2-40B4-BE49-F238E27FC236}">
              <a16:creationId xmlns:a16="http://schemas.microsoft.com/office/drawing/2014/main" id="{B0925A48-F599-82AC-CB27-47EACC8604E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48626" y="24717375"/>
          <a:ext cx="2068956"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1</xdr:colOff>
      <xdr:row>141</xdr:row>
      <xdr:rowOff>0</xdr:rowOff>
    </xdr:from>
    <xdr:to>
      <xdr:col>63</xdr:col>
      <xdr:colOff>133239</xdr:colOff>
      <xdr:row>152</xdr:row>
      <xdr:rowOff>142875</xdr:rowOff>
    </xdr:to>
    <xdr:pic>
      <xdr:nvPicPr>
        <xdr:cNvPr id="15" name="図 14">
          <a:extLst>
            <a:ext uri="{FF2B5EF4-FFF2-40B4-BE49-F238E27FC236}">
              <a16:creationId xmlns:a16="http://schemas.microsoft.com/office/drawing/2014/main" id="{3AD6C74F-A30D-DEB7-4618-41BD2BE865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53651" y="24717375"/>
          <a:ext cx="2038238"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36</xdr:col>
      <xdr:colOff>9525</xdr:colOff>
      <xdr:row>55</xdr:row>
      <xdr:rowOff>9525</xdr:rowOff>
    </xdr:from>
    <xdr:to>
      <xdr:col>40</xdr:col>
      <xdr:colOff>142875</xdr:colOff>
      <xdr:row>62</xdr:row>
      <xdr:rowOff>136525</xdr:rowOff>
    </xdr:to>
    <xdr:pic>
      <xdr:nvPicPr>
        <xdr:cNvPr id="14" name="図 13">
          <a:hlinkClick xmlns:r="http://schemas.openxmlformats.org/officeDocument/2006/relationships" r:id="rId4"/>
          <a:extLst>
            <a:ext uri="{FF2B5EF4-FFF2-40B4-BE49-F238E27FC236}">
              <a16:creationId xmlns:a16="http://schemas.microsoft.com/office/drawing/2014/main" id="{C567FC95-F773-4718-B214-2A2AFBCFC18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9829800"/>
          <a:ext cx="895350" cy="1193800"/>
        </a:xfrm>
        <a:prstGeom prst="ellipse">
          <a:avLst/>
        </a:prstGeom>
        <a:ln>
          <a:noFill/>
        </a:ln>
        <a:effectLst>
          <a:softEdge rad="112500"/>
        </a:effectLst>
      </xdr:spPr>
    </xdr:pic>
    <xdr:clientData fPrintsWithSheet="0"/>
  </xdr:twoCellAnchor>
  <xdr:twoCellAnchor editAs="oneCell">
    <xdr:from>
      <xdr:col>36</xdr:col>
      <xdr:colOff>9525</xdr:colOff>
      <xdr:row>97</xdr:row>
      <xdr:rowOff>9525</xdr:rowOff>
    </xdr:from>
    <xdr:to>
      <xdr:col>40</xdr:col>
      <xdr:colOff>142875</xdr:colOff>
      <xdr:row>103</xdr:row>
      <xdr:rowOff>117475</xdr:rowOff>
    </xdr:to>
    <xdr:pic>
      <xdr:nvPicPr>
        <xdr:cNvPr id="16" name="図 15">
          <a:hlinkClick xmlns:r="http://schemas.openxmlformats.org/officeDocument/2006/relationships" r:id="rId4"/>
          <a:extLst>
            <a:ext uri="{FF2B5EF4-FFF2-40B4-BE49-F238E27FC236}">
              <a16:creationId xmlns:a16="http://schemas.microsoft.com/office/drawing/2014/main" id="{F792971E-E101-42E7-9524-11AD38AE30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16649700"/>
          <a:ext cx="895350" cy="1193800"/>
        </a:xfrm>
        <a:prstGeom prst="ellipse">
          <a:avLst/>
        </a:prstGeom>
        <a:ln>
          <a:noFill/>
        </a:ln>
        <a:effectLst>
          <a:softEdge rad="112500"/>
        </a:effectLst>
      </xdr:spPr>
    </xdr:pic>
    <xdr:clientData fPrintsWithSheet="0"/>
  </xdr:twoCellAnchor>
  <xdr:twoCellAnchor editAs="oneCell">
    <xdr:from>
      <xdr:col>36</xdr:col>
      <xdr:colOff>9525</xdr:colOff>
      <xdr:row>139</xdr:row>
      <xdr:rowOff>9525</xdr:rowOff>
    </xdr:from>
    <xdr:to>
      <xdr:col>40</xdr:col>
      <xdr:colOff>142875</xdr:colOff>
      <xdr:row>145</xdr:row>
      <xdr:rowOff>98425</xdr:rowOff>
    </xdr:to>
    <xdr:pic>
      <xdr:nvPicPr>
        <xdr:cNvPr id="17" name="図 16">
          <a:hlinkClick xmlns:r="http://schemas.openxmlformats.org/officeDocument/2006/relationships" r:id="rId4"/>
          <a:extLst>
            <a:ext uri="{FF2B5EF4-FFF2-40B4-BE49-F238E27FC236}">
              <a16:creationId xmlns:a16="http://schemas.microsoft.com/office/drawing/2014/main" id="{9F56FE54-1626-4B1B-8789-E7C597CB7A7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24384000"/>
          <a:ext cx="895350" cy="1193800"/>
        </a:xfrm>
        <a:prstGeom prst="ellipse">
          <a:avLst/>
        </a:prstGeom>
        <a:ln>
          <a:noFill/>
        </a:ln>
        <a:effectLst>
          <a:softEdge rad="112500"/>
        </a:effectLst>
      </xdr:spPr>
    </xdr:pic>
    <xdr:clientData fPrintsWithSheet="0"/>
  </xdr:twoCellAnchor>
  <xdr:twoCellAnchor editAs="oneCell">
    <xdr:from>
      <xdr:col>36</xdr:col>
      <xdr:colOff>9525</xdr:colOff>
      <xdr:row>166</xdr:row>
      <xdr:rowOff>9525</xdr:rowOff>
    </xdr:from>
    <xdr:to>
      <xdr:col>40</xdr:col>
      <xdr:colOff>142875</xdr:colOff>
      <xdr:row>173</xdr:row>
      <xdr:rowOff>31750</xdr:rowOff>
    </xdr:to>
    <xdr:pic>
      <xdr:nvPicPr>
        <xdr:cNvPr id="18" name="図 17">
          <a:hlinkClick xmlns:r="http://schemas.openxmlformats.org/officeDocument/2006/relationships" r:id="rId4"/>
          <a:extLst>
            <a:ext uri="{FF2B5EF4-FFF2-40B4-BE49-F238E27FC236}">
              <a16:creationId xmlns:a16="http://schemas.microsoft.com/office/drawing/2014/main" id="{358A7F01-8E9D-48E5-BFED-5F73F7BE435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4675" y="29413200"/>
          <a:ext cx="895350" cy="1193800"/>
        </a:xfrm>
        <a:prstGeom prst="ellipse">
          <a:avLst/>
        </a:prstGeom>
        <a:ln>
          <a:noFill/>
        </a:ln>
        <a:effectLst>
          <a:softEdge rad="112500"/>
        </a:effectLst>
      </xdr:spPr>
    </xdr:pic>
    <xdr:clientData fPrintsWithSheet="0"/>
  </xdr:twoCellAnchor>
  <xdr:twoCellAnchor>
    <xdr:from>
      <xdr:col>50</xdr:col>
      <xdr:colOff>152400</xdr:colOff>
      <xdr:row>64</xdr:row>
      <xdr:rowOff>38100</xdr:rowOff>
    </xdr:from>
    <xdr:to>
      <xdr:col>52</xdr:col>
      <xdr:colOff>76200</xdr:colOff>
      <xdr:row>66</xdr:row>
      <xdr:rowOff>0</xdr:rowOff>
    </xdr:to>
    <xdr:grpSp>
      <xdr:nvGrpSpPr>
        <xdr:cNvPr id="25" name="グループ化 24">
          <a:extLst>
            <a:ext uri="{FF2B5EF4-FFF2-40B4-BE49-F238E27FC236}">
              <a16:creationId xmlns:a16="http://schemas.microsoft.com/office/drawing/2014/main" id="{8D80C401-6A76-481A-B4EA-65B105D826A4}"/>
            </a:ext>
          </a:extLst>
        </xdr:cNvPr>
        <xdr:cNvGrpSpPr/>
      </xdr:nvGrpSpPr>
      <xdr:grpSpPr>
        <a:xfrm>
          <a:off x="9734550" y="11268075"/>
          <a:ext cx="304800" cy="304800"/>
          <a:chOff x="8134350" y="11182350"/>
          <a:chExt cx="304800" cy="304800"/>
        </a:xfrm>
      </xdr:grpSpPr>
      <xdr:sp macro="" textlink="">
        <xdr:nvSpPr>
          <xdr:cNvPr id="26" name="楕円 25">
            <a:extLst>
              <a:ext uri="{FF2B5EF4-FFF2-40B4-BE49-F238E27FC236}">
                <a16:creationId xmlns:a16="http://schemas.microsoft.com/office/drawing/2014/main" id="{73936476-7AB9-A1C5-0350-89A96642B3E3}"/>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楕円 26">
            <a:extLst>
              <a:ext uri="{FF2B5EF4-FFF2-40B4-BE49-F238E27FC236}">
                <a16:creationId xmlns:a16="http://schemas.microsoft.com/office/drawing/2014/main" id="{17A46650-1F64-5E06-E4B8-81A6FF8E8B7E}"/>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40</xdr:col>
      <xdr:colOff>171450</xdr:colOff>
      <xdr:row>64</xdr:row>
      <xdr:rowOff>9525</xdr:rowOff>
    </xdr:from>
    <xdr:to>
      <xdr:col>47</xdr:col>
      <xdr:colOff>68925</xdr:colOff>
      <xdr:row>65</xdr:row>
      <xdr:rowOff>142875</xdr:rowOff>
    </xdr:to>
    <xdr:grpSp>
      <xdr:nvGrpSpPr>
        <xdr:cNvPr id="31" name="グループ化 30">
          <a:extLst>
            <a:ext uri="{FF2B5EF4-FFF2-40B4-BE49-F238E27FC236}">
              <a16:creationId xmlns:a16="http://schemas.microsoft.com/office/drawing/2014/main" id="{BF1E2545-638C-1436-BF18-4EB3C3C596D5}"/>
            </a:ext>
          </a:extLst>
        </xdr:cNvPr>
        <xdr:cNvGrpSpPr/>
      </xdr:nvGrpSpPr>
      <xdr:grpSpPr>
        <a:xfrm>
          <a:off x="7848600" y="11239500"/>
          <a:ext cx="1230975" cy="304800"/>
          <a:chOff x="7848600" y="11239500"/>
          <a:chExt cx="1230975" cy="304800"/>
        </a:xfrm>
      </xdr:grpSpPr>
      <xdr:grpSp>
        <xdr:nvGrpSpPr>
          <xdr:cNvPr id="24" name="グループ化 23">
            <a:extLst>
              <a:ext uri="{FF2B5EF4-FFF2-40B4-BE49-F238E27FC236}">
                <a16:creationId xmlns:a16="http://schemas.microsoft.com/office/drawing/2014/main" id="{C88DB7C6-B6EE-D0F9-7F3F-72F94ECB8EAD}"/>
              </a:ext>
            </a:extLst>
          </xdr:cNvPr>
          <xdr:cNvGrpSpPr/>
        </xdr:nvGrpSpPr>
        <xdr:grpSpPr>
          <a:xfrm>
            <a:off x="7848600" y="11239500"/>
            <a:ext cx="304800" cy="304800"/>
            <a:chOff x="8134350" y="11182350"/>
            <a:chExt cx="304800" cy="304800"/>
          </a:xfrm>
        </xdr:grpSpPr>
        <xdr:sp macro="" textlink="">
          <xdr:nvSpPr>
            <xdr:cNvPr id="20" name="楕円 19">
              <a:extLst>
                <a:ext uri="{FF2B5EF4-FFF2-40B4-BE49-F238E27FC236}">
                  <a16:creationId xmlns:a16="http://schemas.microsoft.com/office/drawing/2014/main" id="{E19DEEDB-5490-31CB-9811-CCD87C3B608D}"/>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A6BE9FBF-1860-12B3-6E15-F555A56FD898}"/>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23" name="正方形/長方形 22">
            <a:extLst>
              <a:ext uri="{FF2B5EF4-FFF2-40B4-BE49-F238E27FC236}">
                <a16:creationId xmlns:a16="http://schemas.microsoft.com/office/drawing/2014/main" id="{C7204B29-3DE4-514A-9BA7-0FE9D30116DB}"/>
              </a:ext>
            </a:extLst>
          </xdr:cNvPr>
          <xdr:cNvSpPr/>
        </xdr:nvSpPr>
        <xdr:spPr>
          <a:xfrm>
            <a:off x="8791575" y="112490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0" name="直線コネクタ 29">
            <a:extLst>
              <a:ext uri="{FF2B5EF4-FFF2-40B4-BE49-F238E27FC236}">
                <a16:creationId xmlns:a16="http://schemas.microsoft.com/office/drawing/2014/main" id="{253951AB-58FB-E601-FEDE-BC6717D45A1B}"/>
              </a:ext>
            </a:extLst>
          </xdr:cNvPr>
          <xdr:cNvCxnSpPr>
            <a:stCxn id="20" idx="6"/>
            <a:endCxn id="23" idx="1"/>
          </xdr:cNvCxnSpPr>
        </xdr:nvCxnSpPr>
        <xdr:spPr>
          <a:xfrm>
            <a:off x="8153400" y="11391900"/>
            <a:ext cx="638175" cy="112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41</xdr:col>
      <xdr:colOff>28575</xdr:colOff>
      <xdr:row>67</xdr:row>
      <xdr:rowOff>19050</xdr:rowOff>
    </xdr:from>
    <xdr:to>
      <xdr:col>47</xdr:col>
      <xdr:colOff>133350</xdr:colOff>
      <xdr:row>68</xdr:row>
      <xdr:rowOff>154650</xdr:rowOff>
    </xdr:to>
    <xdr:grpSp>
      <xdr:nvGrpSpPr>
        <xdr:cNvPr id="9291" name="グループ化 9290">
          <a:extLst>
            <a:ext uri="{FF2B5EF4-FFF2-40B4-BE49-F238E27FC236}">
              <a16:creationId xmlns:a16="http://schemas.microsoft.com/office/drawing/2014/main" id="{BCE4B250-2470-4E9D-83AE-D586169FC19F}"/>
            </a:ext>
          </a:extLst>
        </xdr:cNvPr>
        <xdr:cNvGrpSpPr/>
      </xdr:nvGrpSpPr>
      <xdr:grpSpPr>
        <a:xfrm>
          <a:off x="7896225" y="11763375"/>
          <a:ext cx="1247775" cy="307050"/>
          <a:chOff x="7896225" y="11763375"/>
          <a:chExt cx="1247775" cy="307050"/>
        </a:xfrm>
      </xdr:grpSpPr>
      <xdr:cxnSp macro="">
        <xdr:nvCxnSpPr>
          <xdr:cNvPr id="9221" name="直線コネクタ 9220">
            <a:extLst>
              <a:ext uri="{FF2B5EF4-FFF2-40B4-BE49-F238E27FC236}">
                <a16:creationId xmlns:a16="http://schemas.microsoft.com/office/drawing/2014/main" id="{1693868B-6449-4AF6-6463-13CB80291EDF}"/>
              </a:ext>
            </a:extLst>
          </xdr:cNvPr>
          <xdr:cNvCxnSpPr>
            <a:stCxn id="28" idx="3"/>
            <a:endCxn id="22" idx="2"/>
          </xdr:cNvCxnSpPr>
        </xdr:nvCxnSpPr>
        <xdr:spPr>
          <a:xfrm flipV="1">
            <a:off x="8184225" y="11915775"/>
            <a:ext cx="654975" cy="10650"/>
          </a:xfrm>
          <a:prstGeom prst="line">
            <a:avLst/>
          </a:prstGeom>
        </xdr:spPr>
        <xdr:style>
          <a:lnRef idx="1">
            <a:schemeClr val="dk1"/>
          </a:lnRef>
          <a:fillRef idx="0">
            <a:schemeClr val="dk1"/>
          </a:fillRef>
          <a:effectRef idx="0">
            <a:schemeClr val="dk1"/>
          </a:effectRef>
          <a:fontRef idx="minor">
            <a:schemeClr val="tx1"/>
          </a:fontRef>
        </xdr:style>
      </xdr:cxnSp>
      <xdr:grpSp>
        <xdr:nvGrpSpPr>
          <xdr:cNvPr id="9244" name="グループ化 9243">
            <a:extLst>
              <a:ext uri="{FF2B5EF4-FFF2-40B4-BE49-F238E27FC236}">
                <a16:creationId xmlns:a16="http://schemas.microsoft.com/office/drawing/2014/main" id="{BD37E0B9-4F41-BF27-858A-76BC7F4C7ED3}"/>
              </a:ext>
            </a:extLst>
          </xdr:cNvPr>
          <xdr:cNvGrpSpPr/>
        </xdr:nvGrpSpPr>
        <xdr:grpSpPr>
          <a:xfrm>
            <a:off x="7896225" y="11763375"/>
            <a:ext cx="1247775" cy="307050"/>
            <a:chOff x="7896225" y="11763375"/>
            <a:chExt cx="1247775" cy="307050"/>
          </a:xfrm>
        </xdr:grpSpPr>
        <xdr:sp macro="" textlink="">
          <xdr:nvSpPr>
            <xdr:cNvPr id="22" name="楕円 21">
              <a:extLst>
                <a:ext uri="{FF2B5EF4-FFF2-40B4-BE49-F238E27FC236}">
                  <a16:creationId xmlns:a16="http://schemas.microsoft.com/office/drawing/2014/main" id="{B8A67814-E00F-46B4-BB3D-FE71EB42569C}"/>
                </a:ext>
              </a:extLst>
            </xdr:cNvPr>
            <xdr:cNvSpPr/>
          </xdr:nvSpPr>
          <xdr:spPr>
            <a:xfrm>
              <a:off x="8839200" y="11763375"/>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正方形/長方形 27">
              <a:extLst>
                <a:ext uri="{FF2B5EF4-FFF2-40B4-BE49-F238E27FC236}">
                  <a16:creationId xmlns:a16="http://schemas.microsoft.com/office/drawing/2014/main" id="{F6DB815D-C2CF-4EE7-B9EE-F044B270F2C4}"/>
                </a:ext>
              </a:extLst>
            </xdr:cNvPr>
            <xdr:cNvSpPr/>
          </xdr:nvSpPr>
          <xdr:spPr>
            <a:xfrm>
              <a:off x="7896225" y="117824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22" name="正方形/長方形 9221">
              <a:extLst>
                <a:ext uri="{FF2B5EF4-FFF2-40B4-BE49-F238E27FC236}">
                  <a16:creationId xmlns:a16="http://schemas.microsoft.com/office/drawing/2014/main" id="{9D8DA069-8499-4023-8AC1-ABE3ACE82DF5}"/>
                </a:ext>
              </a:extLst>
            </xdr:cNvPr>
            <xdr:cNvSpPr/>
          </xdr:nvSpPr>
          <xdr:spPr>
            <a:xfrm>
              <a:off x="7962900" y="1184910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50</xdr:col>
      <xdr:colOff>180975</xdr:colOff>
      <xdr:row>67</xdr:row>
      <xdr:rowOff>38100</xdr:rowOff>
    </xdr:from>
    <xdr:to>
      <xdr:col>52</xdr:col>
      <xdr:colOff>104775</xdr:colOff>
      <xdr:row>69</xdr:row>
      <xdr:rowOff>0</xdr:rowOff>
    </xdr:to>
    <xdr:sp macro="" textlink="">
      <xdr:nvSpPr>
        <xdr:cNvPr id="9246" name="楕円 9245">
          <a:extLst>
            <a:ext uri="{FF2B5EF4-FFF2-40B4-BE49-F238E27FC236}">
              <a16:creationId xmlns:a16="http://schemas.microsoft.com/office/drawing/2014/main" id="{B4E424F6-4749-797C-3DBF-527636D4286F}"/>
            </a:ext>
          </a:extLst>
        </xdr:cNvPr>
        <xdr:cNvSpPr/>
      </xdr:nvSpPr>
      <xdr:spPr>
        <a:xfrm>
          <a:off x="9763125" y="11782425"/>
          <a:ext cx="304800" cy="304800"/>
        </a:xfrm>
        <a:prstGeom prst="ellipse">
          <a:avLst/>
        </a:prstGeom>
        <a:solidFill>
          <a:schemeClr val="tx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114300</xdr:colOff>
      <xdr:row>67</xdr:row>
      <xdr:rowOff>38100</xdr:rowOff>
    </xdr:from>
    <xdr:to>
      <xdr:col>55</xdr:col>
      <xdr:colOff>21300</xdr:colOff>
      <xdr:row>68</xdr:row>
      <xdr:rowOff>154650</xdr:rowOff>
    </xdr:to>
    <xdr:sp macro="" textlink="">
      <xdr:nvSpPr>
        <xdr:cNvPr id="9250" name="正方形/長方形 9249">
          <a:extLst>
            <a:ext uri="{FF2B5EF4-FFF2-40B4-BE49-F238E27FC236}">
              <a16:creationId xmlns:a16="http://schemas.microsoft.com/office/drawing/2014/main" id="{6840E38B-77D6-0386-810B-E91C90BF7B6D}"/>
            </a:ext>
          </a:extLst>
        </xdr:cNvPr>
        <xdr:cNvSpPr/>
      </xdr:nvSpPr>
      <xdr:spPr>
        <a:xfrm>
          <a:off x="10267950" y="11782425"/>
          <a:ext cx="288000" cy="288000"/>
        </a:xfrm>
        <a:prstGeom prst="rect">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9525</xdr:colOff>
      <xdr:row>70</xdr:row>
      <xdr:rowOff>47625</xdr:rowOff>
    </xdr:from>
    <xdr:to>
      <xdr:col>52</xdr:col>
      <xdr:colOff>123825</xdr:colOff>
      <xdr:row>72</xdr:row>
      <xdr:rowOff>9525</xdr:rowOff>
    </xdr:to>
    <xdr:sp macro="" textlink="">
      <xdr:nvSpPr>
        <xdr:cNvPr id="9288" name="楕円 9287">
          <a:extLst>
            <a:ext uri="{FF2B5EF4-FFF2-40B4-BE49-F238E27FC236}">
              <a16:creationId xmlns:a16="http://schemas.microsoft.com/office/drawing/2014/main" id="{9B3A4439-A36A-277B-598E-10256B05F78A}"/>
            </a:ext>
          </a:extLst>
        </xdr:cNvPr>
        <xdr:cNvSpPr/>
      </xdr:nvSpPr>
      <xdr:spPr>
        <a:xfrm>
          <a:off x="9782175" y="123063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66675</xdr:colOff>
      <xdr:row>64</xdr:row>
      <xdr:rowOff>28575</xdr:rowOff>
    </xdr:from>
    <xdr:to>
      <xdr:col>54</xdr:col>
      <xdr:colOff>164175</xdr:colOff>
      <xdr:row>65</xdr:row>
      <xdr:rowOff>145125</xdr:rowOff>
    </xdr:to>
    <xdr:grpSp>
      <xdr:nvGrpSpPr>
        <xdr:cNvPr id="9292" name="グループ化 9291">
          <a:extLst>
            <a:ext uri="{FF2B5EF4-FFF2-40B4-BE49-F238E27FC236}">
              <a16:creationId xmlns:a16="http://schemas.microsoft.com/office/drawing/2014/main" id="{CDEB5960-A690-E802-E183-E71155480F1C}"/>
            </a:ext>
          </a:extLst>
        </xdr:cNvPr>
        <xdr:cNvGrpSpPr/>
      </xdr:nvGrpSpPr>
      <xdr:grpSpPr>
        <a:xfrm>
          <a:off x="10220325" y="11258550"/>
          <a:ext cx="288000" cy="288000"/>
          <a:chOff x="8820150" y="13363575"/>
          <a:chExt cx="288000" cy="288000"/>
        </a:xfrm>
      </xdr:grpSpPr>
      <xdr:sp macro="" textlink="">
        <xdr:nvSpPr>
          <xdr:cNvPr id="9289" name="正方形/長方形 9288">
            <a:extLst>
              <a:ext uri="{FF2B5EF4-FFF2-40B4-BE49-F238E27FC236}">
                <a16:creationId xmlns:a16="http://schemas.microsoft.com/office/drawing/2014/main" id="{75E8C42D-8472-B096-D981-2D2B2DF59C63}"/>
              </a:ext>
            </a:extLst>
          </xdr:cNvPr>
          <xdr:cNvSpPr/>
        </xdr:nvSpPr>
        <xdr:spPr>
          <a:xfrm>
            <a:off x="8820150" y="133635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290" name="正方形/長方形 9289">
            <a:extLst>
              <a:ext uri="{FF2B5EF4-FFF2-40B4-BE49-F238E27FC236}">
                <a16:creationId xmlns:a16="http://schemas.microsoft.com/office/drawing/2014/main" id="{09050289-5085-CEF9-7F25-62BA1CC78CB6}"/>
              </a:ext>
            </a:extLst>
          </xdr:cNvPr>
          <xdr:cNvSpPr/>
        </xdr:nvSpPr>
        <xdr:spPr>
          <a:xfrm>
            <a:off x="8886825" y="1343025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53</xdr:col>
      <xdr:colOff>171450</xdr:colOff>
      <xdr:row>70</xdr:row>
      <xdr:rowOff>38100</xdr:rowOff>
    </xdr:from>
    <xdr:to>
      <xdr:col>55</xdr:col>
      <xdr:colOff>78450</xdr:colOff>
      <xdr:row>71</xdr:row>
      <xdr:rowOff>154650</xdr:rowOff>
    </xdr:to>
    <xdr:sp macro="" textlink="">
      <xdr:nvSpPr>
        <xdr:cNvPr id="9294" name="正方形/長方形 9293">
          <a:extLst>
            <a:ext uri="{FF2B5EF4-FFF2-40B4-BE49-F238E27FC236}">
              <a16:creationId xmlns:a16="http://schemas.microsoft.com/office/drawing/2014/main" id="{26ABB899-E3BB-B9A4-58EB-7C11C6537080}"/>
            </a:ext>
          </a:extLst>
        </xdr:cNvPr>
        <xdr:cNvSpPr/>
      </xdr:nvSpPr>
      <xdr:spPr>
        <a:xfrm>
          <a:off x="10325100" y="122967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85725</xdr:colOff>
      <xdr:row>63</xdr:row>
      <xdr:rowOff>142875</xdr:rowOff>
    </xdr:from>
    <xdr:to>
      <xdr:col>64</xdr:col>
      <xdr:colOff>47625</xdr:colOff>
      <xdr:row>65</xdr:row>
      <xdr:rowOff>107025</xdr:rowOff>
    </xdr:to>
    <xdr:grpSp>
      <xdr:nvGrpSpPr>
        <xdr:cNvPr id="9301" name="グループ化 9300">
          <a:extLst>
            <a:ext uri="{FF2B5EF4-FFF2-40B4-BE49-F238E27FC236}">
              <a16:creationId xmlns:a16="http://schemas.microsoft.com/office/drawing/2014/main" id="{9CE78CF4-5965-2D29-05DA-CE5E7798AF08}"/>
            </a:ext>
          </a:extLst>
        </xdr:cNvPr>
        <xdr:cNvGrpSpPr/>
      </xdr:nvGrpSpPr>
      <xdr:grpSpPr>
        <a:xfrm>
          <a:off x="11191875" y="11201400"/>
          <a:ext cx="1104900" cy="307050"/>
          <a:chOff x="11191875" y="11201400"/>
          <a:chExt cx="1104900" cy="307050"/>
        </a:xfrm>
      </xdr:grpSpPr>
      <xdr:cxnSp macro="">
        <xdr:nvCxnSpPr>
          <xdr:cNvPr id="9297" name="直線コネクタ 9296">
            <a:extLst>
              <a:ext uri="{FF2B5EF4-FFF2-40B4-BE49-F238E27FC236}">
                <a16:creationId xmlns:a16="http://schemas.microsoft.com/office/drawing/2014/main" id="{0BB26388-9714-8DCE-474A-D50DA547F2FB}"/>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299" name="正方形/長方形 9298">
            <a:extLst>
              <a:ext uri="{FF2B5EF4-FFF2-40B4-BE49-F238E27FC236}">
                <a16:creationId xmlns:a16="http://schemas.microsoft.com/office/drawing/2014/main" id="{109E9E18-9CF4-44F7-BB8E-E2C0EAD7D7C2}"/>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0" name="楕円 9299">
            <a:extLst>
              <a:ext uri="{FF2B5EF4-FFF2-40B4-BE49-F238E27FC236}">
                <a16:creationId xmlns:a16="http://schemas.microsoft.com/office/drawing/2014/main" id="{B596575A-817C-4F65-BA74-9FD6EDFA321D}"/>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58</xdr:col>
      <xdr:colOff>85725</xdr:colOff>
      <xdr:row>67</xdr:row>
      <xdr:rowOff>9525</xdr:rowOff>
    </xdr:from>
    <xdr:to>
      <xdr:col>64</xdr:col>
      <xdr:colOff>47625</xdr:colOff>
      <xdr:row>68</xdr:row>
      <xdr:rowOff>145125</xdr:rowOff>
    </xdr:to>
    <xdr:grpSp>
      <xdr:nvGrpSpPr>
        <xdr:cNvPr id="9302" name="グループ化 9301">
          <a:extLst>
            <a:ext uri="{FF2B5EF4-FFF2-40B4-BE49-F238E27FC236}">
              <a16:creationId xmlns:a16="http://schemas.microsoft.com/office/drawing/2014/main" id="{329A838F-A757-44BF-8DE4-A9888DDB2F00}"/>
            </a:ext>
          </a:extLst>
        </xdr:cNvPr>
        <xdr:cNvGrpSpPr/>
      </xdr:nvGrpSpPr>
      <xdr:grpSpPr>
        <a:xfrm flipH="1">
          <a:off x="11191875" y="11753850"/>
          <a:ext cx="1104900" cy="307050"/>
          <a:chOff x="11191875" y="11201400"/>
          <a:chExt cx="1104900" cy="307050"/>
        </a:xfrm>
      </xdr:grpSpPr>
      <xdr:cxnSp macro="">
        <xdr:nvCxnSpPr>
          <xdr:cNvPr id="9303" name="直線コネクタ 9302">
            <a:extLst>
              <a:ext uri="{FF2B5EF4-FFF2-40B4-BE49-F238E27FC236}">
                <a16:creationId xmlns:a16="http://schemas.microsoft.com/office/drawing/2014/main" id="{A7A4EB0A-127C-0DE9-F47D-1BBC0F8F4D93}"/>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04" name="正方形/長方形 9303">
            <a:extLst>
              <a:ext uri="{FF2B5EF4-FFF2-40B4-BE49-F238E27FC236}">
                <a16:creationId xmlns:a16="http://schemas.microsoft.com/office/drawing/2014/main" id="{05773ACF-0DD2-AE00-145A-D462E0C39E77}"/>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05" name="楕円 9304">
            <a:extLst>
              <a:ext uri="{FF2B5EF4-FFF2-40B4-BE49-F238E27FC236}">
                <a16:creationId xmlns:a16="http://schemas.microsoft.com/office/drawing/2014/main" id="{ECF5940E-7106-B29D-7651-C6C4E0B6586D}"/>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41</xdr:col>
      <xdr:colOff>161925</xdr:colOff>
      <xdr:row>70</xdr:row>
      <xdr:rowOff>38100</xdr:rowOff>
    </xdr:from>
    <xdr:to>
      <xdr:col>46</xdr:col>
      <xdr:colOff>171450</xdr:colOff>
      <xdr:row>70</xdr:row>
      <xdr:rowOff>38100</xdr:rowOff>
    </xdr:to>
    <xdr:cxnSp macro="">
      <xdr:nvCxnSpPr>
        <xdr:cNvPr id="9323" name="直線コネクタ 9322">
          <a:extLst>
            <a:ext uri="{FF2B5EF4-FFF2-40B4-BE49-F238E27FC236}">
              <a16:creationId xmlns:a16="http://schemas.microsoft.com/office/drawing/2014/main" id="{818E93C8-3899-3950-26AA-4226273F30F6}"/>
            </a:ext>
          </a:extLst>
        </xdr:cNvPr>
        <xdr:cNvCxnSpPr/>
      </xdr:nvCxnSpPr>
      <xdr:spPr>
        <a:xfrm>
          <a:off x="8029575" y="12296775"/>
          <a:ext cx="9620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76200</xdr:colOff>
      <xdr:row>67</xdr:row>
      <xdr:rowOff>133350</xdr:rowOff>
    </xdr:from>
    <xdr:to>
      <xdr:col>39</xdr:col>
      <xdr:colOff>76200</xdr:colOff>
      <xdr:row>70</xdr:row>
      <xdr:rowOff>161925</xdr:rowOff>
    </xdr:to>
    <xdr:cxnSp macro="">
      <xdr:nvCxnSpPr>
        <xdr:cNvPr id="9325" name="直線コネクタ 9324">
          <a:extLst>
            <a:ext uri="{FF2B5EF4-FFF2-40B4-BE49-F238E27FC236}">
              <a16:creationId xmlns:a16="http://schemas.microsoft.com/office/drawing/2014/main" id="{25CBE80E-5C33-1A32-CFB5-A0AC158E087C}"/>
            </a:ext>
          </a:extLst>
        </xdr:cNvPr>
        <xdr:cNvCxnSpPr/>
      </xdr:nvCxnSpPr>
      <xdr:spPr>
        <a:xfrm>
          <a:off x="7562850" y="11877675"/>
          <a:ext cx="0" cy="542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37</xdr:col>
      <xdr:colOff>109575</xdr:colOff>
      <xdr:row>0</xdr:row>
      <xdr:rowOff>9525</xdr:rowOff>
    </xdr:from>
    <xdr:to>
      <xdr:col>42</xdr:col>
      <xdr:colOff>52425</xdr:colOff>
      <xdr:row>6</xdr:row>
      <xdr:rowOff>174625</xdr:rowOff>
    </xdr:to>
    <xdr:pic>
      <xdr:nvPicPr>
        <xdr:cNvPr id="29" name="図 28">
          <a:hlinkClick xmlns:r="http://schemas.openxmlformats.org/officeDocument/2006/relationships" r:id="rId4"/>
          <a:extLst>
            <a:ext uri="{FF2B5EF4-FFF2-40B4-BE49-F238E27FC236}">
              <a16:creationId xmlns:a16="http://schemas.microsoft.com/office/drawing/2014/main" id="{1E418B87-E754-486E-8DB1-ADFD2E9DFFF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215225" y="9525"/>
          <a:ext cx="895350" cy="1193800"/>
        </a:xfrm>
        <a:prstGeom prst="ellipse">
          <a:avLst/>
        </a:prstGeom>
        <a:ln>
          <a:noFill/>
        </a:ln>
        <a:effectLst>
          <a:softEdge rad="112500"/>
        </a:effectLst>
      </xdr:spPr>
    </xdr:pic>
    <xdr:clientData fPrintsWithSheet="0"/>
  </xdr:twoCellAnchor>
  <xdr:twoCellAnchor>
    <xdr:from>
      <xdr:col>37</xdr:col>
      <xdr:colOff>19050</xdr:colOff>
      <xdr:row>10</xdr:row>
      <xdr:rowOff>171449</xdr:rowOff>
    </xdr:from>
    <xdr:to>
      <xdr:col>42</xdr:col>
      <xdr:colOff>142950</xdr:colOff>
      <xdr:row>13</xdr:row>
      <xdr:rowOff>27749</xdr:rowOff>
    </xdr:to>
    <xdr:sp macro="[0]!A4両面印刷" textlink="">
      <xdr:nvSpPr>
        <xdr:cNvPr id="9216" name="正方形/長方形 9215">
          <a:extLst>
            <a:ext uri="{FF2B5EF4-FFF2-40B4-BE49-F238E27FC236}">
              <a16:creationId xmlns:a16="http://schemas.microsoft.com/office/drawing/2014/main" id="{422ED994-1E77-4900-89D2-30109559D7FD}"/>
            </a:ext>
          </a:extLst>
        </xdr:cNvPr>
        <xdr:cNvSpPr/>
      </xdr:nvSpPr>
      <xdr:spPr>
        <a:xfrm>
          <a:off x="7124700" y="190499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37</xdr:col>
      <xdr:colOff>19087</xdr:colOff>
      <xdr:row>6</xdr:row>
      <xdr:rowOff>200025</xdr:rowOff>
    </xdr:from>
    <xdr:to>
      <xdr:col>42</xdr:col>
      <xdr:colOff>142913</xdr:colOff>
      <xdr:row>10</xdr:row>
      <xdr:rowOff>0</xdr:rowOff>
    </xdr:to>
    <xdr:sp macro="" textlink="">
      <xdr:nvSpPr>
        <xdr:cNvPr id="9245" name="正方形/長方形 9244">
          <a:hlinkClick xmlns:r="http://schemas.openxmlformats.org/officeDocument/2006/relationships" r:id="rId6"/>
          <a:extLst>
            <a:ext uri="{FF2B5EF4-FFF2-40B4-BE49-F238E27FC236}">
              <a16:creationId xmlns:a16="http://schemas.microsoft.com/office/drawing/2014/main" id="{5DD95217-BB71-4A2E-9C5F-0102ADC4E82E}"/>
            </a:ext>
          </a:extLst>
        </xdr:cNvPr>
        <xdr:cNvSpPr/>
      </xdr:nvSpPr>
      <xdr:spPr>
        <a:xfrm>
          <a:off x="7124737" y="12287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7</xdr:col>
      <xdr:colOff>180975</xdr:colOff>
      <xdr:row>196</xdr:row>
      <xdr:rowOff>133350</xdr:rowOff>
    </xdr:from>
    <xdr:to>
      <xdr:col>36</xdr:col>
      <xdr:colOff>9525</xdr:colOff>
      <xdr:row>220</xdr:row>
      <xdr:rowOff>152400</xdr:rowOff>
    </xdr:to>
    <xdr:sp macro="" textlink="">
      <xdr:nvSpPr>
        <xdr:cNvPr id="4" name="正方形/長方形 3">
          <a:extLst>
            <a:ext uri="{FF2B5EF4-FFF2-40B4-BE49-F238E27FC236}">
              <a16:creationId xmlns:a16="http://schemas.microsoft.com/office/drawing/2014/main" id="{C14EFBCE-4684-149E-D05D-6836FC387D34}"/>
            </a:ext>
          </a:extLst>
        </xdr:cNvPr>
        <xdr:cNvSpPr/>
      </xdr:nvSpPr>
      <xdr:spPr>
        <a:xfrm>
          <a:off x="1571625" y="34337625"/>
          <a:ext cx="5353050" cy="354330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15</xdr:col>
      <xdr:colOff>180975</xdr:colOff>
      <xdr:row>58</xdr:row>
      <xdr:rowOff>161925</xdr:rowOff>
    </xdr:from>
    <xdr:to>
      <xdr:col>35</xdr:col>
      <xdr:colOff>180975</xdr:colOff>
      <xdr:row>73</xdr:row>
      <xdr:rowOff>9525</xdr:rowOff>
    </xdr:to>
    <xdr:sp macro="" textlink="">
      <xdr:nvSpPr>
        <xdr:cNvPr id="19" name="正方形/長方形 18">
          <a:extLst>
            <a:ext uri="{FF2B5EF4-FFF2-40B4-BE49-F238E27FC236}">
              <a16:creationId xmlns:a16="http://schemas.microsoft.com/office/drawing/2014/main" id="{54B387EF-8CD8-42AE-A998-92B2FE63AE23}"/>
            </a:ext>
          </a:extLst>
        </xdr:cNvPr>
        <xdr:cNvSpPr/>
      </xdr:nvSpPr>
      <xdr:spPr>
        <a:xfrm>
          <a:off x="3143250" y="10439400"/>
          <a:ext cx="3762375" cy="234315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12</xdr:col>
      <xdr:colOff>180975</xdr:colOff>
      <xdr:row>48</xdr:row>
      <xdr:rowOff>38100</xdr:rowOff>
    </xdr:from>
    <xdr:to>
      <xdr:col>36</xdr:col>
      <xdr:colOff>9525</xdr:colOff>
      <xdr:row>53</xdr:row>
      <xdr:rowOff>9525</xdr:rowOff>
    </xdr:to>
    <xdr:sp macro="" textlink="">
      <xdr:nvSpPr>
        <xdr:cNvPr id="9247" name="正方形/長方形 9246">
          <a:extLst>
            <a:ext uri="{FF2B5EF4-FFF2-40B4-BE49-F238E27FC236}">
              <a16:creationId xmlns:a16="http://schemas.microsoft.com/office/drawing/2014/main" id="{568A66CD-2989-436F-8E0D-D3C612714FEC}"/>
            </a:ext>
          </a:extLst>
        </xdr:cNvPr>
        <xdr:cNvSpPr/>
      </xdr:nvSpPr>
      <xdr:spPr>
        <a:xfrm>
          <a:off x="2524125" y="8743950"/>
          <a:ext cx="4400550" cy="70485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228600</xdr:colOff>
      <xdr:row>42</xdr:row>
      <xdr:rowOff>0</xdr:rowOff>
    </xdr:from>
    <xdr:to>
      <xdr:col>36</xdr:col>
      <xdr:colOff>9525</xdr:colOff>
      <xdr:row>47</xdr:row>
      <xdr:rowOff>161925</xdr:rowOff>
    </xdr:to>
    <xdr:sp macro="" textlink="">
      <xdr:nvSpPr>
        <xdr:cNvPr id="9248" name="正方形/長方形 9247">
          <a:extLst>
            <a:ext uri="{FF2B5EF4-FFF2-40B4-BE49-F238E27FC236}">
              <a16:creationId xmlns:a16="http://schemas.microsoft.com/office/drawing/2014/main" id="{62CF2321-8BC2-42D3-9717-A994FFF73BDC}"/>
            </a:ext>
          </a:extLst>
        </xdr:cNvPr>
        <xdr:cNvSpPr/>
      </xdr:nvSpPr>
      <xdr:spPr>
        <a:xfrm>
          <a:off x="990600" y="7677150"/>
          <a:ext cx="5934075" cy="1019175"/>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228600</xdr:colOff>
      <xdr:row>13</xdr:row>
      <xdr:rowOff>0</xdr:rowOff>
    </xdr:from>
    <xdr:to>
      <xdr:col>36</xdr:col>
      <xdr:colOff>9525</xdr:colOff>
      <xdr:row>20</xdr:row>
      <xdr:rowOff>0</xdr:rowOff>
    </xdr:to>
    <xdr:sp macro="" textlink="">
      <xdr:nvSpPr>
        <xdr:cNvPr id="9249" name="正方形/長方形 9248">
          <a:extLst>
            <a:ext uri="{FF2B5EF4-FFF2-40B4-BE49-F238E27FC236}">
              <a16:creationId xmlns:a16="http://schemas.microsoft.com/office/drawing/2014/main" id="{5C199656-754F-417A-AC48-8B86DF71E435}"/>
            </a:ext>
          </a:extLst>
        </xdr:cNvPr>
        <xdr:cNvSpPr/>
      </xdr:nvSpPr>
      <xdr:spPr>
        <a:xfrm>
          <a:off x="990600" y="2381250"/>
          <a:ext cx="5934075" cy="1333500"/>
        </a:xfrm>
        <a:prstGeom prst="rect">
          <a:avLst/>
        </a:prstGeom>
        <a:noFill/>
        <a:ln w="28575">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41</xdr:col>
      <xdr:colOff>171450</xdr:colOff>
      <xdr:row>70</xdr:row>
      <xdr:rowOff>152400</xdr:rowOff>
    </xdr:from>
    <xdr:to>
      <xdr:col>46</xdr:col>
      <xdr:colOff>180975</xdr:colOff>
      <xdr:row>74</xdr:row>
      <xdr:rowOff>38100</xdr:rowOff>
    </xdr:to>
    <xdr:grpSp>
      <xdr:nvGrpSpPr>
        <xdr:cNvPr id="9251" name="グループ化 9250">
          <a:extLst>
            <a:ext uri="{FF2B5EF4-FFF2-40B4-BE49-F238E27FC236}">
              <a16:creationId xmlns:a16="http://schemas.microsoft.com/office/drawing/2014/main" id="{8D63D0FA-9140-451D-80ED-D3EE5702E4A8}"/>
            </a:ext>
          </a:extLst>
        </xdr:cNvPr>
        <xdr:cNvGrpSpPr/>
      </xdr:nvGrpSpPr>
      <xdr:grpSpPr>
        <a:xfrm>
          <a:off x="8039100" y="12411075"/>
          <a:ext cx="962025" cy="533400"/>
          <a:chOff x="8010525" y="11525250"/>
          <a:chExt cx="962025" cy="533400"/>
        </a:xfrm>
      </xdr:grpSpPr>
      <xdr:grpSp>
        <xdr:nvGrpSpPr>
          <xdr:cNvPr id="9271" name="グループ化 9270">
            <a:extLst>
              <a:ext uri="{FF2B5EF4-FFF2-40B4-BE49-F238E27FC236}">
                <a16:creationId xmlns:a16="http://schemas.microsoft.com/office/drawing/2014/main" id="{06D75378-9BEC-B2E8-5565-25233DD8FDAC}"/>
              </a:ext>
            </a:extLst>
          </xdr:cNvPr>
          <xdr:cNvGrpSpPr/>
        </xdr:nvGrpSpPr>
        <xdr:grpSpPr>
          <a:xfrm>
            <a:off x="8010525" y="11791950"/>
            <a:ext cx="962025" cy="266700"/>
            <a:chOff x="8010525" y="11791950"/>
            <a:chExt cx="962025" cy="266700"/>
          </a:xfrm>
        </xdr:grpSpPr>
        <xdr:cxnSp macro="">
          <xdr:nvCxnSpPr>
            <xdr:cNvPr id="9286" name="直線コネクタ 9285">
              <a:extLst>
                <a:ext uri="{FF2B5EF4-FFF2-40B4-BE49-F238E27FC236}">
                  <a16:creationId xmlns:a16="http://schemas.microsoft.com/office/drawing/2014/main" id="{22A5C049-B9E3-B7E1-FB72-BFEA60EA48A9}"/>
                </a:ext>
              </a:extLst>
            </xdr:cNvPr>
            <xdr:cNvCxnSpPr/>
          </xdr:nvCxnSpPr>
          <xdr:spPr>
            <a:xfrm>
              <a:off x="8010525" y="11791950"/>
              <a:ext cx="0" cy="26670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287" name="直線コネクタ 9286">
              <a:extLst>
                <a:ext uri="{FF2B5EF4-FFF2-40B4-BE49-F238E27FC236}">
                  <a16:creationId xmlns:a16="http://schemas.microsoft.com/office/drawing/2014/main" id="{79A0E9DA-95AB-FA8A-15F5-F842C6D6497D}"/>
                </a:ext>
              </a:extLst>
            </xdr:cNvPr>
            <xdr:cNvCxnSpPr/>
          </xdr:nvCxnSpPr>
          <xdr:spPr>
            <a:xfrm>
              <a:off x="8010525" y="11791950"/>
              <a:ext cx="96202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293" name="直線コネクタ 9292">
              <a:extLst>
                <a:ext uri="{FF2B5EF4-FFF2-40B4-BE49-F238E27FC236}">
                  <a16:creationId xmlns:a16="http://schemas.microsoft.com/office/drawing/2014/main" id="{17253DF8-5173-6F86-D3D1-EE6E2C38955C}"/>
                </a:ext>
              </a:extLst>
            </xdr:cNvPr>
            <xdr:cNvCxnSpPr/>
          </xdr:nvCxnSpPr>
          <xdr:spPr>
            <a:xfrm>
              <a:off x="8972550" y="11791950"/>
              <a:ext cx="0" cy="266700"/>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9273" name="直線コネクタ 9272">
            <a:extLst>
              <a:ext uri="{FF2B5EF4-FFF2-40B4-BE49-F238E27FC236}">
                <a16:creationId xmlns:a16="http://schemas.microsoft.com/office/drawing/2014/main" id="{A6735E2F-F833-43DE-B83D-605954583E89}"/>
              </a:ext>
            </a:extLst>
          </xdr:cNvPr>
          <xdr:cNvCxnSpPr/>
        </xdr:nvCxnSpPr>
        <xdr:spPr>
          <a:xfrm>
            <a:off x="8491537" y="11525250"/>
            <a:ext cx="0" cy="25717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40</xdr:col>
      <xdr:colOff>0</xdr:colOff>
      <xdr:row>69</xdr:row>
      <xdr:rowOff>0</xdr:rowOff>
    </xdr:from>
    <xdr:to>
      <xdr:col>40</xdr:col>
      <xdr:colOff>0</xdr:colOff>
      <xdr:row>70</xdr:row>
      <xdr:rowOff>85725</xdr:rowOff>
    </xdr:to>
    <xdr:cxnSp macro="">
      <xdr:nvCxnSpPr>
        <xdr:cNvPr id="9295" name="直線コネクタ 9294">
          <a:extLst>
            <a:ext uri="{FF2B5EF4-FFF2-40B4-BE49-F238E27FC236}">
              <a16:creationId xmlns:a16="http://schemas.microsoft.com/office/drawing/2014/main" id="{AD488E88-2A6C-4345-8F74-488FB2998A79}"/>
            </a:ext>
          </a:extLst>
        </xdr:cNvPr>
        <xdr:cNvCxnSpPr/>
      </xdr:nvCxnSpPr>
      <xdr:spPr>
        <a:xfrm>
          <a:off x="7677150" y="12087225"/>
          <a:ext cx="0" cy="2571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0</xdr:colOff>
      <xdr:row>71</xdr:row>
      <xdr:rowOff>47625</xdr:rowOff>
    </xdr:from>
    <xdr:to>
      <xdr:col>48</xdr:col>
      <xdr:colOff>38100</xdr:colOff>
      <xdr:row>71</xdr:row>
      <xdr:rowOff>47625</xdr:rowOff>
    </xdr:to>
    <xdr:cxnSp macro="">
      <xdr:nvCxnSpPr>
        <xdr:cNvPr id="9296" name="直線コネクタ 9295">
          <a:extLst>
            <a:ext uri="{FF2B5EF4-FFF2-40B4-BE49-F238E27FC236}">
              <a16:creationId xmlns:a16="http://schemas.microsoft.com/office/drawing/2014/main" id="{224FD7CF-9495-4A8C-A75E-6315F07FF3BB}"/>
            </a:ext>
          </a:extLst>
        </xdr:cNvPr>
        <xdr:cNvCxnSpPr/>
      </xdr:nvCxnSpPr>
      <xdr:spPr>
        <a:xfrm>
          <a:off x="8820150" y="12477750"/>
          <a:ext cx="4191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0</xdr:colOff>
          <xdr:row>2</xdr:row>
          <xdr:rowOff>161925</xdr:rowOff>
        </xdr:from>
        <xdr:to>
          <xdr:col>13</xdr:col>
          <xdr:colOff>180975</xdr:colOff>
          <xdr:row>4</xdr:row>
          <xdr:rowOff>0</xdr:rowOff>
        </xdr:to>
        <xdr:sp macro="" textlink="">
          <xdr:nvSpPr>
            <xdr:cNvPr id="9396" name="Check Box 180" hidden="1">
              <a:extLst>
                <a:ext uri="{63B3BB69-23CF-44E3-9099-C40C66FF867C}">
                  <a14:compatExt spid="_x0000_s9396"/>
                </a:ext>
                <a:ext uri="{FF2B5EF4-FFF2-40B4-BE49-F238E27FC236}">
                  <a16:creationId xmlns:a16="http://schemas.microsoft.com/office/drawing/2014/main" id="{00000000-0008-0000-0600-0000B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2</xdr:row>
          <xdr:rowOff>161925</xdr:rowOff>
        </xdr:from>
        <xdr:to>
          <xdr:col>17</xdr:col>
          <xdr:colOff>0</xdr:colOff>
          <xdr:row>4</xdr:row>
          <xdr:rowOff>0</xdr:rowOff>
        </xdr:to>
        <xdr:sp macro="" textlink="">
          <xdr:nvSpPr>
            <xdr:cNvPr id="9397" name="Check Box 181" hidden="1">
              <a:extLst>
                <a:ext uri="{63B3BB69-23CF-44E3-9099-C40C66FF867C}">
                  <a14:compatExt spid="_x0000_s9397"/>
                </a:ext>
                <a:ext uri="{FF2B5EF4-FFF2-40B4-BE49-F238E27FC236}">
                  <a16:creationId xmlns:a16="http://schemas.microsoft.com/office/drawing/2014/main" id="{00000000-0008-0000-0600-0000B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161925</xdr:rowOff>
        </xdr:from>
        <xdr:to>
          <xdr:col>20</xdr:col>
          <xdr:colOff>0</xdr:colOff>
          <xdr:row>4</xdr:row>
          <xdr:rowOff>0</xdr:rowOff>
        </xdr:to>
        <xdr:sp macro="" textlink="">
          <xdr:nvSpPr>
            <xdr:cNvPr id="9398" name="Check Box 182" hidden="1">
              <a:extLst>
                <a:ext uri="{63B3BB69-23CF-44E3-9099-C40C66FF867C}">
                  <a14:compatExt spid="_x0000_s9398"/>
                </a:ext>
                <a:ext uri="{FF2B5EF4-FFF2-40B4-BE49-F238E27FC236}">
                  <a16:creationId xmlns:a16="http://schemas.microsoft.com/office/drawing/2014/main" id="{00000000-0008-0000-0600-0000B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161925</xdr:rowOff>
        </xdr:from>
        <xdr:to>
          <xdr:col>10</xdr:col>
          <xdr:colOff>180975</xdr:colOff>
          <xdr:row>4</xdr:row>
          <xdr:rowOff>0</xdr:rowOff>
        </xdr:to>
        <xdr:sp macro="" textlink="">
          <xdr:nvSpPr>
            <xdr:cNvPr id="9399" name="Check Box 183" hidden="1">
              <a:extLst>
                <a:ext uri="{63B3BB69-23CF-44E3-9099-C40C66FF867C}">
                  <a14:compatExt spid="_x0000_s9399"/>
                </a:ext>
                <a:ext uri="{FF2B5EF4-FFF2-40B4-BE49-F238E27FC236}">
                  <a16:creationId xmlns:a16="http://schemas.microsoft.com/office/drawing/2014/main" id="{00000000-0008-0000-0600-0000B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0</xdr:rowOff>
        </xdr:from>
        <xdr:to>
          <xdr:col>0</xdr:col>
          <xdr:colOff>180975</xdr:colOff>
          <xdr:row>111</xdr:row>
          <xdr:rowOff>180975</xdr:rowOff>
        </xdr:to>
        <xdr:sp macro="" textlink="">
          <xdr:nvSpPr>
            <xdr:cNvPr id="9400" name="Check Box 184" hidden="1">
              <a:extLst>
                <a:ext uri="{63B3BB69-23CF-44E3-9099-C40C66FF867C}">
                  <a14:compatExt spid="_x0000_s9400"/>
                </a:ext>
                <a:ext uri="{FF2B5EF4-FFF2-40B4-BE49-F238E27FC236}">
                  <a16:creationId xmlns:a16="http://schemas.microsoft.com/office/drawing/2014/main" id="{00000000-0008-0000-0600-0000B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0</xdr:rowOff>
        </xdr:from>
        <xdr:to>
          <xdr:col>0</xdr:col>
          <xdr:colOff>180975</xdr:colOff>
          <xdr:row>110</xdr:row>
          <xdr:rowOff>180975</xdr:rowOff>
        </xdr:to>
        <xdr:sp macro="" textlink="">
          <xdr:nvSpPr>
            <xdr:cNvPr id="9401" name="Check Box 185" hidden="1">
              <a:extLst>
                <a:ext uri="{63B3BB69-23CF-44E3-9099-C40C66FF867C}">
                  <a14:compatExt spid="_x0000_s9401"/>
                </a:ext>
                <a:ext uri="{FF2B5EF4-FFF2-40B4-BE49-F238E27FC236}">
                  <a16:creationId xmlns:a16="http://schemas.microsoft.com/office/drawing/2014/main" id="{00000000-0008-0000-0600-0000B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0</xdr:col>
          <xdr:colOff>180975</xdr:colOff>
          <xdr:row>109</xdr:row>
          <xdr:rowOff>180975</xdr:rowOff>
        </xdr:to>
        <xdr:sp macro="" textlink="">
          <xdr:nvSpPr>
            <xdr:cNvPr id="9402" name="Check Box 186" hidden="1">
              <a:extLst>
                <a:ext uri="{63B3BB69-23CF-44E3-9099-C40C66FF867C}">
                  <a14:compatExt spid="_x0000_s9402"/>
                </a:ext>
                <a:ext uri="{FF2B5EF4-FFF2-40B4-BE49-F238E27FC236}">
                  <a16:creationId xmlns:a16="http://schemas.microsoft.com/office/drawing/2014/main" id="{00000000-0008-0000-0600-0000B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0</xdr:col>
          <xdr:colOff>180975</xdr:colOff>
          <xdr:row>108</xdr:row>
          <xdr:rowOff>180975</xdr:rowOff>
        </xdr:to>
        <xdr:sp macro="" textlink="">
          <xdr:nvSpPr>
            <xdr:cNvPr id="9403" name="Check Box 187" hidden="1">
              <a:extLst>
                <a:ext uri="{63B3BB69-23CF-44E3-9099-C40C66FF867C}">
                  <a14:compatExt spid="_x0000_s9403"/>
                </a:ext>
                <a:ext uri="{FF2B5EF4-FFF2-40B4-BE49-F238E27FC236}">
                  <a16:creationId xmlns:a16="http://schemas.microsoft.com/office/drawing/2014/main" id="{00000000-0008-0000-0600-0000B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107</xdr:row>
          <xdr:rowOff>0</xdr:rowOff>
        </xdr:from>
        <xdr:to>
          <xdr:col>0</xdr:col>
          <xdr:colOff>180975</xdr:colOff>
          <xdr:row>107</xdr:row>
          <xdr:rowOff>180975</xdr:rowOff>
        </xdr:to>
        <xdr:sp macro="" textlink="">
          <xdr:nvSpPr>
            <xdr:cNvPr id="9404" name="Check Box 188" hidden="1">
              <a:extLst>
                <a:ext uri="{63B3BB69-23CF-44E3-9099-C40C66FF867C}">
                  <a14:compatExt spid="_x0000_s9404"/>
                </a:ext>
                <a:ext uri="{FF2B5EF4-FFF2-40B4-BE49-F238E27FC236}">
                  <a16:creationId xmlns:a16="http://schemas.microsoft.com/office/drawing/2014/main" id="{00000000-0008-0000-0600-0000B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0</xdr:col>
          <xdr:colOff>180975</xdr:colOff>
          <xdr:row>106</xdr:row>
          <xdr:rowOff>180975</xdr:rowOff>
        </xdr:to>
        <xdr:sp macro="" textlink="">
          <xdr:nvSpPr>
            <xdr:cNvPr id="9405" name="Check Box 189" hidden="1">
              <a:extLst>
                <a:ext uri="{63B3BB69-23CF-44E3-9099-C40C66FF867C}">
                  <a14:compatExt spid="_x0000_s9405"/>
                </a:ext>
                <a:ext uri="{FF2B5EF4-FFF2-40B4-BE49-F238E27FC236}">
                  <a16:creationId xmlns:a16="http://schemas.microsoft.com/office/drawing/2014/main" id="{00000000-0008-0000-0600-0000B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105</xdr:row>
          <xdr:rowOff>0</xdr:rowOff>
        </xdr:from>
        <xdr:to>
          <xdr:col>0</xdr:col>
          <xdr:colOff>180975</xdr:colOff>
          <xdr:row>105</xdr:row>
          <xdr:rowOff>180975</xdr:rowOff>
        </xdr:to>
        <xdr:sp macro="" textlink="">
          <xdr:nvSpPr>
            <xdr:cNvPr id="9406" name="Check Box 190" hidden="1">
              <a:extLst>
                <a:ext uri="{63B3BB69-23CF-44E3-9099-C40C66FF867C}">
                  <a14:compatExt spid="_x0000_s9406"/>
                </a:ext>
                <a:ext uri="{FF2B5EF4-FFF2-40B4-BE49-F238E27FC236}">
                  <a16:creationId xmlns:a16="http://schemas.microsoft.com/office/drawing/2014/main" id="{00000000-0008-0000-0600-0000B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0</xdr:col>
          <xdr:colOff>180975</xdr:colOff>
          <xdr:row>104</xdr:row>
          <xdr:rowOff>180975</xdr:rowOff>
        </xdr:to>
        <xdr:sp macro="" textlink="">
          <xdr:nvSpPr>
            <xdr:cNvPr id="9407" name="Check Box 191" hidden="1">
              <a:extLst>
                <a:ext uri="{63B3BB69-23CF-44E3-9099-C40C66FF867C}">
                  <a14:compatExt spid="_x0000_s9407"/>
                </a:ext>
                <a:ext uri="{FF2B5EF4-FFF2-40B4-BE49-F238E27FC236}">
                  <a16:creationId xmlns:a16="http://schemas.microsoft.com/office/drawing/2014/main" id="{00000000-0008-0000-0600-0000B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0</xdr:rowOff>
        </xdr:from>
        <xdr:to>
          <xdr:col>0</xdr:col>
          <xdr:colOff>180975</xdr:colOff>
          <xdr:row>103</xdr:row>
          <xdr:rowOff>180975</xdr:rowOff>
        </xdr:to>
        <xdr:sp macro="" textlink="">
          <xdr:nvSpPr>
            <xdr:cNvPr id="9408" name="Check Box 192" hidden="1">
              <a:extLst>
                <a:ext uri="{63B3BB69-23CF-44E3-9099-C40C66FF867C}">
                  <a14:compatExt spid="_x0000_s9408"/>
                </a:ext>
                <a:ext uri="{FF2B5EF4-FFF2-40B4-BE49-F238E27FC236}">
                  <a16:creationId xmlns:a16="http://schemas.microsoft.com/office/drawing/2014/main" id="{00000000-0008-0000-0600-0000C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0</xdr:col>
          <xdr:colOff>180975</xdr:colOff>
          <xdr:row>102</xdr:row>
          <xdr:rowOff>180975</xdr:rowOff>
        </xdr:to>
        <xdr:sp macro="" textlink="">
          <xdr:nvSpPr>
            <xdr:cNvPr id="9409" name="Check Box 193" hidden="1">
              <a:extLst>
                <a:ext uri="{63B3BB69-23CF-44E3-9099-C40C66FF867C}">
                  <a14:compatExt spid="_x0000_s9409"/>
                </a:ext>
                <a:ext uri="{FF2B5EF4-FFF2-40B4-BE49-F238E27FC236}">
                  <a16:creationId xmlns:a16="http://schemas.microsoft.com/office/drawing/2014/main" id="{00000000-0008-0000-0600-0000C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0</xdr:col>
          <xdr:colOff>180975</xdr:colOff>
          <xdr:row>101</xdr:row>
          <xdr:rowOff>180975</xdr:rowOff>
        </xdr:to>
        <xdr:sp macro="" textlink="">
          <xdr:nvSpPr>
            <xdr:cNvPr id="9410" name="Check Box 194" hidden="1">
              <a:extLst>
                <a:ext uri="{63B3BB69-23CF-44E3-9099-C40C66FF867C}">
                  <a14:compatExt spid="_x0000_s9410"/>
                </a:ext>
                <a:ext uri="{FF2B5EF4-FFF2-40B4-BE49-F238E27FC236}">
                  <a16:creationId xmlns:a16="http://schemas.microsoft.com/office/drawing/2014/main" id="{00000000-0008-0000-0600-0000C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101</xdr:row>
          <xdr:rowOff>0</xdr:rowOff>
        </xdr:from>
        <xdr:to>
          <xdr:col>19</xdr:col>
          <xdr:colOff>0</xdr:colOff>
          <xdr:row>101</xdr:row>
          <xdr:rowOff>180975</xdr:rowOff>
        </xdr:to>
        <xdr:sp macro="" textlink="">
          <xdr:nvSpPr>
            <xdr:cNvPr id="9411" name="Check Box 195" hidden="1">
              <a:extLst>
                <a:ext uri="{63B3BB69-23CF-44E3-9099-C40C66FF867C}">
                  <a14:compatExt spid="_x0000_s9411"/>
                </a:ext>
                <a:ext uri="{FF2B5EF4-FFF2-40B4-BE49-F238E27FC236}">
                  <a16:creationId xmlns:a16="http://schemas.microsoft.com/office/drawing/2014/main" id="{00000000-0008-0000-0600-0000C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102</xdr:row>
          <xdr:rowOff>0</xdr:rowOff>
        </xdr:from>
        <xdr:to>
          <xdr:col>19</xdr:col>
          <xdr:colOff>0</xdr:colOff>
          <xdr:row>102</xdr:row>
          <xdr:rowOff>180975</xdr:rowOff>
        </xdr:to>
        <xdr:sp macro="" textlink="">
          <xdr:nvSpPr>
            <xdr:cNvPr id="9412" name="Check Box 196" hidden="1">
              <a:extLst>
                <a:ext uri="{63B3BB69-23CF-44E3-9099-C40C66FF867C}">
                  <a14:compatExt spid="_x0000_s9412"/>
                </a:ext>
                <a:ext uri="{FF2B5EF4-FFF2-40B4-BE49-F238E27FC236}">
                  <a16:creationId xmlns:a16="http://schemas.microsoft.com/office/drawing/2014/main" id="{00000000-0008-0000-0600-0000C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103</xdr:row>
          <xdr:rowOff>0</xdr:rowOff>
        </xdr:from>
        <xdr:to>
          <xdr:col>19</xdr:col>
          <xdr:colOff>0</xdr:colOff>
          <xdr:row>103</xdr:row>
          <xdr:rowOff>180975</xdr:rowOff>
        </xdr:to>
        <xdr:sp macro="" textlink="">
          <xdr:nvSpPr>
            <xdr:cNvPr id="9413" name="Check Box 197" hidden="1">
              <a:extLst>
                <a:ext uri="{63B3BB69-23CF-44E3-9099-C40C66FF867C}">
                  <a14:compatExt spid="_x0000_s9413"/>
                </a:ext>
                <a:ext uri="{FF2B5EF4-FFF2-40B4-BE49-F238E27FC236}">
                  <a16:creationId xmlns:a16="http://schemas.microsoft.com/office/drawing/2014/main" id="{00000000-0008-0000-0600-0000C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104</xdr:row>
          <xdr:rowOff>0</xdr:rowOff>
        </xdr:from>
        <xdr:to>
          <xdr:col>19</xdr:col>
          <xdr:colOff>0</xdr:colOff>
          <xdr:row>104</xdr:row>
          <xdr:rowOff>180975</xdr:rowOff>
        </xdr:to>
        <xdr:sp macro="" textlink="">
          <xdr:nvSpPr>
            <xdr:cNvPr id="9414" name="Check Box 198" hidden="1">
              <a:extLst>
                <a:ext uri="{63B3BB69-23CF-44E3-9099-C40C66FF867C}">
                  <a14:compatExt spid="_x0000_s9414"/>
                </a:ext>
                <a:ext uri="{FF2B5EF4-FFF2-40B4-BE49-F238E27FC236}">
                  <a16:creationId xmlns:a16="http://schemas.microsoft.com/office/drawing/2014/main" id="{00000000-0008-0000-0600-0000C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105</xdr:row>
          <xdr:rowOff>0</xdr:rowOff>
        </xdr:from>
        <xdr:to>
          <xdr:col>19</xdr:col>
          <xdr:colOff>0</xdr:colOff>
          <xdr:row>105</xdr:row>
          <xdr:rowOff>180975</xdr:rowOff>
        </xdr:to>
        <xdr:sp macro="" textlink="">
          <xdr:nvSpPr>
            <xdr:cNvPr id="9415" name="Check Box 199" hidden="1">
              <a:extLst>
                <a:ext uri="{63B3BB69-23CF-44E3-9099-C40C66FF867C}">
                  <a14:compatExt spid="_x0000_s9415"/>
                </a:ext>
                <a:ext uri="{FF2B5EF4-FFF2-40B4-BE49-F238E27FC236}">
                  <a16:creationId xmlns:a16="http://schemas.microsoft.com/office/drawing/2014/main" id="{00000000-0008-0000-0600-0000C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106</xdr:row>
          <xdr:rowOff>0</xdr:rowOff>
        </xdr:from>
        <xdr:to>
          <xdr:col>19</xdr:col>
          <xdr:colOff>0</xdr:colOff>
          <xdr:row>106</xdr:row>
          <xdr:rowOff>180975</xdr:rowOff>
        </xdr:to>
        <xdr:sp macro="" textlink="">
          <xdr:nvSpPr>
            <xdr:cNvPr id="9416" name="Check Box 200" hidden="1">
              <a:extLst>
                <a:ext uri="{63B3BB69-23CF-44E3-9099-C40C66FF867C}">
                  <a14:compatExt spid="_x0000_s9416"/>
                </a:ext>
                <a:ext uri="{FF2B5EF4-FFF2-40B4-BE49-F238E27FC236}">
                  <a16:creationId xmlns:a16="http://schemas.microsoft.com/office/drawing/2014/main" id="{00000000-0008-0000-0600-0000C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107</xdr:row>
          <xdr:rowOff>0</xdr:rowOff>
        </xdr:from>
        <xdr:to>
          <xdr:col>19</xdr:col>
          <xdr:colOff>0</xdr:colOff>
          <xdr:row>107</xdr:row>
          <xdr:rowOff>180975</xdr:rowOff>
        </xdr:to>
        <xdr:sp macro="" textlink="">
          <xdr:nvSpPr>
            <xdr:cNvPr id="9417" name="Check Box 201" hidden="1">
              <a:extLst>
                <a:ext uri="{63B3BB69-23CF-44E3-9099-C40C66FF867C}">
                  <a14:compatExt spid="_x0000_s9417"/>
                </a:ext>
                <a:ext uri="{FF2B5EF4-FFF2-40B4-BE49-F238E27FC236}">
                  <a16:creationId xmlns:a16="http://schemas.microsoft.com/office/drawing/2014/main" id="{00000000-0008-0000-0600-0000C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108</xdr:row>
          <xdr:rowOff>0</xdr:rowOff>
        </xdr:from>
        <xdr:to>
          <xdr:col>19</xdr:col>
          <xdr:colOff>0</xdr:colOff>
          <xdr:row>108</xdr:row>
          <xdr:rowOff>180975</xdr:rowOff>
        </xdr:to>
        <xdr:sp macro="" textlink="">
          <xdr:nvSpPr>
            <xdr:cNvPr id="9418" name="Check Box 202" hidden="1">
              <a:extLst>
                <a:ext uri="{63B3BB69-23CF-44E3-9099-C40C66FF867C}">
                  <a14:compatExt spid="_x0000_s9418"/>
                </a:ext>
                <a:ext uri="{FF2B5EF4-FFF2-40B4-BE49-F238E27FC236}">
                  <a16:creationId xmlns:a16="http://schemas.microsoft.com/office/drawing/2014/main" id="{00000000-0008-0000-0600-0000C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142875</xdr:colOff>
          <xdr:row>103</xdr:row>
          <xdr:rowOff>0</xdr:rowOff>
        </xdr:from>
        <xdr:to>
          <xdr:col>33</xdr:col>
          <xdr:colOff>133350</xdr:colOff>
          <xdr:row>103</xdr:row>
          <xdr:rowOff>180975</xdr:rowOff>
        </xdr:to>
        <xdr:sp macro="" textlink="">
          <xdr:nvSpPr>
            <xdr:cNvPr id="9419" name="Check Box 203" hidden="1">
              <a:extLst>
                <a:ext uri="{63B3BB69-23CF-44E3-9099-C40C66FF867C}">
                  <a14:compatExt spid="_x0000_s9419"/>
                </a:ext>
                <a:ext uri="{FF2B5EF4-FFF2-40B4-BE49-F238E27FC236}">
                  <a16:creationId xmlns:a16="http://schemas.microsoft.com/office/drawing/2014/main" id="{00000000-0008-0000-0600-0000C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161925</xdr:colOff>
          <xdr:row>103</xdr:row>
          <xdr:rowOff>0</xdr:rowOff>
        </xdr:from>
        <xdr:to>
          <xdr:col>30</xdr:col>
          <xdr:colOff>152400</xdr:colOff>
          <xdr:row>103</xdr:row>
          <xdr:rowOff>180975</xdr:rowOff>
        </xdr:to>
        <xdr:sp macro="" textlink="">
          <xdr:nvSpPr>
            <xdr:cNvPr id="9420" name="Check Box 204" hidden="1">
              <a:extLst>
                <a:ext uri="{63B3BB69-23CF-44E3-9099-C40C66FF867C}">
                  <a14:compatExt spid="_x0000_s9420"/>
                </a:ext>
                <a:ext uri="{FF2B5EF4-FFF2-40B4-BE49-F238E27FC236}">
                  <a16:creationId xmlns:a16="http://schemas.microsoft.com/office/drawing/2014/main" id="{00000000-0008-0000-0600-0000C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0</xdr:rowOff>
        </xdr:from>
        <xdr:to>
          <xdr:col>0</xdr:col>
          <xdr:colOff>180975</xdr:colOff>
          <xdr:row>113</xdr:row>
          <xdr:rowOff>180975</xdr:rowOff>
        </xdr:to>
        <xdr:sp macro="" textlink="">
          <xdr:nvSpPr>
            <xdr:cNvPr id="9421" name="Check Box 205" hidden="1">
              <a:extLst>
                <a:ext uri="{63B3BB69-23CF-44E3-9099-C40C66FF867C}">
                  <a14:compatExt spid="_x0000_s9421"/>
                </a:ext>
                <a:ext uri="{FF2B5EF4-FFF2-40B4-BE49-F238E27FC236}">
                  <a16:creationId xmlns:a16="http://schemas.microsoft.com/office/drawing/2014/main" id="{00000000-0008-0000-0600-0000C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0</xdr:col>
          <xdr:colOff>180975</xdr:colOff>
          <xdr:row>114</xdr:row>
          <xdr:rowOff>180975</xdr:rowOff>
        </xdr:to>
        <xdr:sp macro="" textlink="">
          <xdr:nvSpPr>
            <xdr:cNvPr id="9422" name="Check Box 206" hidden="1">
              <a:extLst>
                <a:ext uri="{63B3BB69-23CF-44E3-9099-C40C66FF867C}">
                  <a14:compatExt spid="_x0000_s9422"/>
                </a:ext>
                <a:ext uri="{FF2B5EF4-FFF2-40B4-BE49-F238E27FC236}">
                  <a16:creationId xmlns:a16="http://schemas.microsoft.com/office/drawing/2014/main" id="{00000000-0008-0000-0600-0000C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115</xdr:row>
          <xdr:rowOff>0</xdr:rowOff>
        </xdr:from>
        <xdr:to>
          <xdr:col>0</xdr:col>
          <xdr:colOff>180975</xdr:colOff>
          <xdr:row>115</xdr:row>
          <xdr:rowOff>180975</xdr:rowOff>
        </xdr:to>
        <xdr:sp macro="" textlink="">
          <xdr:nvSpPr>
            <xdr:cNvPr id="9423" name="Check Box 207" hidden="1">
              <a:extLst>
                <a:ext uri="{63B3BB69-23CF-44E3-9099-C40C66FF867C}">
                  <a14:compatExt spid="_x0000_s9423"/>
                </a:ext>
                <a:ext uri="{FF2B5EF4-FFF2-40B4-BE49-F238E27FC236}">
                  <a16:creationId xmlns:a16="http://schemas.microsoft.com/office/drawing/2014/main" id="{00000000-0008-0000-0600-0000C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0</xdr:col>
          <xdr:colOff>180975</xdr:colOff>
          <xdr:row>116</xdr:row>
          <xdr:rowOff>180975</xdr:rowOff>
        </xdr:to>
        <xdr:sp macro="" textlink="">
          <xdr:nvSpPr>
            <xdr:cNvPr id="9424" name="Check Box 208" hidden="1">
              <a:extLst>
                <a:ext uri="{63B3BB69-23CF-44E3-9099-C40C66FF867C}">
                  <a14:compatExt spid="_x0000_s9424"/>
                </a:ext>
                <a:ext uri="{FF2B5EF4-FFF2-40B4-BE49-F238E27FC236}">
                  <a16:creationId xmlns:a16="http://schemas.microsoft.com/office/drawing/2014/main" id="{00000000-0008-0000-0600-0000D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117</xdr:row>
          <xdr:rowOff>0</xdr:rowOff>
        </xdr:from>
        <xdr:to>
          <xdr:col>0</xdr:col>
          <xdr:colOff>180975</xdr:colOff>
          <xdr:row>117</xdr:row>
          <xdr:rowOff>180975</xdr:rowOff>
        </xdr:to>
        <xdr:sp macro="" textlink="">
          <xdr:nvSpPr>
            <xdr:cNvPr id="9425" name="Check Box 209" hidden="1">
              <a:extLst>
                <a:ext uri="{63B3BB69-23CF-44E3-9099-C40C66FF867C}">
                  <a14:compatExt spid="_x0000_s9425"/>
                </a:ext>
                <a:ext uri="{FF2B5EF4-FFF2-40B4-BE49-F238E27FC236}">
                  <a16:creationId xmlns:a16="http://schemas.microsoft.com/office/drawing/2014/main" id="{00000000-0008-0000-0600-0000D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0</xdr:col>
          <xdr:colOff>180975</xdr:colOff>
          <xdr:row>118</xdr:row>
          <xdr:rowOff>180975</xdr:rowOff>
        </xdr:to>
        <xdr:sp macro="" textlink="">
          <xdr:nvSpPr>
            <xdr:cNvPr id="9426" name="Check Box 210" hidden="1">
              <a:extLst>
                <a:ext uri="{63B3BB69-23CF-44E3-9099-C40C66FF867C}">
                  <a14:compatExt spid="_x0000_s9426"/>
                </a:ext>
                <a:ext uri="{FF2B5EF4-FFF2-40B4-BE49-F238E27FC236}">
                  <a16:creationId xmlns:a16="http://schemas.microsoft.com/office/drawing/2014/main" id="{00000000-0008-0000-0600-0000D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119</xdr:row>
          <xdr:rowOff>0</xdr:rowOff>
        </xdr:from>
        <xdr:to>
          <xdr:col>0</xdr:col>
          <xdr:colOff>180975</xdr:colOff>
          <xdr:row>119</xdr:row>
          <xdr:rowOff>180975</xdr:rowOff>
        </xdr:to>
        <xdr:sp macro="" textlink="">
          <xdr:nvSpPr>
            <xdr:cNvPr id="9427" name="Check Box 211" hidden="1">
              <a:extLst>
                <a:ext uri="{63B3BB69-23CF-44E3-9099-C40C66FF867C}">
                  <a14:compatExt spid="_x0000_s9427"/>
                </a:ext>
                <a:ext uri="{FF2B5EF4-FFF2-40B4-BE49-F238E27FC236}">
                  <a16:creationId xmlns:a16="http://schemas.microsoft.com/office/drawing/2014/main" id="{00000000-0008-0000-0600-0000D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120</xdr:row>
          <xdr:rowOff>0</xdr:rowOff>
        </xdr:from>
        <xdr:to>
          <xdr:col>0</xdr:col>
          <xdr:colOff>180975</xdr:colOff>
          <xdr:row>120</xdr:row>
          <xdr:rowOff>180975</xdr:rowOff>
        </xdr:to>
        <xdr:sp macro="" textlink="">
          <xdr:nvSpPr>
            <xdr:cNvPr id="9428" name="Check Box 212" hidden="1">
              <a:extLst>
                <a:ext uri="{63B3BB69-23CF-44E3-9099-C40C66FF867C}">
                  <a14:compatExt spid="_x0000_s9428"/>
                </a:ext>
                <a:ext uri="{FF2B5EF4-FFF2-40B4-BE49-F238E27FC236}">
                  <a16:creationId xmlns:a16="http://schemas.microsoft.com/office/drawing/2014/main" id="{00000000-0008-0000-0600-0000D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113</xdr:row>
          <xdr:rowOff>0</xdr:rowOff>
        </xdr:from>
        <xdr:to>
          <xdr:col>18</xdr:col>
          <xdr:colOff>209550</xdr:colOff>
          <xdr:row>113</xdr:row>
          <xdr:rowOff>180975</xdr:rowOff>
        </xdr:to>
        <xdr:sp macro="" textlink="">
          <xdr:nvSpPr>
            <xdr:cNvPr id="9429" name="Check Box 213" hidden="1">
              <a:extLst>
                <a:ext uri="{63B3BB69-23CF-44E3-9099-C40C66FF867C}">
                  <a14:compatExt spid="_x0000_s9429"/>
                </a:ext>
                <a:ext uri="{FF2B5EF4-FFF2-40B4-BE49-F238E27FC236}">
                  <a16:creationId xmlns:a16="http://schemas.microsoft.com/office/drawing/2014/main" id="{00000000-0008-0000-0600-0000D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18</xdr:col>
          <xdr:colOff>209550</xdr:colOff>
          <xdr:row>114</xdr:row>
          <xdr:rowOff>180975</xdr:rowOff>
        </xdr:to>
        <xdr:sp macro="" textlink="">
          <xdr:nvSpPr>
            <xdr:cNvPr id="9430" name="Check Box 214" hidden="1">
              <a:extLst>
                <a:ext uri="{63B3BB69-23CF-44E3-9099-C40C66FF867C}">
                  <a14:compatExt spid="_x0000_s9430"/>
                </a:ext>
                <a:ext uri="{FF2B5EF4-FFF2-40B4-BE49-F238E27FC236}">
                  <a16:creationId xmlns:a16="http://schemas.microsoft.com/office/drawing/2014/main" id="{00000000-0008-0000-0600-0000D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115</xdr:row>
          <xdr:rowOff>0</xdr:rowOff>
        </xdr:from>
        <xdr:to>
          <xdr:col>18</xdr:col>
          <xdr:colOff>209550</xdr:colOff>
          <xdr:row>115</xdr:row>
          <xdr:rowOff>180975</xdr:rowOff>
        </xdr:to>
        <xdr:sp macro="" textlink="">
          <xdr:nvSpPr>
            <xdr:cNvPr id="9431" name="Check Box 215" hidden="1">
              <a:extLst>
                <a:ext uri="{63B3BB69-23CF-44E3-9099-C40C66FF867C}">
                  <a14:compatExt spid="_x0000_s9431"/>
                </a:ext>
                <a:ext uri="{FF2B5EF4-FFF2-40B4-BE49-F238E27FC236}">
                  <a16:creationId xmlns:a16="http://schemas.microsoft.com/office/drawing/2014/main" id="{00000000-0008-0000-0600-0000D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117</xdr:row>
          <xdr:rowOff>0</xdr:rowOff>
        </xdr:from>
        <xdr:to>
          <xdr:col>18</xdr:col>
          <xdr:colOff>209550</xdr:colOff>
          <xdr:row>117</xdr:row>
          <xdr:rowOff>180975</xdr:rowOff>
        </xdr:to>
        <xdr:sp macro="" textlink="">
          <xdr:nvSpPr>
            <xdr:cNvPr id="9432" name="Check Box 216" hidden="1">
              <a:extLst>
                <a:ext uri="{63B3BB69-23CF-44E3-9099-C40C66FF867C}">
                  <a14:compatExt spid="_x0000_s9432"/>
                </a:ext>
                <a:ext uri="{FF2B5EF4-FFF2-40B4-BE49-F238E27FC236}">
                  <a16:creationId xmlns:a16="http://schemas.microsoft.com/office/drawing/2014/main" id="{00000000-0008-0000-0600-0000D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118</xdr:row>
          <xdr:rowOff>0</xdr:rowOff>
        </xdr:from>
        <xdr:to>
          <xdr:col>18</xdr:col>
          <xdr:colOff>209550</xdr:colOff>
          <xdr:row>118</xdr:row>
          <xdr:rowOff>180975</xdr:rowOff>
        </xdr:to>
        <xdr:sp macro="" textlink="">
          <xdr:nvSpPr>
            <xdr:cNvPr id="9433" name="Check Box 217" hidden="1">
              <a:extLst>
                <a:ext uri="{63B3BB69-23CF-44E3-9099-C40C66FF867C}">
                  <a14:compatExt spid="_x0000_s9433"/>
                </a:ext>
                <a:ext uri="{FF2B5EF4-FFF2-40B4-BE49-F238E27FC236}">
                  <a16:creationId xmlns:a16="http://schemas.microsoft.com/office/drawing/2014/main" id="{00000000-0008-0000-0600-0000D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120</xdr:row>
          <xdr:rowOff>180975</xdr:rowOff>
        </xdr:from>
        <xdr:to>
          <xdr:col>3</xdr:col>
          <xdr:colOff>0</xdr:colOff>
          <xdr:row>121</xdr:row>
          <xdr:rowOff>171450</xdr:rowOff>
        </xdr:to>
        <xdr:sp macro="" textlink="">
          <xdr:nvSpPr>
            <xdr:cNvPr id="9434" name="Check Box 218" hidden="1">
              <a:extLst>
                <a:ext uri="{63B3BB69-23CF-44E3-9099-C40C66FF867C}">
                  <a14:compatExt spid="_x0000_s9434"/>
                </a:ext>
                <a:ext uri="{FF2B5EF4-FFF2-40B4-BE49-F238E27FC236}">
                  <a16:creationId xmlns:a16="http://schemas.microsoft.com/office/drawing/2014/main" id="{00000000-0008-0000-0600-0000D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180975</xdr:rowOff>
        </xdr:from>
        <xdr:to>
          <xdr:col>3</xdr:col>
          <xdr:colOff>0</xdr:colOff>
          <xdr:row>122</xdr:row>
          <xdr:rowOff>171450</xdr:rowOff>
        </xdr:to>
        <xdr:sp macro="" textlink="">
          <xdr:nvSpPr>
            <xdr:cNvPr id="9435" name="Check Box 219" hidden="1">
              <a:extLst>
                <a:ext uri="{63B3BB69-23CF-44E3-9099-C40C66FF867C}">
                  <a14:compatExt spid="_x0000_s9435"/>
                </a:ext>
                <a:ext uri="{FF2B5EF4-FFF2-40B4-BE49-F238E27FC236}">
                  <a16:creationId xmlns:a16="http://schemas.microsoft.com/office/drawing/2014/main" id="{00000000-0008-0000-0600-0000D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122</xdr:row>
          <xdr:rowOff>180975</xdr:rowOff>
        </xdr:from>
        <xdr:to>
          <xdr:col>3</xdr:col>
          <xdr:colOff>0</xdr:colOff>
          <xdr:row>123</xdr:row>
          <xdr:rowOff>171450</xdr:rowOff>
        </xdr:to>
        <xdr:sp macro="" textlink="">
          <xdr:nvSpPr>
            <xdr:cNvPr id="9436" name="Check Box 220" hidden="1">
              <a:extLst>
                <a:ext uri="{63B3BB69-23CF-44E3-9099-C40C66FF867C}">
                  <a14:compatExt spid="_x0000_s9436"/>
                </a:ext>
                <a:ext uri="{FF2B5EF4-FFF2-40B4-BE49-F238E27FC236}">
                  <a16:creationId xmlns:a16="http://schemas.microsoft.com/office/drawing/2014/main" id="{00000000-0008-0000-0600-0000D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180975</xdr:rowOff>
        </xdr:from>
        <xdr:to>
          <xdr:col>3</xdr:col>
          <xdr:colOff>0</xdr:colOff>
          <xdr:row>124</xdr:row>
          <xdr:rowOff>171450</xdr:rowOff>
        </xdr:to>
        <xdr:sp macro="" textlink="">
          <xdr:nvSpPr>
            <xdr:cNvPr id="9437" name="Check Box 221" hidden="1">
              <a:extLst>
                <a:ext uri="{63B3BB69-23CF-44E3-9099-C40C66FF867C}">
                  <a14:compatExt spid="_x0000_s9437"/>
                </a:ext>
                <a:ext uri="{FF2B5EF4-FFF2-40B4-BE49-F238E27FC236}">
                  <a16:creationId xmlns:a16="http://schemas.microsoft.com/office/drawing/2014/main" id="{00000000-0008-0000-0600-0000D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124</xdr:row>
          <xdr:rowOff>180975</xdr:rowOff>
        </xdr:from>
        <xdr:to>
          <xdr:col>3</xdr:col>
          <xdr:colOff>0</xdr:colOff>
          <xdr:row>125</xdr:row>
          <xdr:rowOff>171450</xdr:rowOff>
        </xdr:to>
        <xdr:sp macro="" textlink="">
          <xdr:nvSpPr>
            <xdr:cNvPr id="9438" name="Check Box 222" hidden="1">
              <a:extLst>
                <a:ext uri="{63B3BB69-23CF-44E3-9099-C40C66FF867C}">
                  <a14:compatExt spid="_x0000_s9438"/>
                </a:ext>
                <a:ext uri="{FF2B5EF4-FFF2-40B4-BE49-F238E27FC236}">
                  <a16:creationId xmlns:a16="http://schemas.microsoft.com/office/drawing/2014/main" id="{00000000-0008-0000-0600-0000D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121</xdr:row>
          <xdr:rowOff>0</xdr:rowOff>
        </xdr:from>
        <xdr:to>
          <xdr:col>18</xdr:col>
          <xdr:colOff>180975</xdr:colOff>
          <xdr:row>121</xdr:row>
          <xdr:rowOff>180975</xdr:rowOff>
        </xdr:to>
        <xdr:sp macro="" textlink="">
          <xdr:nvSpPr>
            <xdr:cNvPr id="9439" name="Check Box 223" hidden="1">
              <a:extLst>
                <a:ext uri="{63B3BB69-23CF-44E3-9099-C40C66FF867C}">
                  <a14:compatExt spid="_x0000_s9439"/>
                </a:ext>
                <a:ext uri="{FF2B5EF4-FFF2-40B4-BE49-F238E27FC236}">
                  <a16:creationId xmlns:a16="http://schemas.microsoft.com/office/drawing/2014/main" id="{00000000-0008-0000-0600-0000D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440" name="Check Box 224" hidden="1">
              <a:extLst>
                <a:ext uri="{63B3BB69-23CF-44E3-9099-C40C66FF867C}">
                  <a14:compatExt spid="_x0000_s9440"/>
                </a:ext>
                <a:ext uri="{FF2B5EF4-FFF2-40B4-BE49-F238E27FC236}">
                  <a16:creationId xmlns:a16="http://schemas.microsoft.com/office/drawing/2014/main" id="{00000000-0008-0000-0600-0000E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125</xdr:row>
          <xdr:rowOff>0</xdr:rowOff>
        </xdr:from>
        <xdr:to>
          <xdr:col>18</xdr:col>
          <xdr:colOff>180975</xdr:colOff>
          <xdr:row>125</xdr:row>
          <xdr:rowOff>180975</xdr:rowOff>
        </xdr:to>
        <xdr:sp macro="" textlink="">
          <xdr:nvSpPr>
            <xdr:cNvPr id="9441" name="Check Box 225" hidden="1">
              <a:extLst>
                <a:ext uri="{63B3BB69-23CF-44E3-9099-C40C66FF867C}">
                  <a14:compatExt spid="_x0000_s9441"/>
                </a:ext>
                <a:ext uri="{FF2B5EF4-FFF2-40B4-BE49-F238E27FC236}">
                  <a16:creationId xmlns:a16="http://schemas.microsoft.com/office/drawing/2014/main" id="{00000000-0008-0000-0600-0000E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123</xdr:row>
          <xdr:rowOff>0</xdr:rowOff>
        </xdr:from>
        <xdr:to>
          <xdr:col>18</xdr:col>
          <xdr:colOff>180975</xdr:colOff>
          <xdr:row>123</xdr:row>
          <xdr:rowOff>180975</xdr:rowOff>
        </xdr:to>
        <xdr:sp macro="" textlink="">
          <xdr:nvSpPr>
            <xdr:cNvPr id="9442" name="Check Box 226" hidden="1">
              <a:extLst>
                <a:ext uri="{63B3BB69-23CF-44E3-9099-C40C66FF867C}">
                  <a14:compatExt spid="_x0000_s9442"/>
                </a:ext>
                <a:ext uri="{FF2B5EF4-FFF2-40B4-BE49-F238E27FC236}">
                  <a16:creationId xmlns:a16="http://schemas.microsoft.com/office/drawing/2014/main" id="{00000000-0008-0000-0600-0000E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3</xdr:col>
          <xdr:colOff>180975</xdr:colOff>
          <xdr:row>127</xdr:row>
          <xdr:rowOff>180975</xdr:rowOff>
        </xdr:to>
        <xdr:sp macro="" textlink="">
          <xdr:nvSpPr>
            <xdr:cNvPr id="9443" name="Check Box 227" hidden="1">
              <a:extLst>
                <a:ext uri="{63B3BB69-23CF-44E3-9099-C40C66FF867C}">
                  <a14:compatExt spid="_x0000_s9443"/>
                </a:ext>
                <a:ext uri="{FF2B5EF4-FFF2-40B4-BE49-F238E27FC236}">
                  <a16:creationId xmlns:a16="http://schemas.microsoft.com/office/drawing/2014/main" id="{00000000-0008-0000-0600-0000E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180975</xdr:colOff>
          <xdr:row>128</xdr:row>
          <xdr:rowOff>180975</xdr:rowOff>
        </xdr:to>
        <xdr:sp macro="" textlink="">
          <xdr:nvSpPr>
            <xdr:cNvPr id="9444" name="Check Box 228" hidden="1">
              <a:extLst>
                <a:ext uri="{63B3BB69-23CF-44E3-9099-C40C66FF867C}">
                  <a14:compatExt spid="_x0000_s9444"/>
                </a:ext>
                <a:ext uri="{FF2B5EF4-FFF2-40B4-BE49-F238E27FC236}">
                  <a16:creationId xmlns:a16="http://schemas.microsoft.com/office/drawing/2014/main" id="{00000000-0008-0000-0600-0000E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3</xdr:col>
          <xdr:colOff>180975</xdr:colOff>
          <xdr:row>129</xdr:row>
          <xdr:rowOff>180975</xdr:rowOff>
        </xdr:to>
        <xdr:sp macro="" textlink="">
          <xdr:nvSpPr>
            <xdr:cNvPr id="9445" name="Check Box 229" hidden="1">
              <a:extLst>
                <a:ext uri="{63B3BB69-23CF-44E3-9099-C40C66FF867C}">
                  <a14:compatExt spid="_x0000_s9445"/>
                </a:ext>
                <a:ext uri="{FF2B5EF4-FFF2-40B4-BE49-F238E27FC236}">
                  <a16:creationId xmlns:a16="http://schemas.microsoft.com/office/drawing/2014/main" id="{00000000-0008-0000-0600-0000E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129</xdr:row>
          <xdr:rowOff>180975</xdr:rowOff>
        </xdr:from>
        <xdr:to>
          <xdr:col>3</xdr:col>
          <xdr:colOff>0</xdr:colOff>
          <xdr:row>130</xdr:row>
          <xdr:rowOff>171450</xdr:rowOff>
        </xdr:to>
        <xdr:sp macro="" textlink="">
          <xdr:nvSpPr>
            <xdr:cNvPr id="9446" name="Check Box 230" hidden="1">
              <a:extLst>
                <a:ext uri="{63B3BB69-23CF-44E3-9099-C40C66FF867C}">
                  <a14:compatExt spid="_x0000_s9446"/>
                </a:ext>
                <a:ext uri="{FF2B5EF4-FFF2-40B4-BE49-F238E27FC236}">
                  <a16:creationId xmlns:a16="http://schemas.microsoft.com/office/drawing/2014/main" id="{00000000-0008-0000-0600-0000E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130</xdr:row>
          <xdr:rowOff>180975</xdr:rowOff>
        </xdr:from>
        <xdr:to>
          <xdr:col>3</xdr:col>
          <xdr:colOff>0</xdr:colOff>
          <xdr:row>131</xdr:row>
          <xdr:rowOff>171450</xdr:rowOff>
        </xdr:to>
        <xdr:sp macro="" textlink="">
          <xdr:nvSpPr>
            <xdr:cNvPr id="9447" name="Check Box 231" hidden="1">
              <a:extLst>
                <a:ext uri="{63B3BB69-23CF-44E3-9099-C40C66FF867C}">
                  <a14:compatExt spid="_x0000_s9447"/>
                </a:ext>
                <a:ext uri="{FF2B5EF4-FFF2-40B4-BE49-F238E27FC236}">
                  <a16:creationId xmlns:a16="http://schemas.microsoft.com/office/drawing/2014/main" id="{00000000-0008-0000-0600-0000E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180975</xdr:rowOff>
        </xdr:from>
        <xdr:to>
          <xdr:col>3</xdr:col>
          <xdr:colOff>0</xdr:colOff>
          <xdr:row>132</xdr:row>
          <xdr:rowOff>171450</xdr:rowOff>
        </xdr:to>
        <xdr:sp macro="" textlink="">
          <xdr:nvSpPr>
            <xdr:cNvPr id="9448" name="Check Box 232" hidden="1">
              <a:extLst>
                <a:ext uri="{63B3BB69-23CF-44E3-9099-C40C66FF867C}">
                  <a14:compatExt spid="_x0000_s9448"/>
                </a:ext>
                <a:ext uri="{FF2B5EF4-FFF2-40B4-BE49-F238E27FC236}">
                  <a16:creationId xmlns:a16="http://schemas.microsoft.com/office/drawing/2014/main" id="{00000000-0008-0000-0600-0000E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132</xdr:row>
          <xdr:rowOff>180975</xdr:rowOff>
        </xdr:from>
        <xdr:to>
          <xdr:col>3</xdr:col>
          <xdr:colOff>0</xdr:colOff>
          <xdr:row>133</xdr:row>
          <xdr:rowOff>171450</xdr:rowOff>
        </xdr:to>
        <xdr:sp macro="" textlink="">
          <xdr:nvSpPr>
            <xdr:cNvPr id="9449" name="Check Box 233" hidden="1">
              <a:extLst>
                <a:ext uri="{63B3BB69-23CF-44E3-9099-C40C66FF867C}">
                  <a14:compatExt spid="_x0000_s9449"/>
                </a:ext>
                <a:ext uri="{FF2B5EF4-FFF2-40B4-BE49-F238E27FC236}">
                  <a16:creationId xmlns:a16="http://schemas.microsoft.com/office/drawing/2014/main" id="{00000000-0008-0000-0600-0000E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180975</xdr:rowOff>
        </xdr:from>
        <xdr:to>
          <xdr:col>3</xdr:col>
          <xdr:colOff>0</xdr:colOff>
          <xdr:row>134</xdr:row>
          <xdr:rowOff>171450</xdr:rowOff>
        </xdr:to>
        <xdr:sp macro="" textlink="">
          <xdr:nvSpPr>
            <xdr:cNvPr id="9450" name="Check Box 234" hidden="1">
              <a:extLst>
                <a:ext uri="{63B3BB69-23CF-44E3-9099-C40C66FF867C}">
                  <a14:compatExt spid="_x0000_s9450"/>
                </a:ext>
                <a:ext uri="{FF2B5EF4-FFF2-40B4-BE49-F238E27FC236}">
                  <a16:creationId xmlns:a16="http://schemas.microsoft.com/office/drawing/2014/main" id="{00000000-0008-0000-0600-0000E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134</xdr:row>
          <xdr:rowOff>180975</xdr:rowOff>
        </xdr:from>
        <xdr:to>
          <xdr:col>3</xdr:col>
          <xdr:colOff>0</xdr:colOff>
          <xdr:row>135</xdr:row>
          <xdr:rowOff>171450</xdr:rowOff>
        </xdr:to>
        <xdr:sp macro="" textlink="">
          <xdr:nvSpPr>
            <xdr:cNvPr id="9451" name="Check Box 235" hidden="1">
              <a:extLst>
                <a:ext uri="{63B3BB69-23CF-44E3-9099-C40C66FF867C}">
                  <a14:compatExt spid="_x0000_s9451"/>
                </a:ext>
                <a:ext uri="{FF2B5EF4-FFF2-40B4-BE49-F238E27FC236}">
                  <a16:creationId xmlns:a16="http://schemas.microsoft.com/office/drawing/2014/main" id="{00000000-0008-0000-0600-0000E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180975</xdr:rowOff>
        </xdr:from>
        <xdr:to>
          <xdr:col>3</xdr:col>
          <xdr:colOff>0</xdr:colOff>
          <xdr:row>136</xdr:row>
          <xdr:rowOff>171450</xdr:rowOff>
        </xdr:to>
        <xdr:sp macro="" textlink="">
          <xdr:nvSpPr>
            <xdr:cNvPr id="9452" name="Check Box 236" hidden="1">
              <a:extLst>
                <a:ext uri="{63B3BB69-23CF-44E3-9099-C40C66FF867C}">
                  <a14:compatExt spid="_x0000_s9452"/>
                </a:ext>
                <a:ext uri="{FF2B5EF4-FFF2-40B4-BE49-F238E27FC236}">
                  <a16:creationId xmlns:a16="http://schemas.microsoft.com/office/drawing/2014/main" id="{00000000-0008-0000-0600-0000E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135</xdr:row>
          <xdr:rowOff>161925</xdr:rowOff>
        </xdr:from>
        <xdr:to>
          <xdr:col>16</xdr:col>
          <xdr:colOff>0</xdr:colOff>
          <xdr:row>136</xdr:row>
          <xdr:rowOff>152400</xdr:rowOff>
        </xdr:to>
        <xdr:sp macro="" textlink="">
          <xdr:nvSpPr>
            <xdr:cNvPr id="9453" name="Check Box 237" hidden="1">
              <a:extLst>
                <a:ext uri="{63B3BB69-23CF-44E3-9099-C40C66FF867C}">
                  <a14:compatExt spid="_x0000_s9453"/>
                </a:ext>
                <a:ext uri="{FF2B5EF4-FFF2-40B4-BE49-F238E27FC236}">
                  <a16:creationId xmlns:a16="http://schemas.microsoft.com/office/drawing/2014/main" id="{00000000-0008-0000-0600-0000E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135</xdr:row>
          <xdr:rowOff>161925</xdr:rowOff>
        </xdr:from>
        <xdr:to>
          <xdr:col>13</xdr:col>
          <xdr:colOff>0</xdr:colOff>
          <xdr:row>136</xdr:row>
          <xdr:rowOff>152400</xdr:rowOff>
        </xdr:to>
        <xdr:sp macro="" textlink="">
          <xdr:nvSpPr>
            <xdr:cNvPr id="9454" name="Check Box 238" hidden="1">
              <a:extLst>
                <a:ext uri="{63B3BB69-23CF-44E3-9099-C40C66FF867C}">
                  <a14:compatExt spid="_x0000_s9454"/>
                </a:ext>
                <a:ext uri="{FF2B5EF4-FFF2-40B4-BE49-F238E27FC236}">
                  <a16:creationId xmlns:a16="http://schemas.microsoft.com/office/drawing/2014/main" id="{00000000-0008-0000-0600-0000E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135</xdr:row>
          <xdr:rowOff>161925</xdr:rowOff>
        </xdr:from>
        <xdr:to>
          <xdr:col>9</xdr:col>
          <xdr:colOff>0</xdr:colOff>
          <xdr:row>136</xdr:row>
          <xdr:rowOff>152400</xdr:rowOff>
        </xdr:to>
        <xdr:sp macro="" textlink="">
          <xdr:nvSpPr>
            <xdr:cNvPr id="9455" name="Check Box 239" hidden="1">
              <a:extLst>
                <a:ext uri="{63B3BB69-23CF-44E3-9099-C40C66FF867C}">
                  <a14:compatExt spid="_x0000_s9455"/>
                </a:ext>
                <a:ext uri="{FF2B5EF4-FFF2-40B4-BE49-F238E27FC236}">
                  <a16:creationId xmlns:a16="http://schemas.microsoft.com/office/drawing/2014/main" id="{00000000-0008-0000-0600-0000E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127</xdr:row>
          <xdr:rowOff>0</xdr:rowOff>
        </xdr:from>
        <xdr:to>
          <xdr:col>20</xdr:col>
          <xdr:colOff>0</xdr:colOff>
          <xdr:row>127</xdr:row>
          <xdr:rowOff>180975</xdr:rowOff>
        </xdr:to>
        <xdr:sp macro="" textlink="">
          <xdr:nvSpPr>
            <xdr:cNvPr id="9456" name="Check Box 240" hidden="1">
              <a:extLst>
                <a:ext uri="{63B3BB69-23CF-44E3-9099-C40C66FF867C}">
                  <a14:compatExt spid="_x0000_s9456"/>
                </a:ext>
                <a:ext uri="{FF2B5EF4-FFF2-40B4-BE49-F238E27FC236}">
                  <a16:creationId xmlns:a16="http://schemas.microsoft.com/office/drawing/2014/main" id="{00000000-0008-0000-0600-0000F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128</xdr:row>
          <xdr:rowOff>0</xdr:rowOff>
        </xdr:from>
        <xdr:to>
          <xdr:col>20</xdr:col>
          <xdr:colOff>0</xdr:colOff>
          <xdr:row>128</xdr:row>
          <xdr:rowOff>180975</xdr:rowOff>
        </xdr:to>
        <xdr:sp macro="" textlink="">
          <xdr:nvSpPr>
            <xdr:cNvPr id="9457" name="Check Box 241" hidden="1">
              <a:extLst>
                <a:ext uri="{63B3BB69-23CF-44E3-9099-C40C66FF867C}">
                  <a14:compatExt spid="_x0000_s9457"/>
                </a:ext>
                <a:ext uri="{FF2B5EF4-FFF2-40B4-BE49-F238E27FC236}">
                  <a16:creationId xmlns:a16="http://schemas.microsoft.com/office/drawing/2014/main" id="{00000000-0008-0000-0600-0000F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129</xdr:row>
          <xdr:rowOff>0</xdr:rowOff>
        </xdr:from>
        <xdr:to>
          <xdr:col>20</xdr:col>
          <xdr:colOff>0</xdr:colOff>
          <xdr:row>129</xdr:row>
          <xdr:rowOff>180975</xdr:rowOff>
        </xdr:to>
        <xdr:sp macro="" textlink="">
          <xdr:nvSpPr>
            <xdr:cNvPr id="9458" name="Check Box 242" hidden="1">
              <a:extLst>
                <a:ext uri="{63B3BB69-23CF-44E3-9099-C40C66FF867C}">
                  <a14:compatExt spid="_x0000_s9458"/>
                </a:ext>
                <a:ext uri="{FF2B5EF4-FFF2-40B4-BE49-F238E27FC236}">
                  <a16:creationId xmlns:a16="http://schemas.microsoft.com/office/drawing/2014/main" id="{00000000-0008-0000-0600-0000F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130</xdr:row>
          <xdr:rowOff>0</xdr:rowOff>
        </xdr:from>
        <xdr:to>
          <xdr:col>20</xdr:col>
          <xdr:colOff>0</xdr:colOff>
          <xdr:row>130</xdr:row>
          <xdr:rowOff>180975</xdr:rowOff>
        </xdr:to>
        <xdr:sp macro="" textlink="">
          <xdr:nvSpPr>
            <xdr:cNvPr id="9459" name="Check Box 243" hidden="1">
              <a:extLst>
                <a:ext uri="{63B3BB69-23CF-44E3-9099-C40C66FF867C}">
                  <a14:compatExt spid="_x0000_s9459"/>
                </a:ext>
                <a:ext uri="{FF2B5EF4-FFF2-40B4-BE49-F238E27FC236}">
                  <a16:creationId xmlns:a16="http://schemas.microsoft.com/office/drawing/2014/main" id="{00000000-0008-0000-0600-0000F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131</xdr:row>
          <xdr:rowOff>0</xdr:rowOff>
        </xdr:from>
        <xdr:to>
          <xdr:col>20</xdr:col>
          <xdr:colOff>0</xdr:colOff>
          <xdr:row>131</xdr:row>
          <xdr:rowOff>180975</xdr:rowOff>
        </xdr:to>
        <xdr:sp macro="" textlink="">
          <xdr:nvSpPr>
            <xdr:cNvPr id="9460" name="Check Box 244" hidden="1">
              <a:extLst>
                <a:ext uri="{63B3BB69-23CF-44E3-9099-C40C66FF867C}">
                  <a14:compatExt spid="_x0000_s9460"/>
                </a:ext>
                <a:ext uri="{FF2B5EF4-FFF2-40B4-BE49-F238E27FC236}">
                  <a16:creationId xmlns:a16="http://schemas.microsoft.com/office/drawing/2014/main" id="{00000000-0008-0000-0600-0000F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126</xdr:row>
          <xdr:rowOff>85725</xdr:rowOff>
        </xdr:from>
        <xdr:to>
          <xdr:col>27</xdr:col>
          <xdr:colOff>0</xdr:colOff>
          <xdr:row>127</xdr:row>
          <xdr:rowOff>171450</xdr:rowOff>
        </xdr:to>
        <xdr:sp macro="" textlink="">
          <xdr:nvSpPr>
            <xdr:cNvPr id="9461" name="Check Box 245" hidden="1">
              <a:extLst>
                <a:ext uri="{63B3BB69-23CF-44E3-9099-C40C66FF867C}">
                  <a14:compatExt spid="_x0000_s9461"/>
                </a:ext>
                <a:ext uri="{FF2B5EF4-FFF2-40B4-BE49-F238E27FC236}">
                  <a16:creationId xmlns:a16="http://schemas.microsoft.com/office/drawing/2014/main" id="{00000000-0008-0000-0600-0000F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127</xdr:row>
          <xdr:rowOff>180975</xdr:rowOff>
        </xdr:from>
        <xdr:to>
          <xdr:col>27</xdr:col>
          <xdr:colOff>0</xdr:colOff>
          <xdr:row>128</xdr:row>
          <xdr:rowOff>171450</xdr:rowOff>
        </xdr:to>
        <xdr:sp macro="" textlink="">
          <xdr:nvSpPr>
            <xdr:cNvPr id="9462" name="Check Box 246" hidden="1">
              <a:extLst>
                <a:ext uri="{63B3BB69-23CF-44E3-9099-C40C66FF867C}">
                  <a14:compatExt spid="_x0000_s9462"/>
                </a:ext>
                <a:ext uri="{FF2B5EF4-FFF2-40B4-BE49-F238E27FC236}">
                  <a16:creationId xmlns:a16="http://schemas.microsoft.com/office/drawing/2014/main" id="{00000000-0008-0000-0600-0000F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128</xdr:row>
          <xdr:rowOff>180975</xdr:rowOff>
        </xdr:from>
        <xdr:to>
          <xdr:col>27</xdr:col>
          <xdr:colOff>0</xdr:colOff>
          <xdr:row>129</xdr:row>
          <xdr:rowOff>171450</xdr:rowOff>
        </xdr:to>
        <xdr:sp macro="" textlink="">
          <xdr:nvSpPr>
            <xdr:cNvPr id="9463" name="Check Box 247" hidden="1">
              <a:extLst>
                <a:ext uri="{63B3BB69-23CF-44E3-9099-C40C66FF867C}">
                  <a14:compatExt spid="_x0000_s9463"/>
                </a:ext>
                <a:ext uri="{FF2B5EF4-FFF2-40B4-BE49-F238E27FC236}">
                  <a16:creationId xmlns:a16="http://schemas.microsoft.com/office/drawing/2014/main" id="{00000000-0008-0000-0600-0000F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129</xdr:row>
          <xdr:rowOff>180975</xdr:rowOff>
        </xdr:from>
        <xdr:to>
          <xdr:col>27</xdr:col>
          <xdr:colOff>0</xdr:colOff>
          <xdr:row>130</xdr:row>
          <xdr:rowOff>171450</xdr:rowOff>
        </xdr:to>
        <xdr:sp macro="" textlink="">
          <xdr:nvSpPr>
            <xdr:cNvPr id="9464" name="Check Box 248" hidden="1">
              <a:extLst>
                <a:ext uri="{63B3BB69-23CF-44E3-9099-C40C66FF867C}">
                  <a14:compatExt spid="_x0000_s9464"/>
                </a:ext>
                <a:ext uri="{FF2B5EF4-FFF2-40B4-BE49-F238E27FC236}">
                  <a16:creationId xmlns:a16="http://schemas.microsoft.com/office/drawing/2014/main" id="{00000000-0008-0000-0600-0000F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131</xdr:row>
          <xdr:rowOff>161925</xdr:rowOff>
        </xdr:from>
        <xdr:to>
          <xdr:col>19</xdr:col>
          <xdr:colOff>0</xdr:colOff>
          <xdr:row>132</xdr:row>
          <xdr:rowOff>152400</xdr:rowOff>
        </xdr:to>
        <xdr:sp macro="" textlink="">
          <xdr:nvSpPr>
            <xdr:cNvPr id="9465" name="Check Box 249" hidden="1">
              <a:extLst>
                <a:ext uri="{63B3BB69-23CF-44E3-9099-C40C66FF867C}">
                  <a14:compatExt spid="_x0000_s9465"/>
                </a:ext>
                <a:ext uri="{FF2B5EF4-FFF2-40B4-BE49-F238E27FC236}">
                  <a16:creationId xmlns:a16="http://schemas.microsoft.com/office/drawing/2014/main" id="{00000000-0008-0000-0600-0000F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133</xdr:row>
          <xdr:rowOff>180975</xdr:rowOff>
        </xdr:from>
        <xdr:to>
          <xdr:col>20</xdr:col>
          <xdr:colOff>0</xdr:colOff>
          <xdr:row>134</xdr:row>
          <xdr:rowOff>171450</xdr:rowOff>
        </xdr:to>
        <xdr:sp macro="" textlink="">
          <xdr:nvSpPr>
            <xdr:cNvPr id="9466" name="Check Box 250" hidden="1">
              <a:extLst>
                <a:ext uri="{63B3BB69-23CF-44E3-9099-C40C66FF867C}">
                  <a14:compatExt spid="_x0000_s9466"/>
                </a:ext>
                <a:ext uri="{FF2B5EF4-FFF2-40B4-BE49-F238E27FC236}">
                  <a16:creationId xmlns:a16="http://schemas.microsoft.com/office/drawing/2014/main" id="{00000000-0008-0000-0600-0000F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134</xdr:row>
          <xdr:rowOff>180975</xdr:rowOff>
        </xdr:from>
        <xdr:to>
          <xdr:col>20</xdr:col>
          <xdr:colOff>0</xdr:colOff>
          <xdr:row>135</xdr:row>
          <xdr:rowOff>171450</xdr:rowOff>
        </xdr:to>
        <xdr:sp macro="" textlink="">
          <xdr:nvSpPr>
            <xdr:cNvPr id="9467" name="Check Box 251" hidden="1">
              <a:extLst>
                <a:ext uri="{63B3BB69-23CF-44E3-9099-C40C66FF867C}">
                  <a14:compatExt spid="_x0000_s9467"/>
                </a:ext>
                <a:ext uri="{FF2B5EF4-FFF2-40B4-BE49-F238E27FC236}">
                  <a16:creationId xmlns:a16="http://schemas.microsoft.com/office/drawing/2014/main" id="{00000000-0008-0000-0600-0000F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135</xdr:row>
          <xdr:rowOff>180975</xdr:rowOff>
        </xdr:from>
        <xdr:to>
          <xdr:col>20</xdr:col>
          <xdr:colOff>0</xdr:colOff>
          <xdr:row>136</xdr:row>
          <xdr:rowOff>171450</xdr:rowOff>
        </xdr:to>
        <xdr:sp macro="" textlink="">
          <xdr:nvSpPr>
            <xdr:cNvPr id="9468" name="Check Box 252" hidden="1">
              <a:extLst>
                <a:ext uri="{63B3BB69-23CF-44E3-9099-C40C66FF867C}">
                  <a14:compatExt spid="_x0000_s9468"/>
                </a:ext>
                <a:ext uri="{FF2B5EF4-FFF2-40B4-BE49-F238E27FC236}">
                  <a16:creationId xmlns:a16="http://schemas.microsoft.com/office/drawing/2014/main" id="{00000000-0008-0000-0600-0000F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154</xdr:row>
          <xdr:rowOff>28575</xdr:rowOff>
        </xdr:from>
        <xdr:to>
          <xdr:col>7</xdr:col>
          <xdr:colOff>0</xdr:colOff>
          <xdr:row>154</xdr:row>
          <xdr:rowOff>209550</xdr:rowOff>
        </xdr:to>
        <xdr:sp macro="" textlink="">
          <xdr:nvSpPr>
            <xdr:cNvPr id="9469" name="Check Box 253" hidden="1">
              <a:extLst>
                <a:ext uri="{63B3BB69-23CF-44E3-9099-C40C66FF867C}">
                  <a14:compatExt spid="_x0000_s9469"/>
                </a:ext>
                <a:ext uri="{FF2B5EF4-FFF2-40B4-BE49-F238E27FC236}">
                  <a16:creationId xmlns:a16="http://schemas.microsoft.com/office/drawing/2014/main" id="{00000000-0008-0000-0600-0000F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154</xdr:row>
          <xdr:rowOff>28575</xdr:rowOff>
        </xdr:from>
        <xdr:to>
          <xdr:col>9</xdr:col>
          <xdr:colOff>161925</xdr:colOff>
          <xdr:row>154</xdr:row>
          <xdr:rowOff>209550</xdr:rowOff>
        </xdr:to>
        <xdr:sp macro="" textlink="">
          <xdr:nvSpPr>
            <xdr:cNvPr id="9470" name="Check Box 254" hidden="1">
              <a:extLst>
                <a:ext uri="{63B3BB69-23CF-44E3-9099-C40C66FF867C}">
                  <a14:compatExt spid="_x0000_s9470"/>
                </a:ext>
                <a:ext uri="{FF2B5EF4-FFF2-40B4-BE49-F238E27FC236}">
                  <a16:creationId xmlns:a16="http://schemas.microsoft.com/office/drawing/2014/main" id="{00000000-0008-0000-0600-0000F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154</xdr:row>
          <xdr:rowOff>28575</xdr:rowOff>
        </xdr:from>
        <xdr:to>
          <xdr:col>15</xdr:col>
          <xdr:colOff>0</xdr:colOff>
          <xdr:row>154</xdr:row>
          <xdr:rowOff>209550</xdr:rowOff>
        </xdr:to>
        <xdr:sp macro="" textlink="">
          <xdr:nvSpPr>
            <xdr:cNvPr id="9471" name="Check Box 255" hidden="1">
              <a:extLst>
                <a:ext uri="{63B3BB69-23CF-44E3-9099-C40C66FF867C}">
                  <a14:compatExt spid="_x0000_s9471"/>
                </a:ext>
                <a:ext uri="{FF2B5EF4-FFF2-40B4-BE49-F238E27FC236}">
                  <a16:creationId xmlns:a16="http://schemas.microsoft.com/office/drawing/2014/main" id="{00000000-0008-0000-0600-0000F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154</xdr:row>
          <xdr:rowOff>28575</xdr:rowOff>
        </xdr:from>
        <xdr:to>
          <xdr:col>18</xdr:col>
          <xdr:colOff>0</xdr:colOff>
          <xdr:row>154</xdr:row>
          <xdr:rowOff>209550</xdr:rowOff>
        </xdr:to>
        <xdr:sp macro="" textlink="">
          <xdr:nvSpPr>
            <xdr:cNvPr id="9472" name="Check Box 256" hidden="1">
              <a:extLst>
                <a:ext uri="{63B3BB69-23CF-44E3-9099-C40C66FF867C}">
                  <a14:compatExt spid="_x0000_s9472"/>
                </a:ext>
                <a:ext uri="{FF2B5EF4-FFF2-40B4-BE49-F238E27FC236}">
                  <a16:creationId xmlns:a16="http://schemas.microsoft.com/office/drawing/2014/main" id="{00000000-0008-0000-0600-00000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154</xdr:row>
          <xdr:rowOff>28575</xdr:rowOff>
        </xdr:from>
        <xdr:to>
          <xdr:col>21</xdr:col>
          <xdr:colOff>0</xdr:colOff>
          <xdr:row>154</xdr:row>
          <xdr:rowOff>209550</xdr:rowOff>
        </xdr:to>
        <xdr:sp macro="" textlink="">
          <xdr:nvSpPr>
            <xdr:cNvPr id="9473" name="Check Box 257" hidden="1">
              <a:extLst>
                <a:ext uri="{63B3BB69-23CF-44E3-9099-C40C66FF867C}">
                  <a14:compatExt spid="_x0000_s9473"/>
                </a:ext>
                <a:ext uri="{FF2B5EF4-FFF2-40B4-BE49-F238E27FC236}">
                  <a16:creationId xmlns:a16="http://schemas.microsoft.com/office/drawing/2014/main" id="{00000000-0008-0000-0600-00000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200</xdr:row>
          <xdr:rowOff>114300</xdr:rowOff>
        </xdr:from>
        <xdr:to>
          <xdr:col>9</xdr:col>
          <xdr:colOff>0</xdr:colOff>
          <xdr:row>202</xdr:row>
          <xdr:rowOff>9525</xdr:rowOff>
        </xdr:to>
        <xdr:sp macro="" textlink="">
          <xdr:nvSpPr>
            <xdr:cNvPr id="9474" name="Check Box 258" hidden="1">
              <a:extLst>
                <a:ext uri="{63B3BB69-23CF-44E3-9099-C40C66FF867C}">
                  <a14:compatExt spid="_x0000_s9474"/>
                </a:ext>
                <a:ext uri="{FF2B5EF4-FFF2-40B4-BE49-F238E27FC236}">
                  <a16:creationId xmlns:a16="http://schemas.microsoft.com/office/drawing/2014/main" id="{00000000-0008-0000-0600-00000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201</xdr:row>
          <xdr:rowOff>114300</xdr:rowOff>
        </xdr:from>
        <xdr:to>
          <xdr:col>9</xdr:col>
          <xdr:colOff>0</xdr:colOff>
          <xdr:row>203</xdr:row>
          <xdr:rowOff>9525</xdr:rowOff>
        </xdr:to>
        <xdr:sp macro="" textlink="">
          <xdr:nvSpPr>
            <xdr:cNvPr id="9475" name="Check Box 259" hidden="1">
              <a:extLst>
                <a:ext uri="{63B3BB69-23CF-44E3-9099-C40C66FF867C}">
                  <a14:compatExt spid="_x0000_s9475"/>
                </a:ext>
                <a:ext uri="{FF2B5EF4-FFF2-40B4-BE49-F238E27FC236}">
                  <a16:creationId xmlns:a16="http://schemas.microsoft.com/office/drawing/2014/main" id="{00000000-0008-0000-0600-00000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200</xdr:row>
          <xdr:rowOff>114300</xdr:rowOff>
        </xdr:from>
        <xdr:to>
          <xdr:col>16</xdr:col>
          <xdr:colOff>0</xdr:colOff>
          <xdr:row>202</xdr:row>
          <xdr:rowOff>9525</xdr:rowOff>
        </xdr:to>
        <xdr:sp macro="" textlink="">
          <xdr:nvSpPr>
            <xdr:cNvPr id="9476" name="Check Box 260" hidden="1">
              <a:extLst>
                <a:ext uri="{63B3BB69-23CF-44E3-9099-C40C66FF867C}">
                  <a14:compatExt spid="_x0000_s9476"/>
                </a:ext>
                <a:ext uri="{FF2B5EF4-FFF2-40B4-BE49-F238E27FC236}">
                  <a16:creationId xmlns:a16="http://schemas.microsoft.com/office/drawing/2014/main" id="{00000000-0008-0000-0600-00000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201</xdr:row>
          <xdr:rowOff>114300</xdr:rowOff>
        </xdr:from>
        <xdr:to>
          <xdr:col>16</xdr:col>
          <xdr:colOff>0</xdr:colOff>
          <xdr:row>203</xdr:row>
          <xdr:rowOff>9525</xdr:rowOff>
        </xdr:to>
        <xdr:sp macro="" textlink="">
          <xdr:nvSpPr>
            <xdr:cNvPr id="9477" name="Check Box 261" hidden="1">
              <a:extLst>
                <a:ext uri="{63B3BB69-23CF-44E3-9099-C40C66FF867C}">
                  <a14:compatExt spid="_x0000_s9477"/>
                </a:ext>
                <a:ext uri="{FF2B5EF4-FFF2-40B4-BE49-F238E27FC236}">
                  <a16:creationId xmlns:a16="http://schemas.microsoft.com/office/drawing/2014/main" id="{00000000-0008-0000-0600-00000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200</xdr:row>
          <xdr:rowOff>114300</xdr:rowOff>
        </xdr:from>
        <xdr:to>
          <xdr:col>23</xdr:col>
          <xdr:colOff>0</xdr:colOff>
          <xdr:row>202</xdr:row>
          <xdr:rowOff>9525</xdr:rowOff>
        </xdr:to>
        <xdr:sp macro="" textlink="">
          <xdr:nvSpPr>
            <xdr:cNvPr id="9478" name="Check Box 262" hidden="1">
              <a:extLst>
                <a:ext uri="{63B3BB69-23CF-44E3-9099-C40C66FF867C}">
                  <a14:compatExt spid="_x0000_s9478"/>
                </a:ext>
                <a:ext uri="{FF2B5EF4-FFF2-40B4-BE49-F238E27FC236}">
                  <a16:creationId xmlns:a16="http://schemas.microsoft.com/office/drawing/2014/main" id="{00000000-0008-0000-0600-00000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201</xdr:row>
          <xdr:rowOff>114300</xdr:rowOff>
        </xdr:from>
        <xdr:to>
          <xdr:col>23</xdr:col>
          <xdr:colOff>0</xdr:colOff>
          <xdr:row>203</xdr:row>
          <xdr:rowOff>9525</xdr:rowOff>
        </xdr:to>
        <xdr:sp macro="" textlink="">
          <xdr:nvSpPr>
            <xdr:cNvPr id="9479" name="Check Box 263" hidden="1">
              <a:extLst>
                <a:ext uri="{63B3BB69-23CF-44E3-9099-C40C66FF867C}">
                  <a14:compatExt spid="_x0000_s9479"/>
                </a:ext>
                <a:ext uri="{FF2B5EF4-FFF2-40B4-BE49-F238E27FC236}">
                  <a16:creationId xmlns:a16="http://schemas.microsoft.com/office/drawing/2014/main" id="{00000000-0008-0000-0600-00000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200</xdr:row>
          <xdr:rowOff>114300</xdr:rowOff>
        </xdr:from>
        <xdr:to>
          <xdr:col>30</xdr:col>
          <xdr:colOff>0</xdr:colOff>
          <xdr:row>202</xdr:row>
          <xdr:rowOff>9525</xdr:rowOff>
        </xdr:to>
        <xdr:sp macro="" textlink="">
          <xdr:nvSpPr>
            <xdr:cNvPr id="9480" name="Check Box 264" hidden="1">
              <a:extLst>
                <a:ext uri="{63B3BB69-23CF-44E3-9099-C40C66FF867C}">
                  <a14:compatExt spid="_x0000_s9480"/>
                </a:ext>
                <a:ext uri="{FF2B5EF4-FFF2-40B4-BE49-F238E27FC236}">
                  <a16:creationId xmlns:a16="http://schemas.microsoft.com/office/drawing/2014/main" id="{00000000-0008-0000-0600-00000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201</xdr:row>
          <xdr:rowOff>114300</xdr:rowOff>
        </xdr:from>
        <xdr:to>
          <xdr:col>30</xdr:col>
          <xdr:colOff>0</xdr:colOff>
          <xdr:row>203</xdr:row>
          <xdr:rowOff>9525</xdr:rowOff>
        </xdr:to>
        <xdr:sp macro="" textlink="">
          <xdr:nvSpPr>
            <xdr:cNvPr id="9481" name="Check Box 265" hidden="1">
              <a:extLst>
                <a:ext uri="{63B3BB69-23CF-44E3-9099-C40C66FF867C}">
                  <a14:compatExt spid="_x0000_s9481"/>
                </a:ext>
                <a:ext uri="{FF2B5EF4-FFF2-40B4-BE49-F238E27FC236}">
                  <a16:creationId xmlns:a16="http://schemas.microsoft.com/office/drawing/2014/main" id="{00000000-0008-0000-0600-000009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18</xdr:col>
      <xdr:colOff>171450</xdr:colOff>
      <xdr:row>172</xdr:row>
      <xdr:rowOff>10837</xdr:rowOff>
    </xdr:from>
    <xdr:to>
      <xdr:col>32</xdr:col>
      <xdr:colOff>38100</xdr:colOff>
      <xdr:row>185</xdr:row>
      <xdr:rowOff>128512</xdr:rowOff>
    </xdr:to>
    <xdr:pic>
      <xdr:nvPicPr>
        <xdr:cNvPr id="9482" name="図 9481">
          <a:extLst>
            <a:ext uri="{FF2B5EF4-FFF2-40B4-BE49-F238E27FC236}">
              <a16:creationId xmlns:a16="http://schemas.microsoft.com/office/drawing/2014/main" id="{8447F165-F700-4BC2-9525-7CEC0CC35D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30443212"/>
          <a:ext cx="2533650" cy="19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180974</xdr:colOff>
      <xdr:row>170</xdr:row>
      <xdr:rowOff>76201</xdr:rowOff>
    </xdr:from>
    <xdr:to>
      <xdr:col>41</xdr:col>
      <xdr:colOff>171449</xdr:colOff>
      <xdr:row>171</xdr:row>
      <xdr:rowOff>104776</xdr:rowOff>
    </xdr:to>
    <xdr:sp macro="" textlink="">
      <xdr:nvSpPr>
        <xdr:cNvPr id="9483" name="テキスト ボックス 9482">
          <a:extLst>
            <a:ext uri="{FF2B5EF4-FFF2-40B4-BE49-F238E27FC236}">
              <a16:creationId xmlns:a16="http://schemas.microsoft.com/office/drawing/2014/main" id="{DF6775DB-1445-403C-887B-061CB49C23F1}"/>
            </a:ext>
          </a:extLst>
        </xdr:cNvPr>
        <xdr:cNvSpPr txBox="1"/>
      </xdr:nvSpPr>
      <xdr:spPr>
        <a:xfrm>
          <a:off x="7858124" y="30222826"/>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42</xdr:col>
      <xdr:colOff>95250</xdr:colOff>
      <xdr:row>170</xdr:row>
      <xdr:rowOff>66675</xdr:rowOff>
    </xdr:from>
    <xdr:to>
      <xdr:col>43</xdr:col>
      <xdr:colOff>85725</xdr:colOff>
      <xdr:row>171</xdr:row>
      <xdr:rowOff>95250</xdr:rowOff>
    </xdr:to>
    <xdr:sp macro="" textlink="">
      <xdr:nvSpPr>
        <xdr:cNvPr id="9484" name="テキスト ボックス 9483">
          <a:extLst>
            <a:ext uri="{FF2B5EF4-FFF2-40B4-BE49-F238E27FC236}">
              <a16:creationId xmlns:a16="http://schemas.microsoft.com/office/drawing/2014/main" id="{9BCCA515-6A90-4187-9987-2554A0AE547B}"/>
            </a:ext>
          </a:extLst>
        </xdr:cNvPr>
        <xdr:cNvSpPr txBox="1"/>
      </xdr:nvSpPr>
      <xdr:spPr>
        <a:xfrm>
          <a:off x="81534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43</xdr:col>
      <xdr:colOff>171450</xdr:colOff>
      <xdr:row>170</xdr:row>
      <xdr:rowOff>66675</xdr:rowOff>
    </xdr:from>
    <xdr:to>
      <xdr:col>44</xdr:col>
      <xdr:colOff>161925</xdr:colOff>
      <xdr:row>171</xdr:row>
      <xdr:rowOff>95250</xdr:rowOff>
    </xdr:to>
    <xdr:sp macro="" textlink="">
      <xdr:nvSpPr>
        <xdr:cNvPr id="9485" name="テキスト ボックス 9484">
          <a:extLst>
            <a:ext uri="{FF2B5EF4-FFF2-40B4-BE49-F238E27FC236}">
              <a16:creationId xmlns:a16="http://schemas.microsoft.com/office/drawing/2014/main" id="{65D46C14-B8AF-434B-915B-B82D75C2D6BA}"/>
            </a:ext>
          </a:extLst>
        </xdr:cNvPr>
        <xdr:cNvSpPr txBox="1"/>
      </xdr:nvSpPr>
      <xdr:spPr>
        <a:xfrm>
          <a:off x="8420100" y="302133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200" b="1"/>
            <a:t>△</a:t>
          </a:r>
        </a:p>
      </xdr:txBody>
    </xdr:sp>
    <xdr:clientData/>
  </xdr:twoCellAnchor>
  <xdr:twoCellAnchor>
    <xdr:from>
      <xdr:col>41</xdr:col>
      <xdr:colOff>19050</xdr:colOff>
      <xdr:row>173</xdr:row>
      <xdr:rowOff>57150</xdr:rowOff>
    </xdr:from>
    <xdr:to>
      <xdr:col>42</xdr:col>
      <xdr:colOff>9525</xdr:colOff>
      <xdr:row>174</xdr:row>
      <xdr:rowOff>85725</xdr:rowOff>
    </xdr:to>
    <xdr:sp macro="" textlink="">
      <xdr:nvSpPr>
        <xdr:cNvPr id="9486" name="テキスト ボックス 9485">
          <a:extLst>
            <a:ext uri="{FF2B5EF4-FFF2-40B4-BE49-F238E27FC236}">
              <a16:creationId xmlns:a16="http://schemas.microsoft.com/office/drawing/2014/main" id="{8BBD65A9-F144-426E-A989-EA72812565C6}"/>
            </a:ext>
          </a:extLst>
        </xdr:cNvPr>
        <xdr:cNvSpPr txBox="1"/>
      </xdr:nvSpPr>
      <xdr:spPr>
        <a:xfrm>
          <a:off x="7886700" y="3063240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42</xdr:col>
      <xdr:colOff>142875</xdr:colOff>
      <xdr:row>173</xdr:row>
      <xdr:rowOff>85725</xdr:rowOff>
    </xdr:from>
    <xdr:to>
      <xdr:col>43</xdr:col>
      <xdr:colOff>133350</xdr:colOff>
      <xdr:row>174</xdr:row>
      <xdr:rowOff>114300</xdr:rowOff>
    </xdr:to>
    <xdr:sp macro="" textlink="">
      <xdr:nvSpPr>
        <xdr:cNvPr id="9487" name="テキスト ボックス 9486">
          <a:extLst>
            <a:ext uri="{FF2B5EF4-FFF2-40B4-BE49-F238E27FC236}">
              <a16:creationId xmlns:a16="http://schemas.microsoft.com/office/drawing/2014/main" id="{D6E5A2C3-69B9-42A1-9CA4-01836726C8D5}"/>
            </a:ext>
          </a:extLst>
        </xdr:cNvPr>
        <xdr:cNvSpPr txBox="1"/>
      </xdr:nvSpPr>
      <xdr:spPr>
        <a:xfrm>
          <a:off x="82010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44</xdr:col>
      <xdr:colOff>66675</xdr:colOff>
      <xdr:row>173</xdr:row>
      <xdr:rowOff>85725</xdr:rowOff>
    </xdr:from>
    <xdr:to>
      <xdr:col>45</xdr:col>
      <xdr:colOff>57150</xdr:colOff>
      <xdr:row>174</xdr:row>
      <xdr:rowOff>114300</xdr:rowOff>
    </xdr:to>
    <xdr:sp macro="" textlink="">
      <xdr:nvSpPr>
        <xdr:cNvPr id="9488" name="テキスト ボックス 9487">
          <a:extLst>
            <a:ext uri="{FF2B5EF4-FFF2-40B4-BE49-F238E27FC236}">
              <a16:creationId xmlns:a16="http://schemas.microsoft.com/office/drawing/2014/main" id="{4BFB55D5-B3D9-4FF3-8947-E4A527C599BD}"/>
            </a:ext>
          </a:extLst>
        </xdr:cNvPr>
        <xdr:cNvSpPr txBox="1"/>
      </xdr:nvSpPr>
      <xdr:spPr>
        <a:xfrm>
          <a:off x="8505825" y="30660975"/>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b="1"/>
            <a:t>×</a:t>
          </a:r>
        </a:p>
      </xdr:txBody>
    </xdr:sp>
    <xdr:clientData/>
  </xdr:twoCellAnchor>
  <xdr:twoCellAnchor>
    <xdr:from>
      <xdr:col>41</xdr:col>
      <xdr:colOff>38100</xdr:colOff>
      <xdr:row>177</xdr:row>
      <xdr:rowOff>0</xdr:rowOff>
    </xdr:from>
    <xdr:to>
      <xdr:col>42</xdr:col>
      <xdr:colOff>28575</xdr:colOff>
      <xdr:row>178</xdr:row>
      <xdr:rowOff>28575</xdr:rowOff>
    </xdr:to>
    <xdr:sp macro="" textlink="">
      <xdr:nvSpPr>
        <xdr:cNvPr id="9489" name="テキスト ボックス 9488">
          <a:extLst>
            <a:ext uri="{FF2B5EF4-FFF2-40B4-BE49-F238E27FC236}">
              <a16:creationId xmlns:a16="http://schemas.microsoft.com/office/drawing/2014/main" id="{3ED677EE-3B14-4CE1-9060-75972F47D8EE}"/>
            </a:ext>
          </a:extLst>
        </xdr:cNvPr>
        <xdr:cNvSpPr txBox="1"/>
      </xdr:nvSpPr>
      <xdr:spPr>
        <a:xfrm>
          <a:off x="79057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42</xdr:col>
      <xdr:colOff>76200</xdr:colOff>
      <xdr:row>177</xdr:row>
      <xdr:rowOff>0</xdr:rowOff>
    </xdr:from>
    <xdr:to>
      <xdr:col>43</xdr:col>
      <xdr:colOff>66675</xdr:colOff>
      <xdr:row>178</xdr:row>
      <xdr:rowOff>28575</xdr:rowOff>
    </xdr:to>
    <xdr:sp macro="" textlink="">
      <xdr:nvSpPr>
        <xdr:cNvPr id="9490" name="テキスト ボックス 9489">
          <a:extLst>
            <a:ext uri="{FF2B5EF4-FFF2-40B4-BE49-F238E27FC236}">
              <a16:creationId xmlns:a16="http://schemas.microsoft.com/office/drawing/2014/main" id="{EF831B4D-AD5A-4F51-8432-4590C79A4218}"/>
            </a:ext>
          </a:extLst>
        </xdr:cNvPr>
        <xdr:cNvSpPr txBox="1"/>
      </xdr:nvSpPr>
      <xdr:spPr>
        <a:xfrm>
          <a:off x="813435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xdr:from>
      <xdr:col>43</xdr:col>
      <xdr:colOff>171450</xdr:colOff>
      <xdr:row>177</xdr:row>
      <xdr:rowOff>0</xdr:rowOff>
    </xdr:from>
    <xdr:to>
      <xdr:col>44</xdr:col>
      <xdr:colOff>161925</xdr:colOff>
      <xdr:row>178</xdr:row>
      <xdr:rowOff>28575</xdr:rowOff>
    </xdr:to>
    <xdr:sp macro="" textlink="">
      <xdr:nvSpPr>
        <xdr:cNvPr id="9491" name="テキスト ボックス 9490">
          <a:extLst>
            <a:ext uri="{FF2B5EF4-FFF2-40B4-BE49-F238E27FC236}">
              <a16:creationId xmlns:a16="http://schemas.microsoft.com/office/drawing/2014/main" id="{5B668B12-DF1D-4CA1-898A-0A53B3B157C2}"/>
            </a:ext>
          </a:extLst>
        </xdr:cNvPr>
        <xdr:cNvSpPr txBox="1"/>
      </xdr:nvSpPr>
      <xdr:spPr>
        <a:xfrm>
          <a:off x="8420100" y="31146750"/>
          <a:ext cx="1809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a:t>●</a:t>
          </a:r>
          <a:endParaRPr kumimoji="1" lang="en-US" altLang="ja-JP" sz="1100" b="1"/>
        </a:p>
      </xdr:txBody>
    </xdr:sp>
    <xdr:clientData/>
  </xdr:twoCellAnchor>
  <xdr:twoCellAnchor editAs="oneCell">
    <xdr:from>
      <xdr:col>41</xdr:col>
      <xdr:colOff>180976</xdr:colOff>
      <xdr:row>141</xdr:row>
      <xdr:rowOff>0</xdr:rowOff>
    </xdr:from>
    <xdr:to>
      <xdr:col>52</xdr:col>
      <xdr:colOff>154432</xdr:colOff>
      <xdr:row>152</xdr:row>
      <xdr:rowOff>142875</xdr:rowOff>
    </xdr:to>
    <xdr:pic>
      <xdr:nvPicPr>
        <xdr:cNvPr id="9492" name="図 9491">
          <a:extLst>
            <a:ext uri="{FF2B5EF4-FFF2-40B4-BE49-F238E27FC236}">
              <a16:creationId xmlns:a16="http://schemas.microsoft.com/office/drawing/2014/main" id="{A66A1BCF-B6E6-4A6E-8473-A53FBF49341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48626" y="24717375"/>
          <a:ext cx="2068956"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1</xdr:colOff>
      <xdr:row>141</xdr:row>
      <xdr:rowOff>0</xdr:rowOff>
    </xdr:from>
    <xdr:to>
      <xdr:col>63</xdr:col>
      <xdr:colOff>133239</xdr:colOff>
      <xdr:row>152</xdr:row>
      <xdr:rowOff>142875</xdr:rowOff>
    </xdr:to>
    <xdr:pic>
      <xdr:nvPicPr>
        <xdr:cNvPr id="9493" name="図 9492">
          <a:extLst>
            <a:ext uri="{FF2B5EF4-FFF2-40B4-BE49-F238E27FC236}">
              <a16:creationId xmlns:a16="http://schemas.microsoft.com/office/drawing/2014/main" id="{3C02C1A3-B2B4-42E7-B889-92316D1F385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53651" y="24717375"/>
          <a:ext cx="2038238"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152400</xdr:colOff>
      <xdr:row>64</xdr:row>
      <xdr:rowOff>38100</xdr:rowOff>
    </xdr:from>
    <xdr:to>
      <xdr:col>52</xdr:col>
      <xdr:colOff>76200</xdr:colOff>
      <xdr:row>66</xdr:row>
      <xdr:rowOff>0</xdr:rowOff>
    </xdr:to>
    <xdr:grpSp>
      <xdr:nvGrpSpPr>
        <xdr:cNvPr id="9498" name="グループ化 9497">
          <a:extLst>
            <a:ext uri="{FF2B5EF4-FFF2-40B4-BE49-F238E27FC236}">
              <a16:creationId xmlns:a16="http://schemas.microsoft.com/office/drawing/2014/main" id="{B3FC7DE9-7FA1-4B83-A16B-5568B2AC450B}"/>
            </a:ext>
          </a:extLst>
        </xdr:cNvPr>
        <xdr:cNvGrpSpPr/>
      </xdr:nvGrpSpPr>
      <xdr:grpSpPr>
        <a:xfrm>
          <a:off x="9734550" y="11268075"/>
          <a:ext cx="304800" cy="304800"/>
          <a:chOff x="8134350" y="11182350"/>
          <a:chExt cx="304800" cy="304800"/>
        </a:xfrm>
      </xdr:grpSpPr>
      <xdr:sp macro="" textlink="">
        <xdr:nvSpPr>
          <xdr:cNvPr id="9499" name="楕円 9498">
            <a:extLst>
              <a:ext uri="{FF2B5EF4-FFF2-40B4-BE49-F238E27FC236}">
                <a16:creationId xmlns:a16="http://schemas.microsoft.com/office/drawing/2014/main" id="{3D846572-FAC8-F241-6F41-8647F6872492}"/>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500" name="楕円 9499">
            <a:extLst>
              <a:ext uri="{FF2B5EF4-FFF2-40B4-BE49-F238E27FC236}">
                <a16:creationId xmlns:a16="http://schemas.microsoft.com/office/drawing/2014/main" id="{FB62F55A-3212-634D-A5D2-B0E4C17760C5}"/>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40</xdr:col>
      <xdr:colOff>171450</xdr:colOff>
      <xdr:row>64</xdr:row>
      <xdr:rowOff>9525</xdr:rowOff>
    </xdr:from>
    <xdr:to>
      <xdr:col>47</xdr:col>
      <xdr:colOff>68925</xdr:colOff>
      <xdr:row>65</xdr:row>
      <xdr:rowOff>142875</xdr:rowOff>
    </xdr:to>
    <xdr:grpSp>
      <xdr:nvGrpSpPr>
        <xdr:cNvPr id="9501" name="グループ化 9500">
          <a:extLst>
            <a:ext uri="{FF2B5EF4-FFF2-40B4-BE49-F238E27FC236}">
              <a16:creationId xmlns:a16="http://schemas.microsoft.com/office/drawing/2014/main" id="{F2A5C8E4-93F9-48DE-AC79-7ACAA00C93A8}"/>
            </a:ext>
          </a:extLst>
        </xdr:cNvPr>
        <xdr:cNvGrpSpPr/>
      </xdr:nvGrpSpPr>
      <xdr:grpSpPr>
        <a:xfrm>
          <a:off x="7848600" y="11239500"/>
          <a:ext cx="1230975" cy="304800"/>
          <a:chOff x="7848600" y="11239500"/>
          <a:chExt cx="1230975" cy="304800"/>
        </a:xfrm>
      </xdr:grpSpPr>
      <xdr:grpSp>
        <xdr:nvGrpSpPr>
          <xdr:cNvPr id="9502" name="グループ化 9501">
            <a:extLst>
              <a:ext uri="{FF2B5EF4-FFF2-40B4-BE49-F238E27FC236}">
                <a16:creationId xmlns:a16="http://schemas.microsoft.com/office/drawing/2014/main" id="{CDD43C44-7B35-14BB-430A-13F19CC52D07}"/>
              </a:ext>
            </a:extLst>
          </xdr:cNvPr>
          <xdr:cNvGrpSpPr/>
        </xdr:nvGrpSpPr>
        <xdr:grpSpPr>
          <a:xfrm>
            <a:off x="7848600" y="11239500"/>
            <a:ext cx="304800" cy="304800"/>
            <a:chOff x="8134350" y="11182350"/>
            <a:chExt cx="304800" cy="304800"/>
          </a:xfrm>
        </xdr:grpSpPr>
        <xdr:sp macro="" textlink="">
          <xdr:nvSpPr>
            <xdr:cNvPr id="9306" name="楕円 9305">
              <a:extLst>
                <a:ext uri="{FF2B5EF4-FFF2-40B4-BE49-F238E27FC236}">
                  <a16:creationId xmlns:a16="http://schemas.microsoft.com/office/drawing/2014/main" id="{1DBE7C39-DE69-D6F6-20EC-4BCB50D23094}"/>
                </a:ext>
              </a:extLst>
            </xdr:cNvPr>
            <xdr:cNvSpPr/>
          </xdr:nvSpPr>
          <xdr:spPr>
            <a:xfrm>
              <a:off x="8134350" y="1118235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24" name="楕円 9323">
              <a:extLst>
                <a:ext uri="{FF2B5EF4-FFF2-40B4-BE49-F238E27FC236}">
                  <a16:creationId xmlns:a16="http://schemas.microsoft.com/office/drawing/2014/main" id="{43BF1DCB-8A98-C1BD-F09E-283A2DCA3A59}"/>
                </a:ext>
              </a:extLst>
            </xdr:cNvPr>
            <xdr:cNvSpPr/>
          </xdr:nvSpPr>
          <xdr:spPr>
            <a:xfrm>
              <a:off x="8210550" y="11258550"/>
              <a:ext cx="154800" cy="15480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9503" name="正方形/長方形 9502">
            <a:extLst>
              <a:ext uri="{FF2B5EF4-FFF2-40B4-BE49-F238E27FC236}">
                <a16:creationId xmlns:a16="http://schemas.microsoft.com/office/drawing/2014/main" id="{FC7ADF90-F8B4-7A54-3339-37283CF169F3}"/>
              </a:ext>
            </a:extLst>
          </xdr:cNvPr>
          <xdr:cNvSpPr/>
        </xdr:nvSpPr>
        <xdr:spPr>
          <a:xfrm>
            <a:off x="8791575" y="112490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9298" name="直線コネクタ 9297">
            <a:extLst>
              <a:ext uri="{FF2B5EF4-FFF2-40B4-BE49-F238E27FC236}">
                <a16:creationId xmlns:a16="http://schemas.microsoft.com/office/drawing/2014/main" id="{B859D9B8-9B56-94A9-35EF-D2F67CD97966}"/>
              </a:ext>
            </a:extLst>
          </xdr:cNvPr>
          <xdr:cNvCxnSpPr>
            <a:stCxn id="9306" idx="6"/>
            <a:endCxn id="9503" idx="1"/>
          </xdr:cNvCxnSpPr>
        </xdr:nvCxnSpPr>
        <xdr:spPr>
          <a:xfrm>
            <a:off x="8153400" y="11391900"/>
            <a:ext cx="638175" cy="112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41</xdr:col>
      <xdr:colOff>28575</xdr:colOff>
      <xdr:row>67</xdr:row>
      <xdr:rowOff>19050</xdr:rowOff>
    </xdr:from>
    <xdr:to>
      <xdr:col>47</xdr:col>
      <xdr:colOff>133350</xdr:colOff>
      <xdr:row>68</xdr:row>
      <xdr:rowOff>154650</xdr:rowOff>
    </xdr:to>
    <xdr:grpSp>
      <xdr:nvGrpSpPr>
        <xdr:cNvPr id="9326" name="グループ化 9325">
          <a:extLst>
            <a:ext uri="{FF2B5EF4-FFF2-40B4-BE49-F238E27FC236}">
              <a16:creationId xmlns:a16="http://schemas.microsoft.com/office/drawing/2014/main" id="{B9A2007B-B015-47FA-B6AE-34FF8DEE2836}"/>
            </a:ext>
          </a:extLst>
        </xdr:cNvPr>
        <xdr:cNvGrpSpPr/>
      </xdr:nvGrpSpPr>
      <xdr:grpSpPr>
        <a:xfrm>
          <a:off x="7896225" y="11763375"/>
          <a:ext cx="1247775" cy="307050"/>
          <a:chOff x="7896225" y="11763375"/>
          <a:chExt cx="1247775" cy="307050"/>
        </a:xfrm>
      </xdr:grpSpPr>
      <xdr:cxnSp macro="">
        <xdr:nvCxnSpPr>
          <xdr:cNvPr id="9327" name="直線コネクタ 9326">
            <a:extLst>
              <a:ext uri="{FF2B5EF4-FFF2-40B4-BE49-F238E27FC236}">
                <a16:creationId xmlns:a16="http://schemas.microsoft.com/office/drawing/2014/main" id="{E90AAADB-D763-93AA-7EF7-F4BB49A17D54}"/>
              </a:ext>
            </a:extLst>
          </xdr:cNvPr>
          <xdr:cNvCxnSpPr>
            <a:stCxn id="9330" idx="3"/>
            <a:endCxn id="9329" idx="2"/>
          </xdr:cNvCxnSpPr>
        </xdr:nvCxnSpPr>
        <xdr:spPr>
          <a:xfrm flipV="1">
            <a:off x="8184225" y="11915775"/>
            <a:ext cx="654975" cy="10650"/>
          </a:xfrm>
          <a:prstGeom prst="line">
            <a:avLst/>
          </a:prstGeom>
        </xdr:spPr>
        <xdr:style>
          <a:lnRef idx="1">
            <a:schemeClr val="dk1"/>
          </a:lnRef>
          <a:fillRef idx="0">
            <a:schemeClr val="dk1"/>
          </a:fillRef>
          <a:effectRef idx="0">
            <a:schemeClr val="dk1"/>
          </a:effectRef>
          <a:fontRef idx="minor">
            <a:schemeClr val="tx1"/>
          </a:fontRef>
        </xdr:style>
      </xdr:cxnSp>
      <xdr:grpSp>
        <xdr:nvGrpSpPr>
          <xdr:cNvPr id="9328" name="グループ化 9327">
            <a:extLst>
              <a:ext uri="{FF2B5EF4-FFF2-40B4-BE49-F238E27FC236}">
                <a16:creationId xmlns:a16="http://schemas.microsoft.com/office/drawing/2014/main" id="{466DA02C-7C69-5D82-783C-DAF997C71FAD}"/>
              </a:ext>
            </a:extLst>
          </xdr:cNvPr>
          <xdr:cNvGrpSpPr/>
        </xdr:nvGrpSpPr>
        <xdr:grpSpPr>
          <a:xfrm>
            <a:off x="7896225" y="11763375"/>
            <a:ext cx="1247775" cy="307050"/>
            <a:chOff x="7896225" y="11763375"/>
            <a:chExt cx="1247775" cy="307050"/>
          </a:xfrm>
        </xdr:grpSpPr>
        <xdr:sp macro="" textlink="">
          <xdr:nvSpPr>
            <xdr:cNvPr id="9329" name="楕円 9328">
              <a:extLst>
                <a:ext uri="{FF2B5EF4-FFF2-40B4-BE49-F238E27FC236}">
                  <a16:creationId xmlns:a16="http://schemas.microsoft.com/office/drawing/2014/main" id="{A31321CA-A88E-3374-D7C5-7FAA3FE4D0B8}"/>
                </a:ext>
              </a:extLst>
            </xdr:cNvPr>
            <xdr:cNvSpPr/>
          </xdr:nvSpPr>
          <xdr:spPr>
            <a:xfrm>
              <a:off x="8839200" y="11763375"/>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0" name="正方形/長方形 9329">
              <a:extLst>
                <a:ext uri="{FF2B5EF4-FFF2-40B4-BE49-F238E27FC236}">
                  <a16:creationId xmlns:a16="http://schemas.microsoft.com/office/drawing/2014/main" id="{AA307C45-8983-FAA9-DAB7-5030D6CC6C6C}"/>
                </a:ext>
              </a:extLst>
            </xdr:cNvPr>
            <xdr:cNvSpPr/>
          </xdr:nvSpPr>
          <xdr:spPr>
            <a:xfrm>
              <a:off x="7896225" y="1178242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1" name="正方形/長方形 9330">
              <a:extLst>
                <a:ext uri="{FF2B5EF4-FFF2-40B4-BE49-F238E27FC236}">
                  <a16:creationId xmlns:a16="http://schemas.microsoft.com/office/drawing/2014/main" id="{136B7328-4077-B078-6B17-A30739ABC153}"/>
                </a:ext>
              </a:extLst>
            </xdr:cNvPr>
            <xdr:cNvSpPr/>
          </xdr:nvSpPr>
          <xdr:spPr>
            <a:xfrm>
              <a:off x="7962900" y="1184910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twoCellAnchor>
    <xdr:from>
      <xdr:col>50</xdr:col>
      <xdr:colOff>180975</xdr:colOff>
      <xdr:row>67</xdr:row>
      <xdr:rowOff>38100</xdr:rowOff>
    </xdr:from>
    <xdr:to>
      <xdr:col>52</xdr:col>
      <xdr:colOff>104775</xdr:colOff>
      <xdr:row>69</xdr:row>
      <xdr:rowOff>0</xdr:rowOff>
    </xdr:to>
    <xdr:sp macro="" textlink="">
      <xdr:nvSpPr>
        <xdr:cNvPr id="9332" name="楕円 9331">
          <a:extLst>
            <a:ext uri="{FF2B5EF4-FFF2-40B4-BE49-F238E27FC236}">
              <a16:creationId xmlns:a16="http://schemas.microsoft.com/office/drawing/2014/main" id="{D5B0FF5D-6F67-4563-A541-D67217F9527E}"/>
            </a:ext>
          </a:extLst>
        </xdr:cNvPr>
        <xdr:cNvSpPr/>
      </xdr:nvSpPr>
      <xdr:spPr>
        <a:xfrm>
          <a:off x="9763125" y="11782425"/>
          <a:ext cx="304800" cy="304800"/>
        </a:xfrm>
        <a:prstGeom prst="ellipse">
          <a:avLst/>
        </a:prstGeom>
        <a:solidFill>
          <a:schemeClr val="tx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114300</xdr:colOff>
      <xdr:row>67</xdr:row>
      <xdr:rowOff>38100</xdr:rowOff>
    </xdr:from>
    <xdr:to>
      <xdr:col>55</xdr:col>
      <xdr:colOff>21300</xdr:colOff>
      <xdr:row>68</xdr:row>
      <xdr:rowOff>154650</xdr:rowOff>
    </xdr:to>
    <xdr:sp macro="" textlink="">
      <xdr:nvSpPr>
        <xdr:cNvPr id="9333" name="正方形/長方形 9332">
          <a:extLst>
            <a:ext uri="{FF2B5EF4-FFF2-40B4-BE49-F238E27FC236}">
              <a16:creationId xmlns:a16="http://schemas.microsoft.com/office/drawing/2014/main" id="{DC566D18-E7B2-4B32-8D16-4EE5E94F34D0}"/>
            </a:ext>
          </a:extLst>
        </xdr:cNvPr>
        <xdr:cNvSpPr/>
      </xdr:nvSpPr>
      <xdr:spPr>
        <a:xfrm>
          <a:off x="10267950" y="11782425"/>
          <a:ext cx="288000" cy="288000"/>
        </a:xfrm>
        <a:prstGeom prst="rect">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51</xdr:col>
      <xdr:colOff>9525</xdr:colOff>
      <xdr:row>70</xdr:row>
      <xdr:rowOff>47625</xdr:rowOff>
    </xdr:from>
    <xdr:to>
      <xdr:col>52</xdr:col>
      <xdr:colOff>123825</xdr:colOff>
      <xdr:row>72</xdr:row>
      <xdr:rowOff>9525</xdr:rowOff>
    </xdr:to>
    <xdr:sp macro="" textlink="">
      <xdr:nvSpPr>
        <xdr:cNvPr id="9334" name="楕円 9333">
          <a:extLst>
            <a:ext uri="{FF2B5EF4-FFF2-40B4-BE49-F238E27FC236}">
              <a16:creationId xmlns:a16="http://schemas.microsoft.com/office/drawing/2014/main" id="{4E352644-4D09-43E8-BE38-495F894022E7}"/>
            </a:ext>
          </a:extLst>
        </xdr:cNvPr>
        <xdr:cNvSpPr/>
      </xdr:nvSpPr>
      <xdr:spPr>
        <a:xfrm>
          <a:off x="9782175" y="123063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66675</xdr:colOff>
      <xdr:row>64</xdr:row>
      <xdr:rowOff>28575</xdr:rowOff>
    </xdr:from>
    <xdr:to>
      <xdr:col>54</xdr:col>
      <xdr:colOff>164175</xdr:colOff>
      <xdr:row>65</xdr:row>
      <xdr:rowOff>145125</xdr:rowOff>
    </xdr:to>
    <xdr:grpSp>
      <xdr:nvGrpSpPr>
        <xdr:cNvPr id="9335" name="グループ化 9334">
          <a:extLst>
            <a:ext uri="{FF2B5EF4-FFF2-40B4-BE49-F238E27FC236}">
              <a16:creationId xmlns:a16="http://schemas.microsoft.com/office/drawing/2014/main" id="{B779FD53-17DB-4E27-94E8-6FF900DD5CC9}"/>
            </a:ext>
          </a:extLst>
        </xdr:cNvPr>
        <xdr:cNvGrpSpPr/>
      </xdr:nvGrpSpPr>
      <xdr:grpSpPr>
        <a:xfrm>
          <a:off x="10220325" y="11258550"/>
          <a:ext cx="288000" cy="288000"/>
          <a:chOff x="8820150" y="13363575"/>
          <a:chExt cx="288000" cy="288000"/>
        </a:xfrm>
      </xdr:grpSpPr>
      <xdr:sp macro="" textlink="">
        <xdr:nvSpPr>
          <xdr:cNvPr id="9336" name="正方形/長方形 9335">
            <a:extLst>
              <a:ext uri="{FF2B5EF4-FFF2-40B4-BE49-F238E27FC236}">
                <a16:creationId xmlns:a16="http://schemas.microsoft.com/office/drawing/2014/main" id="{B1D17319-D3C8-6583-C7D1-F3348010B210}"/>
              </a:ext>
            </a:extLst>
          </xdr:cNvPr>
          <xdr:cNvSpPr/>
        </xdr:nvSpPr>
        <xdr:spPr>
          <a:xfrm>
            <a:off x="8820150" y="133635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37" name="正方形/長方形 9336">
            <a:extLst>
              <a:ext uri="{FF2B5EF4-FFF2-40B4-BE49-F238E27FC236}">
                <a16:creationId xmlns:a16="http://schemas.microsoft.com/office/drawing/2014/main" id="{83FD289D-9B6B-C3E0-DBB2-8694E04AE346}"/>
              </a:ext>
            </a:extLst>
          </xdr:cNvPr>
          <xdr:cNvSpPr/>
        </xdr:nvSpPr>
        <xdr:spPr>
          <a:xfrm>
            <a:off x="8886825" y="13430250"/>
            <a:ext cx="144000" cy="144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53</xdr:col>
      <xdr:colOff>171450</xdr:colOff>
      <xdr:row>70</xdr:row>
      <xdr:rowOff>38100</xdr:rowOff>
    </xdr:from>
    <xdr:to>
      <xdr:col>55</xdr:col>
      <xdr:colOff>78450</xdr:colOff>
      <xdr:row>71</xdr:row>
      <xdr:rowOff>154650</xdr:rowOff>
    </xdr:to>
    <xdr:sp macro="" textlink="">
      <xdr:nvSpPr>
        <xdr:cNvPr id="9338" name="正方形/長方形 9337">
          <a:extLst>
            <a:ext uri="{FF2B5EF4-FFF2-40B4-BE49-F238E27FC236}">
              <a16:creationId xmlns:a16="http://schemas.microsoft.com/office/drawing/2014/main" id="{1AB30D4F-B862-4885-ABEF-FE5045F077CA}"/>
            </a:ext>
          </a:extLst>
        </xdr:cNvPr>
        <xdr:cNvSpPr/>
      </xdr:nvSpPr>
      <xdr:spPr>
        <a:xfrm>
          <a:off x="10325100" y="12296775"/>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85725</xdr:colOff>
      <xdr:row>63</xdr:row>
      <xdr:rowOff>142875</xdr:rowOff>
    </xdr:from>
    <xdr:to>
      <xdr:col>64</xdr:col>
      <xdr:colOff>47625</xdr:colOff>
      <xdr:row>65</xdr:row>
      <xdr:rowOff>107025</xdr:rowOff>
    </xdr:to>
    <xdr:grpSp>
      <xdr:nvGrpSpPr>
        <xdr:cNvPr id="9339" name="グループ化 9338">
          <a:extLst>
            <a:ext uri="{FF2B5EF4-FFF2-40B4-BE49-F238E27FC236}">
              <a16:creationId xmlns:a16="http://schemas.microsoft.com/office/drawing/2014/main" id="{A9728BBC-351D-4543-99FE-CA1ED3CFC67B}"/>
            </a:ext>
          </a:extLst>
        </xdr:cNvPr>
        <xdr:cNvGrpSpPr/>
      </xdr:nvGrpSpPr>
      <xdr:grpSpPr>
        <a:xfrm>
          <a:off x="11191875" y="11201400"/>
          <a:ext cx="1104900" cy="307050"/>
          <a:chOff x="11191875" y="11201400"/>
          <a:chExt cx="1104900" cy="307050"/>
        </a:xfrm>
      </xdr:grpSpPr>
      <xdr:cxnSp macro="">
        <xdr:nvCxnSpPr>
          <xdr:cNvPr id="9340" name="直線コネクタ 9339">
            <a:extLst>
              <a:ext uri="{FF2B5EF4-FFF2-40B4-BE49-F238E27FC236}">
                <a16:creationId xmlns:a16="http://schemas.microsoft.com/office/drawing/2014/main" id="{31C4B51E-8871-3FD4-D4F4-D96A83F9E5D9}"/>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41" name="正方形/長方形 9340">
            <a:extLst>
              <a:ext uri="{FF2B5EF4-FFF2-40B4-BE49-F238E27FC236}">
                <a16:creationId xmlns:a16="http://schemas.microsoft.com/office/drawing/2014/main" id="{9D48211A-DF74-9CAE-2C9F-1E16FC2C64C5}"/>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42" name="楕円 9341">
            <a:extLst>
              <a:ext uri="{FF2B5EF4-FFF2-40B4-BE49-F238E27FC236}">
                <a16:creationId xmlns:a16="http://schemas.microsoft.com/office/drawing/2014/main" id="{885AF138-86A6-6A5D-84EF-2D3C31300985}"/>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58</xdr:col>
      <xdr:colOff>85725</xdr:colOff>
      <xdr:row>67</xdr:row>
      <xdr:rowOff>9525</xdr:rowOff>
    </xdr:from>
    <xdr:to>
      <xdr:col>64</xdr:col>
      <xdr:colOff>47625</xdr:colOff>
      <xdr:row>68</xdr:row>
      <xdr:rowOff>145125</xdr:rowOff>
    </xdr:to>
    <xdr:grpSp>
      <xdr:nvGrpSpPr>
        <xdr:cNvPr id="9343" name="グループ化 9342">
          <a:extLst>
            <a:ext uri="{FF2B5EF4-FFF2-40B4-BE49-F238E27FC236}">
              <a16:creationId xmlns:a16="http://schemas.microsoft.com/office/drawing/2014/main" id="{DA0A3405-5BA4-4893-BF8A-BFCE5CB77126}"/>
            </a:ext>
          </a:extLst>
        </xdr:cNvPr>
        <xdr:cNvGrpSpPr/>
      </xdr:nvGrpSpPr>
      <xdr:grpSpPr>
        <a:xfrm flipH="1">
          <a:off x="11191875" y="11753850"/>
          <a:ext cx="1104900" cy="307050"/>
          <a:chOff x="11191875" y="11201400"/>
          <a:chExt cx="1104900" cy="307050"/>
        </a:xfrm>
      </xdr:grpSpPr>
      <xdr:cxnSp macro="">
        <xdr:nvCxnSpPr>
          <xdr:cNvPr id="9381" name="直線コネクタ 9380">
            <a:extLst>
              <a:ext uri="{FF2B5EF4-FFF2-40B4-BE49-F238E27FC236}">
                <a16:creationId xmlns:a16="http://schemas.microsoft.com/office/drawing/2014/main" id="{52D4E509-4C60-48A7-55E9-F96370795A49}"/>
              </a:ext>
            </a:extLst>
          </xdr:cNvPr>
          <xdr:cNvCxnSpPr/>
        </xdr:nvCxnSpPr>
        <xdr:spPr>
          <a:xfrm>
            <a:off x="11477625" y="11363325"/>
            <a:ext cx="514350" cy="0"/>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9382" name="正方形/長方形 9381">
            <a:extLst>
              <a:ext uri="{FF2B5EF4-FFF2-40B4-BE49-F238E27FC236}">
                <a16:creationId xmlns:a16="http://schemas.microsoft.com/office/drawing/2014/main" id="{E8CEED54-194F-5827-4683-E065505AE06D}"/>
              </a:ext>
            </a:extLst>
          </xdr:cNvPr>
          <xdr:cNvSpPr/>
        </xdr:nvSpPr>
        <xdr:spPr>
          <a:xfrm>
            <a:off x="11191875" y="11220450"/>
            <a:ext cx="288000" cy="2880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383" name="楕円 9382">
            <a:extLst>
              <a:ext uri="{FF2B5EF4-FFF2-40B4-BE49-F238E27FC236}">
                <a16:creationId xmlns:a16="http://schemas.microsoft.com/office/drawing/2014/main" id="{56211A16-EC3D-E3EF-F649-AC5748044DC6}"/>
              </a:ext>
            </a:extLst>
          </xdr:cNvPr>
          <xdr:cNvSpPr/>
        </xdr:nvSpPr>
        <xdr:spPr>
          <a:xfrm>
            <a:off x="11991975" y="11201400"/>
            <a:ext cx="304800" cy="304800"/>
          </a:xfrm>
          <a:prstGeom prst="ellipse">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41</xdr:col>
      <xdr:colOff>161925</xdr:colOff>
      <xdr:row>70</xdr:row>
      <xdr:rowOff>38100</xdr:rowOff>
    </xdr:from>
    <xdr:to>
      <xdr:col>46</xdr:col>
      <xdr:colOff>171450</xdr:colOff>
      <xdr:row>70</xdr:row>
      <xdr:rowOff>38100</xdr:rowOff>
    </xdr:to>
    <xdr:cxnSp macro="">
      <xdr:nvCxnSpPr>
        <xdr:cNvPr id="9384" name="直線コネクタ 9383">
          <a:extLst>
            <a:ext uri="{FF2B5EF4-FFF2-40B4-BE49-F238E27FC236}">
              <a16:creationId xmlns:a16="http://schemas.microsoft.com/office/drawing/2014/main" id="{B5A36E53-C68F-4148-A2D2-0FF9FC89D3A5}"/>
            </a:ext>
          </a:extLst>
        </xdr:cNvPr>
        <xdr:cNvCxnSpPr/>
      </xdr:nvCxnSpPr>
      <xdr:spPr>
        <a:xfrm>
          <a:off x="8029575" y="12296775"/>
          <a:ext cx="9620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76200</xdr:colOff>
      <xdr:row>67</xdr:row>
      <xdr:rowOff>133350</xdr:rowOff>
    </xdr:from>
    <xdr:to>
      <xdr:col>39</xdr:col>
      <xdr:colOff>76200</xdr:colOff>
      <xdr:row>70</xdr:row>
      <xdr:rowOff>161925</xdr:rowOff>
    </xdr:to>
    <xdr:cxnSp macro="">
      <xdr:nvCxnSpPr>
        <xdr:cNvPr id="9385" name="直線コネクタ 9384">
          <a:extLst>
            <a:ext uri="{FF2B5EF4-FFF2-40B4-BE49-F238E27FC236}">
              <a16:creationId xmlns:a16="http://schemas.microsoft.com/office/drawing/2014/main" id="{3CF81F90-A64B-4687-9A22-8424B5376120}"/>
            </a:ext>
          </a:extLst>
        </xdr:cNvPr>
        <xdr:cNvCxnSpPr/>
      </xdr:nvCxnSpPr>
      <xdr:spPr>
        <a:xfrm>
          <a:off x="7562850" y="11877675"/>
          <a:ext cx="0" cy="542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171450</xdr:colOff>
      <xdr:row>70</xdr:row>
      <xdr:rowOff>152400</xdr:rowOff>
    </xdr:from>
    <xdr:to>
      <xdr:col>46</xdr:col>
      <xdr:colOff>180975</xdr:colOff>
      <xdr:row>74</xdr:row>
      <xdr:rowOff>38100</xdr:rowOff>
    </xdr:to>
    <xdr:grpSp>
      <xdr:nvGrpSpPr>
        <xdr:cNvPr id="9510" name="グループ化 9509">
          <a:extLst>
            <a:ext uri="{FF2B5EF4-FFF2-40B4-BE49-F238E27FC236}">
              <a16:creationId xmlns:a16="http://schemas.microsoft.com/office/drawing/2014/main" id="{D7FB579D-E50B-4FE9-847E-C8E232C8D386}"/>
            </a:ext>
          </a:extLst>
        </xdr:cNvPr>
        <xdr:cNvGrpSpPr/>
      </xdr:nvGrpSpPr>
      <xdr:grpSpPr>
        <a:xfrm>
          <a:off x="8039100" y="12411075"/>
          <a:ext cx="962025" cy="533400"/>
          <a:chOff x="8010525" y="11525250"/>
          <a:chExt cx="962025" cy="533400"/>
        </a:xfrm>
      </xdr:grpSpPr>
      <xdr:grpSp>
        <xdr:nvGrpSpPr>
          <xdr:cNvPr id="9511" name="グループ化 9510">
            <a:extLst>
              <a:ext uri="{FF2B5EF4-FFF2-40B4-BE49-F238E27FC236}">
                <a16:creationId xmlns:a16="http://schemas.microsoft.com/office/drawing/2014/main" id="{02AB6748-157F-69A6-EA00-806E4809AC20}"/>
              </a:ext>
            </a:extLst>
          </xdr:cNvPr>
          <xdr:cNvGrpSpPr/>
        </xdr:nvGrpSpPr>
        <xdr:grpSpPr>
          <a:xfrm>
            <a:off x="8010525" y="11791950"/>
            <a:ext cx="962025" cy="266700"/>
            <a:chOff x="8010525" y="11791950"/>
            <a:chExt cx="962025" cy="266700"/>
          </a:xfrm>
        </xdr:grpSpPr>
        <xdr:cxnSp macro="">
          <xdr:nvCxnSpPr>
            <xdr:cNvPr id="9513" name="直線コネクタ 9512">
              <a:extLst>
                <a:ext uri="{FF2B5EF4-FFF2-40B4-BE49-F238E27FC236}">
                  <a16:creationId xmlns:a16="http://schemas.microsoft.com/office/drawing/2014/main" id="{0C244677-7B08-27E8-4253-10590E76DF50}"/>
                </a:ext>
              </a:extLst>
            </xdr:cNvPr>
            <xdr:cNvCxnSpPr/>
          </xdr:nvCxnSpPr>
          <xdr:spPr>
            <a:xfrm>
              <a:off x="8010525" y="11791950"/>
              <a:ext cx="0" cy="26670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14" name="直線コネクタ 9513">
              <a:extLst>
                <a:ext uri="{FF2B5EF4-FFF2-40B4-BE49-F238E27FC236}">
                  <a16:creationId xmlns:a16="http://schemas.microsoft.com/office/drawing/2014/main" id="{99133359-8F0E-C711-0CB4-D6E70B2A747D}"/>
                </a:ext>
              </a:extLst>
            </xdr:cNvPr>
            <xdr:cNvCxnSpPr/>
          </xdr:nvCxnSpPr>
          <xdr:spPr>
            <a:xfrm>
              <a:off x="8010525" y="11791950"/>
              <a:ext cx="962025" cy="0"/>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9515" name="直線コネクタ 9514">
              <a:extLst>
                <a:ext uri="{FF2B5EF4-FFF2-40B4-BE49-F238E27FC236}">
                  <a16:creationId xmlns:a16="http://schemas.microsoft.com/office/drawing/2014/main" id="{0DE168FF-588C-CCE9-48F5-A2783A5A4660}"/>
                </a:ext>
              </a:extLst>
            </xdr:cNvPr>
            <xdr:cNvCxnSpPr/>
          </xdr:nvCxnSpPr>
          <xdr:spPr>
            <a:xfrm>
              <a:off x="8972550" y="11791950"/>
              <a:ext cx="0" cy="266700"/>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9512" name="直線コネクタ 9511">
            <a:extLst>
              <a:ext uri="{FF2B5EF4-FFF2-40B4-BE49-F238E27FC236}">
                <a16:creationId xmlns:a16="http://schemas.microsoft.com/office/drawing/2014/main" id="{AA753098-9C67-1241-805F-8A9996C7BA0D}"/>
              </a:ext>
            </a:extLst>
          </xdr:cNvPr>
          <xdr:cNvCxnSpPr/>
        </xdr:nvCxnSpPr>
        <xdr:spPr>
          <a:xfrm>
            <a:off x="8491537" y="11525250"/>
            <a:ext cx="0" cy="257175"/>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40</xdr:col>
      <xdr:colOff>0</xdr:colOff>
      <xdr:row>69</xdr:row>
      <xdr:rowOff>0</xdr:rowOff>
    </xdr:from>
    <xdr:to>
      <xdr:col>40</xdr:col>
      <xdr:colOff>0</xdr:colOff>
      <xdr:row>70</xdr:row>
      <xdr:rowOff>85725</xdr:rowOff>
    </xdr:to>
    <xdr:cxnSp macro="">
      <xdr:nvCxnSpPr>
        <xdr:cNvPr id="9516" name="直線コネクタ 9515">
          <a:extLst>
            <a:ext uri="{FF2B5EF4-FFF2-40B4-BE49-F238E27FC236}">
              <a16:creationId xmlns:a16="http://schemas.microsoft.com/office/drawing/2014/main" id="{8BF405A3-289A-4864-B375-581F538CE35E}"/>
            </a:ext>
          </a:extLst>
        </xdr:cNvPr>
        <xdr:cNvCxnSpPr/>
      </xdr:nvCxnSpPr>
      <xdr:spPr>
        <a:xfrm>
          <a:off x="7677150" y="12087225"/>
          <a:ext cx="0" cy="2571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0</xdr:colOff>
      <xdr:row>71</xdr:row>
      <xdr:rowOff>47625</xdr:rowOff>
    </xdr:from>
    <xdr:to>
      <xdr:col>48</xdr:col>
      <xdr:colOff>38100</xdr:colOff>
      <xdr:row>71</xdr:row>
      <xdr:rowOff>47625</xdr:rowOff>
    </xdr:to>
    <xdr:cxnSp macro="">
      <xdr:nvCxnSpPr>
        <xdr:cNvPr id="9517" name="直線コネクタ 9516">
          <a:extLst>
            <a:ext uri="{FF2B5EF4-FFF2-40B4-BE49-F238E27FC236}">
              <a16:creationId xmlns:a16="http://schemas.microsoft.com/office/drawing/2014/main" id="{2C488895-C63E-4D03-A01B-BEF737A0F3CC}"/>
            </a:ext>
          </a:extLst>
        </xdr:cNvPr>
        <xdr:cNvCxnSpPr/>
      </xdr:nvCxnSpPr>
      <xdr:spPr>
        <a:xfrm>
          <a:off x="8820150" y="12477750"/>
          <a:ext cx="4191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5</xdr:row>
      <xdr:rowOff>0</xdr:rowOff>
    </xdr:from>
    <xdr:to>
      <xdr:col>9</xdr:col>
      <xdr:colOff>0</xdr:colOff>
      <xdr:row>5</xdr:row>
      <xdr:rowOff>0</xdr:rowOff>
    </xdr:to>
    <xdr:cxnSp macro="">
      <xdr:nvCxnSpPr>
        <xdr:cNvPr id="2" name="直線矢印コネクタ 1">
          <a:extLst>
            <a:ext uri="{FF2B5EF4-FFF2-40B4-BE49-F238E27FC236}">
              <a16:creationId xmlns:a16="http://schemas.microsoft.com/office/drawing/2014/main" id="{E8980C2C-C02B-46E4-905B-416BA5C254E3}"/>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3" name="直線矢印コネクタ 2">
          <a:extLst>
            <a:ext uri="{FF2B5EF4-FFF2-40B4-BE49-F238E27FC236}">
              <a16:creationId xmlns:a16="http://schemas.microsoft.com/office/drawing/2014/main" id="{D52E9574-B766-4799-BC2C-C422DF592ECC}"/>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4" name="直線矢印コネクタ 3">
          <a:extLst>
            <a:ext uri="{FF2B5EF4-FFF2-40B4-BE49-F238E27FC236}">
              <a16:creationId xmlns:a16="http://schemas.microsoft.com/office/drawing/2014/main" id="{17F5D6DA-E9F2-4CF0-B88D-06D3646B5A69}"/>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5" name="直線矢印コネクタ 4">
          <a:extLst>
            <a:ext uri="{FF2B5EF4-FFF2-40B4-BE49-F238E27FC236}">
              <a16:creationId xmlns:a16="http://schemas.microsoft.com/office/drawing/2014/main" id="{50767841-18A0-4884-9D92-42D0B704A97D}"/>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7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6" name="直線矢印コネクタ 5">
          <a:extLst>
            <a:ext uri="{FF2B5EF4-FFF2-40B4-BE49-F238E27FC236}">
              <a16:creationId xmlns:a16="http://schemas.microsoft.com/office/drawing/2014/main" id="{D745E06E-32B6-48DF-87CC-90DD742C80D7}"/>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7" name="直線矢印コネクタ 6">
          <a:extLst>
            <a:ext uri="{FF2B5EF4-FFF2-40B4-BE49-F238E27FC236}">
              <a16:creationId xmlns:a16="http://schemas.microsoft.com/office/drawing/2014/main" id="{972148D9-1502-41BB-B6CE-E0266E6297EF}"/>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24</xdr:row>
          <xdr:rowOff>171450</xdr:rowOff>
        </xdr:from>
        <xdr:to>
          <xdr:col>0</xdr:col>
          <xdr:colOff>323850</xdr:colOff>
          <xdr:row>26</xdr:row>
          <xdr:rowOff>28575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25</xdr:row>
          <xdr:rowOff>0</xdr:rowOff>
        </xdr:from>
        <xdr:to>
          <xdr:col>9</xdr:col>
          <xdr:colOff>323850</xdr:colOff>
          <xdr:row>26</xdr:row>
          <xdr:rowOff>28575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xdr:colOff>
          <xdr:row>24</xdr:row>
          <xdr:rowOff>0</xdr:rowOff>
        </xdr:from>
        <xdr:to>
          <xdr:col>11</xdr:col>
          <xdr:colOff>323850</xdr:colOff>
          <xdr:row>25</xdr:row>
          <xdr:rowOff>28575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24</xdr:row>
          <xdr:rowOff>0</xdr:rowOff>
        </xdr:from>
        <xdr:to>
          <xdr:col>15</xdr:col>
          <xdr:colOff>323850</xdr:colOff>
          <xdr:row>25</xdr:row>
          <xdr:rowOff>28575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7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41</xdr:row>
          <xdr:rowOff>0</xdr:rowOff>
        </xdr:from>
        <xdr:to>
          <xdr:col>0</xdr:col>
          <xdr:colOff>323850</xdr:colOff>
          <xdr:row>42</xdr:row>
          <xdr:rowOff>28575</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7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7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43</xdr:row>
          <xdr:rowOff>171450</xdr:rowOff>
        </xdr:from>
        <xdr:to>
          <xdr:col>8</xdr:col>
          <xdr:colOff>47625</xdr:colOff>
          <xdr:row>45</xdr:row>
          <xdr:rowOff>9525</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7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13</xdr:row>
          <xdr:rowOff>0</xdr:rowOff>
        </xdr:from>
        <xdr:to>
          <xdr:col>1</xdr:col>
          <xdr:colOff>323850</xdr:colOff>
          <xdr:row>14</xdr:row>
          <xdr:rowOff>28575</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7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15</xdr:row>
          <xdr:rowOff>0</xdr:rowOff>
        </xdr:from>
        <xdr:to>
          <xdr:col>1</xdr:col>
          <xdr:colOff>323850</xdr:colOff>
          <xdr:row>16</xdr:row>
          <xdr:rowOff>28575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7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20</xdr:col>
      <xdr:colOff>261975</xdr:colOff>
      <xdr:row>0</xdr:row>
      <xdr:rowOff>9525</xdr:rowOff>
    </xdr:from>
    <xdr:to>
      <xdr:col>21</xdr:col>
      <xdr:colOff>471525</xdr:colOff>
      <xdr:row>6</xdr:row>
      <xdr:rowOff>60325</xdr:rowOff>
    </xdr:to>
    <xdr:pic>
      <xdr:nvPicPr>
        <xdr:cNvPr id="10" name="図 9">
          <a:hlinkClick xmlns:r="http://schemas.openxmlformats.org/officeDocument/2006/relationships" r:id="rId1"/>
          <a:extLst>
            <a:ext uri="{FF2B5EF4-FFF2-40B4-BE49-F238E27FC236}">
              <a16:creationId xmlns:a16="http://schemas.microsoft.com/office/drawing/2014/main" id="{6F3F0EAC-8FD3-48D7-B0FC-E671BFE2E70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10475" y="9525"/>
          <a:ext cx="895350" cy="1193800"/>
        </a:xfrm>
        <a:prstGeom prst="ellipse">
          <a:avLst/>
        </a:prstGeom>
        <a:ln>
          <a:noFill/>
        </a:ln>
        <a:effectLst>
          <a:softEdge rad="112500"/>
        </a:effectLst>
      </xdr:spPr>
    </xdr:pic>
    <xdr:clientData fPrintsWithSheet="0"/>
  </xdr:twoCellAnchor>
  <xdr:twoCellAnchor>
    <xdr:from>
      <xdr:col>20</xdr:col>
      <xdr:colOff>171450</xdr:colOff>
      <xdr:row>9</xdr:row>
      <xdr:rowOff>190499</xdr:rowOff>
    </xdr:from>
    <xdr:to>
      <xdr:col>21</xdr:col>
      <xdr:colOff>562050</xdr:colOff>
      <xdr:row>12</xdr:row>
      <xdr:rowOff>122999</xdr:rowOff>
    </xdr:to>
    <xdr:sp macro="[0]!A4両面印刷" textlink="">
      <xdr:nvSpPr>
        <xdr:cNvPr id="11" name="正方形/長方形 10">
          <a:extLst>
            <a:ext uri="{FF2B5EF4-FFF2-40B4-BE49-F238E27FC236}">
              <a16:creationId xmlns:a16="http://schemas.microsoft.com/office/drawing/2014/main" id="{3A94FA3A-853A-4D6F-9651-1AF7E3478865}"/>
            </a:ext>
          </a:extLst>
        </xdr:cNvPr>
        <xdr:cNvSpPr/>
      </xdr:nvSpPr>
      <xdr:spPr>
        <a:xfrm>
          <a:off x="7219950" y="190499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20</xdr:col>
      <xdr:colOff>171487</xdr:colOff>
      <xdr:row>6</xdr:row>
      <xdr:rowOff>85725</xdr:rowOff>
    </xdr:from>
    <xdr:to>
      <xdr:col>21</xdr:col>
      <xdr:colOff>562013</xdr:colOff>
      <xdr:row>9</xdr:row>
      <xdr:rowOff>19050</xdr:rowOff>
    </xdr:to>
    <xdr:sp macro="" textlink="">
      <xdr:nvSpPr>
        <xdr:cNvPr id="12" name="正方形/長方形 11">
          <a:hlinkClick xmlns:r="http://schemas.openxmlformats.org/officeDocument/2006/relationships" r:id="rId3"/>
          <a:extLst>
            <a:ext uri="{FF2B5EF4-FFF2-40B4-BE49-F238E27FC236}">
              <a16:creationId xmlns:a16="http://schemas.microsoft.com/office/drawing/2014/main" id="{BB343F3C-B135-49D7-8DFC-C1B4FC9DECEB}"/>
            </a:ext>
          </a:extLst>
        </xdr:cNvPr>
        <xdr:cNvSpPr/>
      </xdr:nvSpPr>
      <xdr:spPr>
        <a:xfrm>
          <a:off x="7219987" y="122872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7</xdr:col>
      <xdr:colOff>0</xdr:colOff>
      <xdr:row>5</xdr:row>
      <xdr:rowOff>0</xdr:rowOff>
    </xdr:from>
    <xdr:to>
      <xdr:col>9</xdr:col>
      <xdr:colOff>0</xdr:colOff>
      <xdr:row>5</xdr:row>
      <xdr:rowOff>0</xdr:rowOff>
    </xdr:to>
    <xdr:cxnSp macro="">
      <xdr:nvCxnSpPr>
        <xdr:cNvPr id="8" name="直線矢印コネクタ 7">
          <a:extLst>
            <a:ext uri="{FF2B5EF4-FFF2-40B4-BE49-F238E27FC236}">
              <a16:creationId xmlns:a16="http://schemas.microsoft.com/office/drawing/2014/main" id="{BA92B7B6-347E-41E6-97B0-4DFD58267F5E}"/>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9" name="直線矢印コネクタ 8">
          <a:extLst>
            <a:ext uri="{FF2B5EF4-FFF2-40B4-BE49-F238E27FC236}">
              <a16:creationId xmlns:a16="http://schemas.microsoft.com/office/drawing/2014/main" id="{E139591A-5B17-49F8-BBE5-4080D4A30798}"/>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7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7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7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7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7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7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7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7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7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13" name="直線矢印コネクタ 12">
          <a:extLst>
            <a:ext uri="{FF2B5EF4-FFF2-40B4-BE49-F238E27FC236}">
              <a16:creationId xmlns:a16="http://schemas.microsoft.com/office/drawing/2014/main" id="{66A11A7F-95FB-4A19-B525-2AF49926D995}"/>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14" name="直線矢印コネクタ 13">
          <a:extLst>
            <a:ext uri="{FF2B5EF4-FFF2-40B4-BE49-F238E27FC236}">
              <a16:creationId xmlns:a16="http://schemas.microsoft.com/office/drawing/2014/main" id="{39442204-4A6C-487A-9D8A-B41CCED88895}"/>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25</xdr:row>
          <xdr:rowOff>171450</xdr:rowOff>
        </xdr:from>
        <xdr:to>
          <xdr:col>0</xdr:col>
          <xdr:colOff>323850</xdr:colOff>
          <xdr:row>27</xdr:row>
          <xdr:rowOff>28575</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7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7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7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7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7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7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7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43</xdr:row>
          <xdr:rowOff>0</xdr:rowOff>
        </xdr:from>
        <xdr:to>
          <xdr:col>0</xdr:col>
          <xdr:colOff>323850</xdr:colOff>
          <xdr:row>44</xdr:row>
          <xdr:rowOff>28575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7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44</xdr:row>
          <xdr:rowOff>0</xdr:rowOff>
        </xdr:from>
        <xdr:to>
          <xdr:col>0</xdr:col>
          <xdr:colOff>323850</xdr:colOff>
          <xdr:row>45</xdr:row>
          <xdr:rowOff>28575</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7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xdr:row>
      <xdr:rowOff>0</xdr:rowOff>
    </xdr:from>
    <xdr:to>
      <xdr:col>9</xdr:col>
      <xdr:colOff>0</xdr:colOff>
      <xdr:row>5</xdr:row>
      <xdr:rowOff>0</xdr:rowOff>
    </xdr:to>
    <xdr:cxnSp macro="">
      <xdr:nvCxnSpPr>
        <xdr:cNvPr id="15" name="直線矢印コネクタ 14">
          <a:extLst>
            <a:ext uri="{FF2B5EF4-FFF2-40B4-BE49-F238E27FC236}">
              <a16:creationId xmlns:a16="http://schemas.microsoft.com/office/drawing/2014/main" id="{207BB953-7C38-488A-AD92-30516BEB0BA9}"/>
            </a:ext>
          </a:extLst>
        </xdr:cNvPr>
        <xdr:cNvCxnSpPr/>
      </xdr:nvCxnSpPr>
      <xdr:spPr>
        <a:xfrm>
          <a:off x="2466975" y="952500"/>
          <a:ext cx="704850"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7</xdr:row>
      <xdr:rowOff>28575</xdr:rowOff>
    </xdr:from>
    <xdr:to>
      <xdr:col>8</xdr:col>
      <xdr:colOff>333375</xdr:colOff>
      <xdr:row>7</xdr:row>
      <xdr:rowOff>28575</xdr:rowOff>
    </xdr:to>
    <xdr:cxnSp macro="">
      <xdr:nvCxnSpPr>
        <xdr:cNvPr id="16" name="直線矢印コネクタ 15">
          <a:extLst>
            <a:ext uri="{FF2B5EF4-FFF2-40B4-BE49-F238E27FC236}">
              <a16:creationId xmlns:a16="http://schemas.microsoft.com/office/drawing/2014/main" id="{275D789C-F6C1-4E7C-AB7F-F36FE61FDB67}"/>
            </a:ext>
          </a:extLst>
        </xdr:cNvPr>
        <xdr:cNvCxnSpPr/>
      </xdr:nvCxnSpPr>
      <xdr:spPr>
        <a:xfrm flipH="1">
          <a:off x="2476500" y="1362075"/>
          <a:ext cx="676275" cy="0"/>
        </a:xfrm>
        <a:prstGeom prst="straightConnector1">
          <a:avLst/>
        </a:prstGeom>
        <a:ln w="127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57150</xdr:colOff>
          <xdr:row>24</xdr:row>
          <xdr:rowOff>171450</xdr:rowOff>
        </xdr:from>
        <xdr:to>
          <xdr:col>0</xdr:col>
          <xdr:colOff>323850</xdr:colOff>
          <xdr:row>26</xdr:row>
          <xdr:rowOff>28575</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7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27</xdr:row>
          <xdr:rowOff>0</xdr:rowOff>
        </xdr:from>
        <xdr:to>
          <xdr:col>0</xdr:col>
          <xdr:colOff>323850</xdr:colOff>
          <xdr:row>28</xdr:row>
          <xdr:rowOff>28575</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7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28</xdr:row>
          <xdr:rowOff>0</xdr:rowOff>
        </xdr:from>
        <xdr:to>
          <xdr:col>0</xdr:col>
          <xdr:colOff>323850</xdr:colOff>
          <xdr:row>29</xdr:row>
          <xdr:rowOff>28575</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7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25</xdr:row>
          <xdr:rowOff>0</xdr:rowOff>
        </xdr:from>
        <xdr:to>
          <xdr:col>9</xdr:col>
          <xdr:colOff>323850</xdr:colOff>
          <xdr:row>26</xdr:row>
          <xdr:rowOff>28575</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7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26</xdr:row>
          <xdr:rowOff>0</xdr:rowOff>
        </xdr:from>
        <xdr:to>
          <xdr:col>9</xdr:col>
          <xdr:colOff>323850</xdr:colOff>
          <xdr:row>27</xdr:row>
          <xdr:rowOff>28575</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7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27</xdr:row>
          <xdr:rowOff>0</xdr:rowOff>
        </xdr:from>
        <xdr:to>
          <xdr:col>9</xdr:col>
          <xdr:colOff>323850</xdr:colOff>
          <xdr:row>28</xdr:row>
          <xdr:rowOff>28575</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7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57150</xdr:colOff>
          <xdr:row>28</xdr:row>
          <xdr:rowOff>0</xdr:rowOff>
        </xdr:from>
        <xdr:to>
          <xdr:col>9</xdr:col>
          <xdr:colOff>323850</xdr:colOff>
          <xdr:row>29</xdr:row>
          <xdr:rowOff>28575</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7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xdr:colOff>
          <xdr:row>24</xdr:row>
          <xdr:rowOff>0</xdr:rowOff>
        </xdr:from>
        <xdr:to>
          <xdr:col>11</xdr:col>
          <xdr:colOff>323850</xdr:colOff>
          <xdr:row>25</xdr:row>
          <xdr:rowOff>28575</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00000000-0008-0000-07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57150</xdr:colOff>
          <xdr:row>24</xdr:row>
          <xdr:rowOff>0</xdr:rowOff>
        </xdr:from>
        <xdr:to>
          <xdr:col>15</xdr:col>
          <xdr:colOff>323850</xdr:colOff>
          <xdr:row>25</xdr:row>
          <xdr:rowOff>28575</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7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41</xdr:row>
          <xdr:rowOff>0</xdr:rowOff>
        </xdr:from>
        <xdr:to>
          <xdr:col>0</xdr:col>
          <xdr:colOff>323850</xdr:colOff>
          <xdr:row>42</xdr:row>
          <xdr:rowOff>28575</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700-00003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42</xdr:row>
          <xdr:rowOff>0</xdr:rowOff>
        </xdr:from>
        <xdr:to>
          <xdr:col>0</xdr:col>
          <xdr:colOff>323850</xdr:colOff>
          <xdr:row>43</xdr:row>
          <xdr:rowOff>28575</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7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43</xdr:row>
          <xdr:rowOff>171450</xdr:rowOff>
        </xdr:from>
        <xdr:to>
          <xdr:col>8</xdr:col>
          <xdr:colOff>47625</xdr:colOff>
          <xdr:row>45</xdr:row>
          <xdr:rowOff>9525</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7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13</xdr:row>
          <xdr:rowOff>0</xdr:rowOff>
        </xdr:from>
        <xdr:to>
          <xdr:col>1</xdr:col>
          <xdr:colOff>323850</xdr:colOff>
          <xdr:row>14</xdr:row>
          <xdr:rowOff>28575</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7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57150</xdr:colOff>
          <xdr:row>15</xdr:row>
          <xdr:rowOff>0</xdr:rowOff>
        </xdr:from>
        <xdr:to>
          <xdr:col>1</xdr:col>
          <xdr:colOff>323850</xdr:colOff>
          <xdr:row>16</xdr:row>
          <xdr:rowOff>28575</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7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190500</xdr:colOff>
      <xdr:row>0</xdr:row>
      <xdr:rowOff>0</xdr:rowOff>
    </xdr:from>
    <xdr:to>
      <xdr:col>21</xdr:col>
      <xdr:colOff>11206</xdr:colOff>
      <xdr:row>37</xdr:row>
      <xdr:rowOff>11206</xdr:rowOff>
    </xdr:to>
    <xdr:sp macro="" textlink="">
      <xdr:nvSpPr>
        <xdr:cNvPr id="2" name="乗算記号 1">
          <a:extLst>
            <a:ext uri="{FF2B5EF4-FFF2-40B4-BE49-F238E27FC236}">
              <a16:creationId xmlns:a16="http://schemas.microsoft.com/office/drawing/2014/main" id="{56692D29-D2B2-40AD-8CE7-C4D79C1E4DCF}"/>
            </a:ext>
          </a:extLst>
        </xdr:cNvPr>
        <xdr:cNvSpPr/>
      </xdr:nvSpPr>
      <xdr:spPr>
        <a:xfrm>
          <a:off x="742950" y="0"/>
          <a:ext cx="5059456" cy="10679206"/>
        </a:xfrm>
        <a:prstGeom prst="mathMultiply">
          <a:avLst/>
        </a:prstGeom>
        <a:solidFill>
          <a:srgbClr val="FD8F5D">
            <a:alpha val="7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134470</xdr:colOff>
      <xdr:row>16</xdr:row>
      <xdr:rowOff>82924</xdr:rowOff>
    </xdr:from>
    <xdr:to>
      <xdr:col>18</xdr:col>
      <xdr:colOff>47625</xdr:colOff>
      <xdr:row>20</xdr:row>
      <xdr:rowOff>82924</xdr:rowOff>
    </xdr:to>
    <xdr:sp macro="" textlink="">
      <xdr:nvSpPr>
        <xdr:cNvPr id="3" name="テキスト ボックス 2">
          <a:extLst>
            <a:ext uri="{FF2B5EF4-FFF2-40B4-BE49-F238E27FC236}">
              <a16:creationId xmlns:a16="http://schemas.microsoft.com/office/drawing/2014/main" id="{77AE8D63-C17A-47F4-8352-A69DCEE9315B}"/>
            </a:ext>
          </a:extLst>
        </xdr:cNvPr>
        <xdr:cNvSpPr txBox="1"/>
      </xdr:nvSpPr>
      <xdr:spPr>
        <a:xfrm>
          <a:off x="1239370" y="4731124"/>
          <a:ext cx="3770780" cy="952500"/>
        </a:xfrm>
        <a:prstGeom prst="rect">
          <a:avLst/>
        </a:prstGeom>
        <a:solidFill>
          <a:schemeClr val="lt1"/>
        </a:solidFill>
        <a:ln w="19050" cmpd="sng">
          <a:solidFill>
            <a:srgbClr val="FD8F5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3600"/>
            <a:t>入力しない！！</a:t>
          </a:r>
        </a:p>
      </xdr:txBody>
    </xdr:sp>
    <xdr:clientData fPrintsWithSheet="0"/>
  </xdr:twoCellAnchor>
  <xdr:twoCellAnchor>
    <xdr:from>
      <xdr:col>18</xdr:col>
      <xdr:colOff>1</xdr:colOff>
      <xdr:row>34</xdr:row>
      <xdr:rowOff>134472</xdr:rowOff>
    </xdr:from>
    <xdr:to>
      <xdr:col>22</xdr:col>
      <xdr:colOff>268941</xdr:colOff>
      <xdr:row>34</xdr:row>
      <xdr:rowOff>134472</xdr:rowOff>
    </xdr:to>
    <xdr:cxnSp macro="">
      <xdr:nvCxnSpPr>
        <xdr:cNvPr id="4" name="直線コネクタ 3">
          <a:extLst>
            <a:ext uri="{FF2B5EF4-FFF2-40B4-BE49-F238E27FC236}">
              <a16:creationId xmlns:a16="http://schemas.microsoft.com/office/drawing/2014/main" id="{E99367C3-35F4-4D23-A9B5-9BD6BBEAC89C}"/>
            </a:ext>
          </a:extLst>
        </xdr:cNvPr>
        <xdr:cNvCxnSpPr/>
      </xdr:nvCxnSpPr>
      <xdr:spPr>
        <a:xfrm>
          <a:off x="4962526" y="10107147"/>
          <a:ext cx="1373840" cy="0"/>
        </a:xfrm>
        <a:prstGeom prst="line">
          <a:avLst/>
        </a:prstGeom>
        <a:ln w="34925" cmpd="dbl">
          <a:solidFill>
            <a:schemeClr val="tx1"/>
          </a:solidFill>
        </a:ln>
      </xdr:spPr>
      <xdr:style>
        <a:lnRef idx="1">
          <a:schemeClr val="dk1"/>
        </a:lnRef>
        <a:fillRef idx="0">
          <a:schemeClr val="dk1"/>
        </a:fillRef>
        <a:effectRef idx="0">
          <a:schemeClr val="dk1"/>
        </a:effectRef>
        <a:fontRef idx="minor">
          <a:schemeClr val="tx1"/>
        </a:fontRef>
      </xdr:style>
    </xdr:cxnSp>
    <xdr:clientData fPrintsWithSheet="0"/>
  </xdr:twoCellAnchor>
  <xdr:twoCellAnchor>
    <xdr:from>
      <xdr:col>25</xdr:col>
      <xdr:colOff>224118</xdr:colOff>
      <xdr:row>34</xdr:row>
      <xdr:rowOff>0</xdr:rowOff>
    </xdr:from>
    <xdr:to>
      <xdr:col>29</xdr:col>
      <xdr:colOff>560293</xdr:colOff>
      <xdr:row>35</xdr:row>
      <xdr:rowOff>133350</xdr:rowOff>
    </xdr:to>
    <xdr:sp macro="" textlink="">
      <xdr:nvSpPr>
        <xdr:cNvPr id="5" name="テキスト ボックス 4">
          <a:extLst>
            <a:ext uri="{FF2B5EF4-FFF2-40B4-BE49-F238E27FC236}">
              <a16:creationId xmlns:a16="http://schemas.microsoft.com/office/drawing/2014/main" id="{07EC0AC9-2115-429A-B486-047A9CDA0800}"/>
            </a:ext>
          </a:extLst>
        </xdr:cNvPr>
        <xdr:cNvSpPr txBox="1"/>
      </xdr:nvSpPr>
      <xdr:spPr>
        <a:xfrm>
          <a:off x="7120218" y="9858375"/>
          <a:ext cx="2260225" cy="390525"/>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今日の日付が自動入力</a:t>
          </a:r>
          <a:endParaRPr kumimoji="1" lang="en-US" altLang="ja-JP" sz="1600" b="0">
            <a:latin typeface="BIZ UDPゴシック" panose="020B0400000000000000" pitchFamily="50" charset="-128"/>
            <a:ea typeface="BIZ UDPゴシック" panose="020B0400000000000000" pitchFamily="50" charset="-128"/>
          </a:endParaRPr>
        </a:p>
        <a:p>
          <a:endParaRPr kumimoji="1" lang="ja-JP" altLang="en-US" sz="1600" b="0">
            <a:latin typeface="BIZ UDPゴシック" panose="020B0400000000000000" pitchFamily="50" charset="-128"/>
            <a:ea typeface="BIZ UDPゴシック" panose="020B0400000000000000" pitchFamily="50" charset="-128"/>
          </a:endParaRPr>
        </a:p>
      </xdr:txBody>
    </xdr:sp>
    <xdr:clientData fPrintsWithSheet="0"/>
  </xdr:twoCellAnchor>
  <xdr:twoCellAnchor>
    <xdr:from>
      <xdr:col>23</xdr:col>
      <xdr:colOff>44823</xdr:colOff>
      <xdr:row>34</xdr:row>
      <xdr:rowOff>151279</xdr:rowOff>
    </xdr:from>
    <xdr:to>
      <xdr:col>25</xdr:col>
      <xdr:colOff>224118</xdr:colOff>
      <xdr:row>34</xdr:row>
      <xdr:rowOff>156883</xdr:rowOff>
    </xdr:to>
    <xdr:cxnSp macro="">
      <xdr:nvCxnSpPr>
        <xdr:cNvPr id="6" name="直線矢印コネクタ 5">
          <a:extLst>
            <a:ext uri="{FF2B5EF4-FFF2-40B4-BE49-F238E27FC236}">
              <a16:creationId xmlns:a16="http://schemas.microsoft.com/office/drawing/2014/main" id="{BD7D1E8B-37FB-4F49-8FBE-6D9112CEAFF4}"/>
            </a:ext>
          </a:extLst>
        </xdr:cNvPr>
        <xdr:cNvCxnSpPr/>
      </xdr:nvCxnSpPr>
      <xdr:spPr>
        <a:xfrm flipH="1">
          <a:off x="6388473" y="10123954"/>
          <a:ext cx="731745" cy="5604"/>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25</xdr:col>
      <xdr:colOff>235326</xdr:colOff>
      <xdr:row>31</xdr:row>
      <xdr:rowOff>168089</xdr:rowOff>
    </xdr:from>
    <xdr:to>
      <xdr:col>28</xdr:col>
      <xdr:colOff>526677</xdr:colOff>
      <xdr:row>33</xdr:row>
      <xdr:rowOff>76200</xdr:rowOff>
    </xdr:to>
    <xdr:sp macro="" textlink="">
      <xdr:nvSpPr>
        <xdr:cNvPr id="7" name="テキスト ボックス 6">
          <a:extLst>
            <a:ext uri="{FF2B5EF4-FFF2-40B4-BE49-F238E27FC236}">
              <a16:creationId xmlns:a16="http://schemas.microsoft.com/office/drawing/2014/main" id="{F524B87D-4AF5-4808-B6A1-BB5621BCE4A5}"/>
            </a:ext>
          </a:extLst>
        </xdr:cNvPr>
        <xdr:cNvSpPr txBox="1"/>
      </xdr:nvSpPr>
      <xdr:spPr>
        <a:xfrm>
          <a:off x="7131426" y="9026339"/>
          <a:ext cx="1529601" cy="384361"/>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入院先を選択</a:t>
          </a:r>
        </a:p>
      </xdr:txBody>
    </xdr:sp>
    <xdr:clientData fPrintsWithSheet="0"/>
  </xdr:twoCellAnchor>
  <xdr:twoCellAnchor>
    <xdr:from>
      <xdr:col>14</xdr:col>
      <xdr:colOff>145676</xdr:colOff>
      <xdr:row>32</xdr:row>
      <xdr:rowOff>122145</xdr:rowOff>
    </xdr:from>
    <xdr:to>
      <xdr:col>25</xdr:col>
      <xdr:colOff>235326</xdr:colOff>
      <xdr:row>34</xdr:row>
      <xdr:rowOff>145677</xdr:rowOff>
    </xdr:to>
    <xdr:cxnSp macro="">
      <xdr:nvCxnSpPr>
        <xdr:cNvPr id="8" name="直線矢印コネクタ 7">
          <a:extLst>
            <a:ext uri="{FF2B5EF4-FFF2-40B4-BE49-F238E27FC236}">
              <a16:creationId xmlns:a16="http://schemas.microsoft.com/office/drawing/2014/main" id="{F119EA2E-BCCB-46AB-BD9B-984347422515}"/>
            </a:ext>
          </a:extLst>
        </xdr:cNvPr>
        <xdr:cNvCxnSpPr>
          <a:stCxn id="7" idx="1"/>
        </xdr:cNvCxnSpPr>
      </xdr:nvCxnSpPr>
      <xdr:spPr>
        <a:xfrm flipH="1">
          <a:off x="3955676" y="9218520"/>
          <a:ext cx="3175750" cy="785532"/>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editAs="oneCell">
    <xdr:from>
      <xdr:col>24</xdr:col>
      <xdr:colOff>135349</xdr:colOff>
      <xdr:row>36</xdr:row>
      <xdr:rowOff>11206</xdr:rowOff>
    </xdr:from>
    <xdr:to>
      <xdr:col>27</xdr:col>
      <xdr:colOff>190258</xdr:colOff>
      <xdr:row>41</xdr:row>
      <xdr:rowOff>84418</xdr:rowOff>
    </xdr:to>
    <xdr:pic>
      <xdr:nvPicPr>
        <xdr:cNvPr id="9" name="図 8">
          <a:hlinkClick xmlns:r="http://schemas.openxmlformats.org/officeDocument/2006/relationships" r:id="rId1"/>
          <a:extLst>
            <a:ext uri="{FF2B5EF4-FFF2-40B4-BE49-F238E27FC236}">
              <a16:creationId xmlns:a16="http://schemas.microsoft.com/office/drawing/2014/main" id="{AC3CDEE8-58FD-4D3F-9B51-10239C2A5A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25261" y="10477500"/>
          <a:ext cx="895350" cy="1193800"/>
        </a:xfrm>
        <a:prstGeom prst="ellipse">
          <a:avLst/>
        </a:prstGeom>
        <a:ln>
          <a:noFill/>
        </a:ln>
        <a:effectLst>
          <a:softEdge rad="112500"/>
        </a:effectLst>
      </xdr:spPr>
    </xdr:pic>
    <xdr:clientData fPrintsWithSheet="0"/>
  </xdr:twoCellAnchor>
  <xdr:twoCellAnchor>
    <xdr:from>
      <xdr:col>24</xdr:col>
      <xdr:colOff>46542</xdr:colOff>
      <xdr:row>42</xdr:row>
      <xdr:rowOff>8965</xdr:rowOff>
    </xdr:from>
    <xdr:to>
      <xdr:col>27</xdr:col>
      <xdr:colOff>282427</xdr:colOff>
      <xdr:row>44</xdr:row>
      <xdr:rowOff>166407</xdr:rowOff>
    </xdr:to>
    <xdr:sp macro="" textlink="">
      <xdr:nvSpPr>
        <xdr:cNvPr id="11" name="正方形/長方形 10">
          <a:hlinkClick xmlns:r="http://schemas.openxmlformats.org/officeDocument/2006/relationships" r:id="rId3"/>
          <a:extLst>
            <a:ext uri="{FF2B5EF4-FFF2-40B4-BE49-F238E27FC236}">
              <a16:creationId xmlns:a16="http://schemas.microsoft.com/office/drawing/2014/main" id="{50ED60BF-D427-4B1A-8E8A-F4506230FC1F}"/>
            </a:ext>
          </a:extLst>
        </xdr:cNvPr>
        <xdr:cNvSpPr/>
      </xdr:nvSpPr>
      <xdr:spPr>
        <a:xfrm>
          <a:off x="6666417" y="11610415"/>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46542</xdr:colOff>
      <xdr:row>45</xdr:row>
      <xdr:rowOff>180975</xdr:rowOff>
    </xdr:from>
    <xdr:to>
      <xdr:col>27</xdr:col>
      <xdr:colOff>282427</xdr:colOff>
      <xdr:row>45</xdr:row>
      <xdr:rowOff>690842</xdr:rowOff>
    </xdr:to>
    <xdr:sp macro="" textlink="">
      <xdr:nvSpPr>
        <xdr:cNvPr id="10" name="正方形/長方形 9">
          <a:hlinkClick xmlns:r="http://schemas.openxmlformats.org/officeDocument/2006/relationships" r:id="rId4"/>
          <a:extLst>
            <a:ext uri="{FF2B5EF4-FFF2-40B4-BE49-F238E27FC236}">
              <a16:creationId xmlns:a16="http://schemas.microsoft.com/office/drawing/2014/main" id="{6601AC9A-CB28-4427-A728-7CF36DED368E}"/>
            </a:ext>
          </a:extLst>
        </xdr:cNvPr>
        <xdr:cNvSpPr/>
      </xdr:nvSpPr>
      <xdr:spPr>
        <a:xfrm>
          <a:off x="6666417" y="12325350"/>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HG丸ｺﾞｼｯｸM-PRO" panose="020F0600000000000000" pitchFamily="50" charset="-128"/>
              <a:ea typeface="HG丸ｺﾞｼｯｸM-PRO" panose="020F0600000000000000" pitchFamily="50" charset="-128"/>
            </a:rPr>
            <a:t>加算連絡票</a:t>
          </a:r>
          <a:endParaRPr kumimoji="1" lang="en-US" altLang="ja-JP" sz="1200" b="1">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050" b="0">
              <a:solidFill>
                <a:sysClr val="windowText" lastClr="000000"/>
              </a:solidFill>
              <a:latin typeface="HG丸ｺﾞｼｯｸM-PRO" panose="020F0600000000000000" pitchFamily="50" charset="-128"/>
              <a:ea typeface="HG丸ｺﾞｼｯｸM-PRO" panose="020F0600000000000000" pitchFamily="50" charset="-128"/>
            </a:rPr>
            <a:t>　　　　　へ</a:t>
          </a:r>
          <a:endParaRPr kumimoji="1" lang="en-US" altLang="ja-JP" sz="105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17</xdr:col>
      <xdr:colOff>268942</xdr:colOff>
      <xdr:row>34</xdr:row>
      <xdr:rowOff>123265</xdr:rowOff>
    </xdr:from>
    <xdr:to>
      <xdr:col>22</xdr:col>
      <xdr:colOff>257735</xdr:colOff>
      <xdr:row>34</xdr:row>
      <xdr:rowOff>123265</xdr:rowOff>
    </xdr:to>
    <xdr:cxnSp macro="">
      <xdr:nvCxnSpPr>
        <xdr:cNvPr id="13" name="直線コネクタ 12">
          <a:extLst>
            <a:ext uri="{FF2B5EF4-FFF2-40B4-BE49-F238E27FC236}">
              <a16:creationId xmlns:a16="http://schemas.microsoft.com/office/drawing/2014/main" id="{6C8600EE-CC2C-4342-BF9A-55585CF048BD}"/>
            </a:ext>
          </a:extLst>
        </xdr:cNvPr>
        <xdr:cNvCxnSpPr/>
      </xdr:nvCxnSpPr>
      <xdr:spPr>
        <a:xfrm>
          <a:off x="4955242" y="10095940"/>
          <a:ext cx="1369918" cy="0"/>
        </a:xfrm>
        <a:prstGeom prst="line">
          <a:avLst/>
        </a:prstGeom>
        <a:ln w="34925" cmpd="dbl">
          <a:solidFill>
            <a:schemeClr val="tx1"/>
          </a:solidFill>
        </a:ln>
      </xdr:spPr>
      <xdr:style>
        <a:lnRef idx="1">
          <a:schemeClr val="dk1"/>
        </a:lnRef>
        <a:fillRef idx="0">
          <a:schemeClr val="dk1"/>
        </a:fillRef>
        <a:effectRef idx="0">
          <a:schemeClr val="dk1"/>
        </a:effectRef>
        <a:fontRef idx="minor">
          <a:schemeClr val="tx1"/>
        </a:fontRef>
      </xdr:style>
    </xdr:cxnSp>
    <xdr:clientData fPrintsWithSheet="0"/>
  </xdr:twoCellAnchor>
  <xdr:twoCellAnchor>
    <xdr:from>
      <xdr:col>26</xdr:col>
      <xdr:colOff>100856</xdr:colOff>
      <xdr:row>30</xdr:row>
      <xdr:rowOff>201706</xdr:rowOff>
    </xdr:from>
    <xdr:to>
      <xdr:col>28</xdr:col>
      <xdr:colOff>672354</xdr:colOff>
      <xdr:row>32</xdr:row>
      <xdr:rowOff>104775</xdr:rowOff>
    </xdr:to>
    <xdr:sp macro="" textlink="">
      <xdr:nvSpPr>
        <xdr:cNvPr id="18" name="テキスト ボックス 17">
          <a:extLst>
            <a:ext uri="{FF2B5EF4-FFF2-40B4-BE49-F238E27FC236}">
              <a16:creationId xmlns:a16="http://schemas.microsoft.com/office/drawing/2014/main" id="{9B54D8E7-B996-4FE8-ABF3-71233DFD410F}"/>
            </a:ext>
          </a:extLst>
        </xdr:cNvPr>
        <xdr:cNvSpPr txBox="1"/>
      </xdr:nvSpPr>
      <xdr:spPr>
        <a:xfrm>
          <a:off x="7273181" y="8821831"/>
          <a:ext cx="1533523" cy="379319"/>
        </a:xfrm>
        <a:prstGeom prst="rect">
          <a:avLst/>
        </a:prstGeom>
        <a:solidFill>
          <a:schemeClr val="lt1"/>
        </a:solidFill>
        <a:ln w="19050" cmpd="sng">
          <a:solidFill>
            <a:srgbClr val="FF500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latin typeface="BIZ UDPゴシック" panose="020B0400000000000000" pitchFamily="50" charset="-128"/>
              <a:ea typeface="BIZ UDPゴシック" panose="020B0400000000000000" pitchFamily="50" charset="-128"/>
            </a:rPr>
            <a:t>入院先を選択</a:t>
          </a:r>
        </a:p>
      </xdr:txBody>
    </xdr:sp>
    <xdr:clientData fPrintsWithSheet="0"/>
  </xdr:twoCellAnchor>
  <xdr:twoCellAnchor>
    <xdr:from>
      <xdr:col>14</xdr:col>
      <xdr:colOff>291353</xdr:colOff>
      <xdr:row>31</xdr:row>
      <xdr:rowOff>153241</xdr:rowOff>
    </xdr:from>
    <xdr:to>
      <xdr:col>26</xdr:col>
      <xdr:colOff>100856</xdr:colOff>
      <xdr:row>34</xdr:row>
      <xdr:rowOff>67235</xdr:rowOff>
    </xdr:to>
    <xdr:cxnSp macro="">
      <xdr:nvCxnSpPr>
        <xdr:cNvPr id="19" name="直線矢印コネクタ 18">
          <a:extLst>
            <a:ext uri="{FF2B5EF4-FFF2-40B4-BE49-F238E27FC236}">
              <a16:creationId xmlns:a16="http://schemas.microsoft.com/office/drawing/2014/main" id="{DA3E4645-084B-49AF-BFD1-D73731BBCC0D}"/>
            </a:ext>
          </a:extLst>
        </xdr:cNvPr>
        <xdr:cNvCxnSpPr>
          <a:stCxn id="18" idx="1"/>
        </xdr:cNvCxnSpPr>
      </xdr:nvCxnSpPr>
      <xdr:spPr>
        <a:xfrm flipH="1">
          <a:off x="4101353" y="9011491"/>
          <a:ext cx="3171828" cy="790294"/>
        </a:xfrm>
        <a:prstGeom prst="straightConnector1">
          <a:avLst/>
        </a:prstGeom>
        <a:ln w="19050">
          <a:solidFill>
            <a:srgbClr val="FF5001"/>
          </a:solidFill>
          <a:tailEnd type="arrow" w="lg" len="lg"/>
        </a:ln>
      </xdr:spPr>
      <xdr:style>
        <a:lnRef idx="1">
          <a:schemeClr val="accent2"/>
        </a:lnRef>
        <a:fillRef idx="0">
          <a:schemeClr val="accent2"/>
        </a:fillRef>
        <a:effectRef idx="0">
          <a:schemeClr val="accent2"/>
        </a:effectRef>
        <a:fontRef idx="minor">
          <a:schemeClr val="tx1"/>
        </a:fontRef>
      </xdr:style>
    </xdr:cxnSp>
    <xdr:clientData fPrintsWithSheet="0"/>
  </xdr:twoCellAnchor>
  <xdr:twoCellAnchor>
    <xdr:from>
      <xdr:col>1</xdr:col>
      <xdr:colOff>212910</xdr:colOff>
      <xdr:row>0</xdr:row>
      <xdr:rowOff>11203</xdr:rowOff>
    </xdr:from>
    <xdr:to>
      <xdr:col>20</xdr:col>
      <xdr:colOff>33616</xdr:colOff>
      <xdr:row>37</xdr:row>
      <xdr:rowOff>145673</xdr:rowOff>
    </xdr:to>
    <xdr:sp macro="" textlink="">
      <xdr:nvSpPr>
        <xdr:cNvPr id="20" name="乗算記号 19">
          <a:extLst>
            <a:ext uri="{FF2B5EF4-FFF2-40B4-BE49-F238E27FC236}">
              <a16:creationId xmlns:a16="http://schemas.microsoft.com/office/drawing/2014/main" id="{DA2E1851-712B-4239-B149-0221D1222077}"/>
            </a:ext>
          </a:extLst>
        </xdr:cNvPr>
        <xdr:cNvSpPr/>
      </xdr:nvSpPr>
      <xdr:spPr>
        <a:xfrm>
          <a:off x="493057" y="11203"/>
          <a:ext cx="5109883" cy="10656794"/>
        </a:xfrm>
        <a:prstGeom prst="mathMultiply">
          <a:avLst/>
        </a:prstGeom>
        <a:solidFill>
          <a:srgbClr val="FD8F5D">
            <a:alpha val="74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4</xdr:col>
      <xdr:colOff>280145</xdr:colOff>
      <xdr:row>18</xdr:row>
      <xdr:rowOff>89645</xdr:rowOff>
    </xdr:from>
    <xdr:to>
      <xdr:col>18</xdr:col>
      <xdr:colOff>114300</xdr:colOff>
      <xdr:row>22</xdr:row>
      <xdr:rowOff>89645</xdr:rowOff>
    </xdr:to>
    <xdr:sp macro="" textlink="">
      <xdr:nvSpPr>
        <xdr:cNvPr id="21" name="テキスト ボックス 20">
          <a:extLst>
            <a:ext uri="{FF2B5EF4-FFF2-40B4-BE49-F238E27FC236}">
              <a16:creationId xmlns:a16="http://schemas.microsoft.com/office/drawing/2014/main" id="{EE1FEB05-F994-4D9A-BD63-8812F78B3567}"/>
            </a:ext>
          </a:extLst>
        </xdr:cNvPr>
        <xdr:cNvSpPr txBox="1"/>
      </xdr:nvSpPr>
      <xdr:spPr>
        <a:xfrm>
          <a:off x="1385045" y="5214095"/>
          <a:ext cx="3691780" cy="952500"/>
        </a:xfrm>
        <a:prstGeom prst="rect">
          <a:avLst/>
        </a:prstGeom>
        <a:solidFill>
          <a:schemeClr val="lt1"/>
        </a:solidFill>
        <a:ln w="19050" cmpd="sng">
          <a:solidFill>
            <a:srgbClr val="FD8F5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3600"/>
            <a:t>入力しない！！</a:t>
          </a:r>
        </a:p>
      </xdr:txBody>
    </xdr:sp>
    <xdr:clientData fPrintsWithSheet="0"/>
  </xdr:twoCellAnchor>
  <xdr:twoCellAnchor editAs="oneCell">
    <xdr:from>
      <xdr:col>24</xdr:col>
      <xdr:colOff>101729</xdr:colOff>
      <xdr:row>34</xdr:row>
      <xdr:rowOff>11206</xdr:rowOff>
    </xdr:from>
    <xdr:to>
      <xdr:col>27</xdr:col>
      <xdr:colOff>156638</xdr:colOff>
      <xdr:row>39</xdr:row>
      <xdr:rowOff>118036</xdr:rowOff>
    </xdr:to>
    <xdr:pic>
      <xdr:nvPicPr>
        <xdr:cNvPr id="2" name="図 1">
          <a:hlinkClick xmlns:r="http://schemas.openxmlformats.org/officeDocument/2006/relationships" r:id="rId1"/>
          <a:extLst>
            <a:ext uri="{FF2B5EF4-FFF2-40B4-BE49-F238E27FC236}">
              <a16:creationId xmlns:a16="http://schemas.microsoft.com/office/drawing/2014/main" id="{BEC8843B-C00B-4378-B039-2E41BC1391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91641" y="9838765"/>
          <a:ext cx="895350" cy="1193800"/>
        </a:xfrm>
        <a:prstGeom prst="ellipse">
          <a:avLst/>
        </a:prstGeom>
        <a:ln>
          <a:noFill/>
        </a:ln>
        <a:effectLst>
          <a:softEdge rad="112500"/>
        </a:effectLst>
      </xdr:spPr>
    </xdr:pic>
    <xdr:clientData fPrintsWithSheet="0"/>
  </xdr:twoCellAnchor>
  <xdr:twoCellAnchor>
    <xdr:from>
      <xdr:col>24</xdr:col>
      <xdr:colOff>11204</xdr:colOff>
      <xdr:row>43</xdr:row>
      <xdr:rowOff>57710</xdr:rowOff>
    </xdr:from>
    <xdr:to>
      <xdr:col>27</xdr:col>
      <xdr:colOff>247163</xdr:colOff>
      <xdr:row>45</xdr:row>
      <xdr:rowOff>135886</xdr:rowOff>
    </xdr:to>
    <xdr:sp macro="[0]!A4両面印刷" textlink="">
      <xdr:nvSpPr>
        <xdr:cNvPr id="3" name="正方形/長方形 2">
          <a:extLst>
            <a:ext uri="{FF2B5EF4-FFF2-40B4-BE49-F238E27FC236}">
              <a16:creationId xmlns:a16="http://schemas.microsoft.com/office/drawing/2014/main" id="{DC27B0E9-78D3-4CFD-8B9D-6142C524A080}"/>
            </a:ext>
          </a:extLst>
        </xdr:cNvPr>
        <xdr:cNvSpPr/>
      </xdr:nvSpPr>
      <xdr:spPr>
        <a:xfrm>
          <a:off x="6701116" y="11734239"/>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24</xdr:col>
      <xdr:colOff>11241</xdr:colOff>
      <xdr:row>39</xdr:row>
      <xdr:rowOff>143436</xdr:rowOff>
    </xdr:from>
    <xdr:to>
      <xdr:col>27</xdr:col>
      <xdr:colOff>247126</xdr:colOff>
      <xdr:row>41</xdr:row>
      <xdr:rowOff>99172</xdr:rowOff>
    </xdr:to>
    <xdr:sp macro="" textlink="">
      <xdr:nvSpPr>
        <xdr:cNvPr id="4" name="正方形/長方形 3">
          <a:hlinkClick xmlns:r="http://schemas.openxmlformats.org/officeDocument/2006/relationships" r:id="rId3"/>
          <a:extLst>
            <a:ext uri="{FF2B5EF4-FFF2-40B4-BE49-F238E27FC236}">
              <a16:creationId xmlns:a16="http://schemas.microsoft.com/office/drawing/2014/main" id="{0048A111-51CF-4566-89A8-63D53575A87E}"/>
            </a:ext>
          </a:extLst>
        </xdr:cNvPr>
        <xdr:cNvSpPr/>
      </xdr:nvSpPr>
      <xdr:spPr>
        <a:xfrm>
          <a:off x="6701153" y="11057965"/>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9525</xdr:colOff>
      <xdr:row>45</xdr:row>
      <xdr:rowOff>304800</xdr:rowOff>
    </xdr:from>
    <xdr:to>
      <xdr:col>27</xdr:col>
      <xdr:colOff>245410</xdr:colOff>
      <xdr:row>45</xdr:row>
      <xdr:rowOff>814667</xdr:rowOff>
    </xdr:to>
    <xdr:sp macro="" textlink="">
      <xdr:nvSpPr>
        <xdr:cNvPr id="5" name="正方形/長方形 4">
          <a:hlinkClick xmlns:r="http://schemas.openxmlformats.org/officeDocument/2006/relationships" r:id="rId4"/>
          <a:extLst>
            <a:ext uri="{FF2B5EF4-FFF2-40B4-BE49-F238E27FC236}">
              <a16:creationId xmlns:a16="http://schemas.microsoft.com/office/drawing/2014/main" id="{EEF01301-8DAE-4DBE-AC20-5728557CB121}"/>
            </a:ext>
          </a:extLst>
        </xdr:cNvPr>
        <xdr:cNvSpPr/>
      </xdr:nvSpPr>
      <xdr:spPr>
        <a:xfrm>
          <a:off x="6629400" y="12325350"/>
          <a:ext cx="1064560" cy="509867"/>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ysClr val="windowText" lastClr="000000"/>
              </a:solidFill>
              <a:latin typeface="HG丸ｺﾞｼｯｸM-PRO" panose="020F0600000000000000" pitchFamily="50" charset="-128"/>
              <a:ea typeface="HG丸ｺﾞｼｯｸM-PRO" panose="020F0600000000000000" pitchFamily="50" charset="-128"/>
            </a:rPr>
            <a:t>加算連絡票</a:t>
          </a:r>
          <a:endParaRPr kumimoji="1" lang="en-US" altLang="ja-JP" sz="1200" b="1">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050" b="0">
              <a:solidFill>
                <a:sysClr val="windowText" lastClr="000000"/>
              </a:solidFill>
              <a:latin typeface="HG丸ｺﾞｼｯｸM-PRO" panose="020F0600000000000000" pitchFamily="50" charset="-128"/>
              <a:ea typeface="HG丸ｺﾞｼｯｸM-PRO" panose="020F0600000000000000" pitchFamily="50" charset="-128"/>
            </a:rPr>
            <a:t>　　　　　へ</a:t>
          </a:r>
          <a:endParaRPr kumimoji="1" lang="en-US" altLang="ja-JP" sz="105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2</xdr:row>
          <xdr:rowOff>257175</xdr:rowOff>
        </xdr:from>
        <xdr:to>
          <xdr:col>8</xdr:col>
          <xdr:colOff>28575</xdr:colOff>
          <xdr:row>4</xdr:row>
          <xdr:rowOff>19050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xdr:row>
          <xdr:rowOff>257175</xdr:rowOff>
        </xdr:from>
        <xdr:to>
          <xdr:col>13</xdr:col>
          <xdr:colOff>57150</xdr:colOff>
          <xdr:row>4</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xdr:row>
          <xdr:rowOff>257175</xdr:rowOff>
        </xdr:from>
        <xdr:to>
          <xdr:col>19</xdr:col>
          <xdr:colOff>76200</xdr:colOff>
          <xdr:row>4</xdr:row>
          <xdr:rowOff>19050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A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180975</xdr:rowOff>
        </xdr:from>
        <xdr:to>
          <xdr:col>7</xdr:col>
          <xdr:colOff>28575</xdr:colOff>
          <xdr:row>7</xdr:row>
          <xdr:rowOff>9525</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A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xdr:row>
          <xdr:rowOff>180975</xdr:rowOff>
        </xdr:from>
        <xdr:to>
          <xdr:col>13</xdr:col>
          <xdr:colOff>57150</xdr:colOff>
          <xdr:row>7</xdr:row>
          <xdr:rowOff>9525</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A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xdr:row>
          <xdr:rowOff>180975</xdr:rowOff>
        </xdr:from>
        <xdr:to>
          <xdr:col>18</xdr:col>
          <xdr:colOff>28575</xdr:colOff>
          <xdr:row>7</xdr:row>
          <xdr:rowOff>9525</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A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xdr:row>
          <xdr:rowOff>180975</xdr:rowOff>
        </xdr:from>
        <xdr:to>
          <xdr:col>5</xdr:col>
          <xdr:colOff>47625</xdr:colOff>
          <xdr:row>10</xdr:row>
          <xdr:rowOff>9525</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A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180975</xdr:rowOff>
        </xdr:from>
        <xdr:to>
          <xdr:col>8</xdr:col>
          <xdr:colOff>47625</xdr:colOff>
          <xdr:row>10</xdr:row>
          <xdr:rowOff>9525</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A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xdr:row>
          <xdr:rowOff>180975</xdr:rowOff>
        </xdr:from>
        <xdr:to>
          <xdr:col>14</xdr:col>
          <xdr:colOff>38100</xdr:colOff>
          <xdr:row>10</xdr:row>
          <xdr:rowOff>9525</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A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180975</xdr:rowOff>
        </xdr:from>
        <xdr:to>
          <xdr:col>4</xdr:col>
          <xdr:colOff>123825</xdr:colOff>
          <xdr:row>13</xdr:row>
          <xdr:rowOff>9525</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A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180975</xdr:rowOff>
        </xdr:from>
        <xdr:to>
          <xdr:col>9</xdr:col>
          <xdr:colOff>19050</xdr:colOff>
          <xdr:row>13</xdr:row>
          <xdr:rowOff>9525</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A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180975</xdr:rowOff>
        </xdr:from>
        <xdr:to>
          <xdr:col>14</xdr:col>
          <xdr:colOff>0</xdr:colOff>
          <xdr:row>13</xdr:row>
          <xdr:rowOff>9525</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A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14</xdr:row>
          <xdr:rowOff>180975</xdr:rowOff>
        </xdr:from>
        <xdr:to>
          <xdr:col>8</xdr:col>
          <xdr:colOff>38100</xdr:colOff>
          <xdr:row>16</xdr:row>
          <xdr:rowOff>9525</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A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180975</xdr:rowOff>
        </xdr:from>
        <xdr:to>
          <xdr:col>12</xdr:col>
          <xdr:colOff>0</xdr:colOff>
          <xdr:row>16</xdr:row>
          <xdr:rowOff>9525</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A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14</xdr:row>
          <xdr:rowOff>180975</xdr:rowOff>
        </xdr:from>
        <xdr:to>
          <xdr:col>15</xdr:col>
          <xdr:colOff>161925</xdr:colOff>
          <xdr:row>16</xdr:row>
          <xdr:rowOff>9525</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A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xdr:row>
          <xdr:rowOff>180975</xdr:rowOff>
        </xdr:from>
        <xdr:to>
          <xdr:col>22</xdr:col>
          <xdr:colOff>323850</xdr:colOff>
          <xdr:row>11</xdr:row>
          <xdr:rowOff>9525</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A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xdr:row>
          <xdr:rowOff>180975</xdr:rowOff>
        </xdr:from>
        <xdr:to>
          <xdr:col>22</xdr:col>
          <xdr:colOff>323850</xdr:colOff>
          <xdr:row>12</xdr:row>
          <xdr:rowOff>9525</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A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28575</xdr:rowOff>
        </xdr:from>
        <xdr:to>
          <xdr:col>10</xdr:col>
          <xdr:colOff>104775</xdr:colOff>
          <xdr:row>3</xdr:row>
          <xdr:rowOff>9525</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A00-00001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28575</xdr:rowOff>
        </xdr:from>
        <xdr:to>
          <xdr:col>14</xdr:col>
          <xdr:colOff>228600</xdr:colOff>
          <xdr:row>3</xdr:row>
          <xdr:rowOff>9525</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00000000-0008-0000-0A00-00001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104775</xdr:colOff>
          <xdr:row>21</xdr:row>
          <xdr:rowOff>9525</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00000000-0008-0000-0A00-00001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28575</xdr:rowOff>
        </xdr:from>
        <xdr:to>
          <xdr:col>14</xdr:col>
          <xdr:colOff>228600</xdr:colOff>
          <xdr:row>21</xdr:row>
          <xdr:rowOff>9525</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00000000-0008-0000-0A00-00001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xdr:row>
          <xdr:rowOff>257175</xdr:rowOff>
        </xdr:from>
        <xdr:to>
          <xdr:col>8</xdr:col>
          <xdr:colOff>28575</xdr:colOff>
          <xdr:row>22</xdr:row>
          <xdr:rowOff>19050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00000000-0008-0000-0A00-00001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20</xdr:row>
          <xdr:rowOff>257175</xdr:rowOff>
        </xdr:from>
        <xdr:to>
          <xdr:col>13</xdr:col>
          <xdr:colOff>57150</xdr:colOff>
          <xdr:row>22</xdr:row>
          <xdr:rowOff>19050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00000000-0008-0000-0A00-00001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257175</xdr:rowOff>
        </xdr:from>
        <xdr:to>
          <xdr:col>19</xdr:col>
          <xdr:colOff>76200</xdr:colOff>
          <xdr:row>22</xdr:row>
          <xdr:rowOff>19050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00000000-0008-0000-0A00-00001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180975</xdr:rowOff>
        </xdr:from>
        <xdr:to>
          <xdr:col>7</xdr:col>
          <xdr:colOff>28575</xdr:colOff>
          <xdr:row>25</xdr:row>
          <xdr:rowOff>9525</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00000000-0008-0000-0A00-00001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23</xdr:row>
          <xdr:rowOff>180975</xdr:rowOff>
        </xdr:from>
        <xdr:to>
          <xdr:col>13</xdr:col>
          <xdr:colOff>57150</xdr:colOff>
          <xdr:row>25</xdr:row>
          <xdr:rowOff>9525</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00000000-0008-0000-0A00-00001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23</xdr:row>
          <xdr:rowOff>180975</xdr:rowOff>
        </xdr:from>
        <xdr:to>
          <xdr:col>18</xdr:col>
          <xdr:colOff>28575</xdr:colOff>
          <xdr:row>25</xdr:row>
          <xdr:rowOff>9525</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00000000-0008-0000-0A00-00001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26</xdr:row>
          <xdr:rowOff>180975</xdr:rowOff>
        </xdr:from>
        <xdr:to>
          <xdr:col>5</xdr:col>
          <xdr:colOff>47625</xdr:colOff>
          <xdr:row>28</xdr:row>
          <xdr:rowOff>9525</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A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26</xdr:row>
          <xdr:rowOff>180975</xdr:rowOff>
        </xdr:from>
        <xdr:to>
          <xdr:col>8</xdr:col>
          <xdr:colOff>47625</xdr:colOff>
          <xdr:row>28</xdr:row>
          <xdr:rowOff>9525</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00000000-0008-0000-0A00-00001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26</xdr:row>
          <xdr:rowOff>180975</xdr:rowOff>
        </xdr:from>
        <xdr:to>
          <xdr:col>14</xdr:col>
          <xdr:colOff>38100</xdr:colOff>
          <xdr:row>28</xdr:row>
          <xdr:rowOff>9525</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0000000-0008-0000-0A00-00001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29</xdr:row>
          <xdr:rowOff>180975</xdr:rowOff>
        </xdr:from>
        <xdr:to>
          <xdr:col>4</xdr:col>
          <xdr:colOff>123825</xdr:colOff>
          <xdr:row>31</xdr:row>
          <xdr:rowOff>9525</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00000000-0008-0000-0A00-00001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29</xdr:row>
          <xdr:rowOff>180975</xdr:rowOff>
        </xdr:from>
        <xdr:to>
          <xdr:col>9</xdr:col>
          <xdr:colOff>19050</xdr:colOff>
          <xdr:row>31</xdr:row>
          <xdr:rowOff>9525</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00000000-0008-0000-0A00-00002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29</xdr:row>
          <xdr:rowOff>180975</xdr:rowOff>
        </xdr:from>
        <xdr:to>
          <xdr:col>14</xdr:col>
          <xdr:colOff>0</xdr:colOff>
          <xdr:row>31</xdr:row>
          <xdr:rowOff>9525</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0000000-0008-0000-0A00-00002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180975</xdr:rowOff>
        </xdr:from>
        <xdr:to>
          <xdr:col>8</xdr:col>
          <xdr:colOff>38100</xdr:colOff>
          <xdr:row>34</xdr:row>
          <xdr:rowOff>9525</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00000000-0008-0000-0A00-00002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32</xdr:row>
          <xdr:rowOff>180975</xdr:rowOff>
        </xdr:from>
        <xdr:to>
          <xdr:col>12</xdr:col>
          <xdr:colOff>0</xdr:colOff>
          <xdr:row>34</xdr:row>
          <xdr:rowOff>9525</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00000000-0008-0000-0A00-00002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32</xdr:row>
          <xdr:rowOff>180975</xdr:rowOff>
        </xdr:from>
        <xdr:to>
          <xdr:col>15</xdr:col>
          <xdr:colOff>161925</xdr:colOff>
          <xdr:row>34</xdr:row>
          <xdr:rowOff>9525</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00000000-0008-0000-0A00-00002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27</xdr:row>
          <xdr:rowOff>180975</xdr:rowOff>
        </xdr:from>
        <xdr:to>
          <xdr:col>22</xdr:col>
          <xdr:colOff>323850</xdr:colOff>
          <xdr:row>29</xdr:row>
          <xdr:rowOff>9525</xdr:rowOff>
        </xdr:to>
        <xdr:sp macro="" textlink="">
          <xdr:nvSpPr>
            <xdr:cNvPr id="19493" name="Check Box 37" hidden="1">
              <a:extLst>
                <a:ext uri="{63B3BB69-23CF-44E3-9099-C40C66FF867C}">
                  <a14:compatExt spid="_x0000_s19493"/>
                </a:ext>
                <a:ext uri="{FF2B5EF4-FFF2-40B4-BE49-F238E27FC236}">
                  <a16:creationId xmlns:a16="http://schemas.microsoft.com/office/drawing/2014/main" id="{00000000-0008-0000-0A00-00002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28</xdr:row>
          <xdr:rowOff>180975</xdr:rowOff>
        </xdr:from>
        <xdr:to>
          <xdr:col>22</xdr:col>
          <xdr:colOff>323850</xdr:colOff>
          <xdr:row>30</xdr:row>
          <xdr:rowOff>9525</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00000000-0008-0000-0A00-00002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38</xdr:row>
          <xdr:rowOff>28575</xdr:rowOff>
        </xdr:from>
        <xdr:to>
          <xdr:col>10</xdr:col>
          <xdr:colOff>104775</xdr:colOff>
          <xdr:row>39</xdr:row>
          <xdr:rowOff>9525</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00000000-0008-0000-0A00-00002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38</xdr:row>
          <xdr:rowOff>28575</xdr:rowOff>
        </xdr:from>
        <xdr:to>
          <xdr:col>14</xdr:col>
          <xdr:colOff>228600</xdr:colOff>
          <xdr:row>39</xdr:row>
          <xdr:rowOff>9525</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0000000-0008-0000-0A00-00002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45</xdr:row>
          <xdr:rowOff>180975</xdr:rowOff>
        </xdr:from>
        <xdr:to>
          <xdr:col>22</xdr:col>
          <xdr:colOff>323850</xdr:colOff>
          <xdr:row>47</xdr:row>
          <xdr:rowOff>9525</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000000-0008-0000-0A00-00002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46</xdr:row>
          <xdr:rowOff>180975</xdr:rowOff>
        </xdr:from>
        <xdr:to>
          <xdr:col>22</xdr:col>
          <xdr:colOff>323850</xdr:colOff>
          <xdr:row>48</xdr:row>
          <xdr:rowOff>9525</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00000000-0008-0000-0A00-00002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63</xdr:row>
          <xdr:rowOff>180975</xdr:rowOff>
        </xdr:from>
        <xdr:to>
          <xdr:col>22</xdr:col>
          <xdr:colOff>323850</xdr:colOff>
          <xdr:row>65</xdr:row>
          <xdr:rowOff>9525</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00000000-0008-0000-0A00-00002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64</xdr:row>
          <xdr:rowOff>180975</xdr:rowOff>
        </xdr:from>
        <xdr:to>
          <xdr:col>22</xdr:col>
          <xdr:colOff>323850</xdr:colOff>
          <xdr:row>66</xdr:row>
          <xdr:rowOff>9525</xdr:rowOff>
        </xdr:to>
        <xdr:sp macro="" textlink="">
          <xdr:nvSpPr>
            <xdr:cNvPr id="19500" name="Check Box 44" hidden="1">
              <a:extLst>
                <a:ext uri="{63B3BB69-23CF-44E3-9099-C40C66FF867C}">
                  <a14:compatExt spid="_x0000_s19500"/>
                </a:ext>
                <a:ext uri="{FF2B5EF4-FFF2-40B4-BE49-F238E27FC236}">
                  <a16:creationId xmlns:a16="http://schemas.microsoft.com/office/drawing/2014/main" id="{00000000-0008-0000-0A00-00002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81</xdr:row>
          <xdr:rowOff>180975</xdr:rowOff>
        </xdr:from>
        <xdr:to>
          <xdr:col>22</xdr:col>
          <xdr:colOff>323850</xdr:colOff>
          <xdr:row>83</xdr:row>
          <xdr:rowOff>9525</xdr:rowOff>
        </xdr:to>
        <xdr:sp macro="" textlink="">
          <xdr:nvSpPr>
            <xdr:cNvPr id="19501" name="Check Box 45" hidden="1">
              <a:extLst>
                <a:ext uri="{63B3BB69-23CF-44E3-9099-C40C66FF867C}">
                  <a14:compatExt spid="_x0000_s19501"/>
                </a:ext>
                <a:ext uri="{FF2B5EF4-FFF2-40B4-BE49-F238E27FC236}">
                  <a16:creationId xmlns:a16="http://schemas.microsoft.com/office/drawing/2014/main" id="{00000000-0008-0000-0A00-00002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82</xdr:row>
          <xdr:rowOff>180975</xdr:rowOff>
        </xdr:from>
        <xdr:to>
          <xdr:col>22</xdr:col>
          <xdr:colOff>323850</xdr:colOff>
          <xdr:row>84</xdr:row>
          <xdr:rowOff>9525</xdr:rowOff>
        </xdr:to>
        <xdr:sp macro="" textlink="">
          <xdr:nvSpPr>
            <xdr:cNvPr id="19502" name="Check Box 46" hidden="1">
              <a:extLst>
                <a:ext uri="{63B3BB69-23CF-44E3-9099-C40C66FF867C}">
                  <a14:compatExt spid="_x0000_s19502"/>
                </a:ext>
                <a:ext uri="{FF2B5EF4-FFF2-40B4-BE49-F238E27FC236}">
                  <a16:creationId xmlns:a16="http://schemas.microsoft.com/office/drawing/2014/main" id="{00000000-0008-0000-0A00-00002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99</xdr:row>
          <xdr:rowOff>180975</xdr:rowOff>
        </xdr:from>
        <xdr:to>
          <xdr:col>22</xdr:col>
          <xdr:colOff>323850</xdr:colOff>
          <xdr:row>101</xdr:row>
          <xdr:rowOff>9525</xdr:rowOff>
        </xdr:to>
        <xdr:sp macro="" textlink="">
          <xdr:nvSpPr>
            <xdr:cNvPr id="19503" name="Check Box 47" hidden="1">
              <a:extLst>
                <a:ext uri="{63B3BB69-23CF-44E3-9099-C40C66FF867C}">
                  <a14:compatExt spid="_x0000_s19503"/>
                </a:ext>
                <a:ext uri="{FF2B5EF4-FFF2-40B4-BE49-F238E27FC236}">
                  <a16:creationId xmlns:a16="http://schemas.microsoft.com/office/drawing/2014/main" id="{00000000-0008-0000-0A00-00002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100</xdr:row>
          <xdr:rowOff>180975</xdr:rowOff>
        </xdr:from>
        <xdr:to>
          <xdr:col>22</xdr:col>
          <xdr:colOff>323850</xdr:colOff>
          <xdr:row>102</xdr:row>
          <xdr:rowOff>9525</xdr:rowOff>
        </xdr:to>
        <xdr:sp macro="" textlink="">
          <xdr:nvSpPr>
            <xdr:cNvPr id="19504" name="Check Box 48" hidden="1">
              <a:extLst>
                <a:ext uri="{63B3BB69-23CF-44E3-9099-C40C66FF867C}">
                  <a14:compatExt spid="_x0000_s19504"/>
                </a:ext>
                <a:ext uri="{FF2B5EF4-FFF2-40B4-BE49-F238E27FC236}">
                  <a16:creationId xmlns:a16="http://schemas.microsoft.com/office/drawing/2014/main" id="{00000000-0008-0000-0A00-00003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28575</xdr:rowOff>
        </xdr:from>
        <xdr:to>
          <xdr:col>10</xdr:col>
          <xdr:colOff>104775</xdr:colOff>
          <xdr:row>57</xdr:row>
          <xdr:rowOff>9525</xdr:rowOff>
        </xdr:to>
        <xdr:sp macro="" textlink="">
          <xdr:nvSpPr>
            <xdr:cNvPr id="19505" name="Check Box 49" hidden="1">
              <a:extLst>
                <a:ext uri="{63B3BB69-23CF-44E3-9099-C40C66FF867C}">
                  <a14:compatExt spid="_x0000_s19505"/>
                </a:ext>
                <a:ext uri="{FF2B5EF4-FFF2-40B4-BE49-F238E27FC236}">
                  <a16:creationId xmlns:a16="http://schemas.microsoft.com/office/drawing/2014/main" id="{00000000-0008-0000-0A00-00003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56</xdr:row>
          <xdr:rowOff>28575</xdr:rowOff>
        </xdr:from>
        <xdr:to>
          <xdr:col>14</xdr:col>
          <xdr:colOff>228600</xdr:colOff>
          <xdr:row>57</xdr:row>
          <xdr:rowOff>9525</xdr:rowOff>
        </xdr:to>
        <xdr:sp macro="" textlink="">
          <xdr:nvSpPr>
            <xdr:cNvPr id="19506" name="Check Box 50" hidden="1">
              <a:extLst>
                <a:ext uri="{63B3BB69-23CF-44E3-9099-C40C66FF867C}">
                  <a14:compatExt spid="_x0000_s19506"/>
                </a:ext>
                <a:ext uri="{FF2B5EF4-FFF2-40B4-BE49-F238E27FC236}">
                  <a16:creationId xmlns:a16="http://schemas.microsoft.com/office/drawing/2014/main" id="{00000000-0008-0000-0A00-00003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74</xdr:row>
          <xdr:rowOff>28575</xdr:rowOff>
        </xdr:from>
        <xdr:to>
          <xdr:col>10</xdr:col>
          <xdr:colOff>104775</xdr:colOff>
          <xdr:row>75</xdr:row>
          <xdr:rowOff>9525</xdr:rowOff>
        </xdr:to>
        <xdr:sp macro="" textlink="">
          <xdr:nvSpPr>
            <xdr:cNvPr id="19507" name="Check Box 51" hidden="1">
              <a:extLst>
                <a:ext uri="{63B3BB69-23CF-44E3-9099-C40C66FF867C}">
                  <a14:compatExt spid="_x0000_s19507"/>
                </a:ext>
                <a:ext uri="{FF2B5EF4-FFF2-40B4-BE49-F238E27FC236}">
                  <a16:creationId xmlns:a16="http://schemas.microsoft.com/office/drawing/2014/main" id="{00000000-0008-0000-0A00-00003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74</xdr:row>
          <xdr:rowOff>28575</xdr:rowOff>
        </xdr:from>
        <xdr:to>
          <xdr:col>14</xdr:col>
          <xdr:colOff>228600</xdr:colOff>
          <xdr:row>75</xdr:row>
          <xdr:rowOff>9525</xdr:rowOff>
        </xdr:to>
        <xdr:sp macro="" textlink="">
          <xdr:nvSpPr>
            <xdr:cNvPr id="19508" name="Check Box 52" hidden="1">
              <a:extLst>
                <a:ext uri="{63B3BB69-23CF-44E3-9099-C40C66FF867C}">
                  <a14:compatExt spid="_x0000_s19508"/>
                </a:ext>
                <a:ext uri="{FF2B5EF4-FFF2-40B4-BE49-F238E27FC236}">
                  <a16:creationId xmlns:a16="http://schemas.microsoft.com/office/drawing/2014/main" id="{00000000-0008-0000-0A00-00003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92</xdr:row>
          <xdr:rowOff>28575</xdr:rowOff>
        </xdr:from>
        <xdr:to>
          <xdr:col>10</xdr:col>
          <xdr:colOff>104775</xdr:colOff>
          <xdr:row>93</xdr:row>
          <xdr:rowOff>9525</xdr:rowOff>
        </xdr:to>
        <xdr:sp macro="" textlink="">
          <xdr:nvSpPr>
            <xdr:cNvPr id="19509" name="Check Box 53" hidden="1">
              <a:extLst>
                <a:ext uri="{63B3BB69-23CF-44E3-9099-C40C66FF867C}">
                  <a14:compatExt spid="_x0000_s19509"/>
                </a:ext>
                <a:ext uri="{FF2B5EF4-FFF2-40B4-BE49-F238E27FC236}">
                  <a16:creationId xmlns:a16="http://schemas.microsoft.com/office/drawing/2014/main" id="{00000000-0008-0000-0A00-00003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92</xdr:row>
          <xdr:rowOff>28575</xdr:rowOff>
        </xdr:from>
        <xdr:to>
          <xdr:col>14</xdr:col>
          <xdr:colOff>228600</xdr:colOff>
          <xdr:row>93</xdr:row>
          <xdr:rowOff>9525</xdr:rowOff>
        </xdr:to>
        <xdr:sp macro="" textlink="">
          <xdr:nvSpPr>
            <xdr:cNvPr id="19510" name="Check Box 54" hidden="1">
              <a:extLst>
                <a:ext uri="{63B3BB69-23CF-44E3-9099-C40C66FF867C}">
                  <a14:compatExt spid="_x0000_s19510"/>
                </a:ext>
                <a:ext uri="{FF2B5EF4-FFF2-40B4-BE49-F238E27FC236}">
                  <a16:creationId xmlns:a16="http://schemas.microsoft.com/office/drawing/2014/main" id="{00000000-0008-0000-0A00-00003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38</xdr:row>
          <xdr:rowOff>257175</xdr:rowOff>
        </xdr:from>
        <xdr:to>
          <xdr:col>8</xdr:col>
          <xdr:colOff>28575</xdr:colOff>
          <xdr:row>40</xdr:row>
          <xdr:rowOff>19050</xdr:rowOff>
        </xdr:to>
        <xdr:sp macro="" textlink="">
          <xdr:nvSpPr>
            <xdr:cNvPr id="19511" name="Check Box 55" hidden="1">
              <a:extLst>
                <a:ext uri="{63B3BB69-23CF-44E3-9099-C40C66FF867C}">
                  <a14:compatExt spid="_x0000_s19511"/>
                </a:ext>
                <a:ext uri="{FF2B5EF4-FFF2-40B4-BE49-F238E27FC236}">
                  <a16:creationId xmlns:a16="http://schemas.microsoft.com/office/drawing/2014/main" id="{00000000-0008-0000-0A00-00003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38</xdr:row>
          <xdr:rowOff>257175</xdr:rowOff>
        </xdr:from>
        <xdr:to>
          <xdr:col>13</xdr:col>
          <xdr:colOff>57150</xdr:colOff>
          <xdr:row>40</xdr:row>
          <xdr:rowOff>19050</xdr:rowOff>
        </xdr:to>
        <xdr:sp macro="" textlink="">
          <xdr:nvSpPr>
            <xdr:cNvPr id="19512" name="Check Box 56" hidden="1">
              <a:extLst>
                <a:ext uri="{63B3BB69-23CF-44E3-9099-C40C66FF867C}">
                  <a14:compatExt spid="_x0000_s19512"/>
                </a:ext>
                <a:ext uri="{FF2B5EF4-FFF2-40B4-BE49-F238E27FC236}">
                  <a16:creationId xmlns:a16="http://schemas.microsoft.com/office/drawing/2014/main" id="{00000000-0008-0000-0A00-00003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38</xdr:row>
          <xdr:rowOff>257175</xdr:rowOff>
        </xdr:from>
        <xdr:to>
          <xdr:col>19</xdr:col>
          <xdr:colOff>76200</xdr:colOff>
          <xdr:row>40</xdr:row>
          <xdr:rowOff>19050</xdr:rowOff>
        </xdr:to>
        <xdr:sp macro="" textlink="">
          <xdr:nvSpPr>
            <xdr:cNvPr id="19513" name="Check Box 57" hidden="1">
              <a:extLst>
                <a:ext uri="{63B3BB69-23CF-44E3-9099-C40C66FF867C}">
                  <a14:compatExt spid="_x0000_s19513"/>
                </a:ext>
                <a:ext uri="{FF2B5EF4-FFF2-40B4-BE49-F238E27FC236}">
                  <a16:creationId xmlns:a16="http://schemas.microsoft.com/office/drawing/2014/main" id="{00000000-0008-0000-0A00-00003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41</xdr:row>
          <xdr:rowOff>180975</xdr:rowOff>
        </xdr:from>
        <xdr:to>
          <xdr:col>7</xdr:col>
          <xdr:colOff>28575</xdr:colOff>
          <xdr:row>43</xdr:row>
          <xdr:rowOff>9525</xdr:rowOff>
        </xdr:to>
        <xdr:sp macro="" textlink="">
          <xdr:nvSpPr>
            <xdr:cNvPr id="19514" name="Check Box 58" hidden="1">
              <a:extLst>
                <a:ext uri="{63B3BB69-23CF-44E3-9099-C40C66FF867C}">
                  <a14:compatExt spid="_x0000_s19514"/>
                </a:ext>
                <a:ext uri="{FF2B5EF4-FFF2-40B4-BE49-F238E27FC236}">
                  <a16:creationId xmlns:a16="http://schemas.microsoft.com/office/drawing/2014/main" id="{00000000-0008-0000-0A00-00003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41</xdr:row>
          <xdr:rowOff>180975</xdr:rowOff>
        </xdr:from>
        <xdr:to>
          <xdr:col>13</xdr:col>
          <xdr:colOff>57150</xdr:colOff>
          <xdr:row>43</xdr:row>
          <xdr:rowOff>9525</xdr:rowOff>
        </xdr:to>
        <xdr:sp macro="" textlink="">
          <xdr:nvSpPr>
            <xdr:cNvPr id="19515" name="Check Box 59" hidden="1">
              <a:extLst>
                <a:ext uri="{63B3BB69-23CF-44E3-9099-C40C66FF867C}">
                  <a14:compatExt spid="_x0000_s19515"/>
                </a:ext>
                <a:ext uri="{FF2B5EF4-FFF2-40B4-BE49-F238E27FC236}">
                  <a16:creationId xmlns:a16="http://schemas.microsoft.com/office/drawing/2014/main" id="{00000000-0008-0000-0A00-00003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41</xdr:row>
          <xdr:rowOff>180975</xdr:rowOff>
        </xdr:from>
        <xdr:to>
          <xdr:col>18</xdr:col>
          <xdr:colOff>28575</xdr:colOff>
          <xdr:row>43</xdr:row>
          <xdr:rowOff>9525</xdr:rowOff>
        </xdr:to>
        <xdr:sp macro="" textlink="">
          <xdr:nvSpPr>
            <xdr:cNvPr id="19516" name="Check Box 60" hidden="1">
              <a:extLst>
                <a:ext uri="{63B3BB69-23CF-44E3-9099-C40C66FF867C}">
                  <a14:compatExt spid="_x0000_s19516"/>
                </a:ext>
                <a:ext uri="{FF2B5EF4-FFF2-40B4-BE49-F238E27FC236}">
                  <a16:creationId xmlns:a16="http://schemas.microsoft.com/office/drawing/2014/main" id="{00000000-0008-0000-0A00-00003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44</xdr:row>
          <xdr:rowOff>180975</xdr:rowOff>
        </xdr:from>
        <xdr:to>
          <xdr:col>5</xdr:col>
          <xdr:colOff>47625</xdr:colOff>
          <xdr:row>46</xdr:row>
          <xdr:rowOff>9525</xdr:rowOff>
        </xdr:to>
        <xdr:sp macro="" textlink="">
          <xdr:nvSpPr>
            <xdr:cNvPr id="19517" name="Check Box 61" hidden="1">
              <a:extLst>
                <a:ext uri="{63B3BB69-23CF-44E3-9099-C40C66FF867C}">
                  <a14:compatExt spid="_x0000_s19517"/>
                </a:ext>
                <a:ext uri="{FF2B5EF4-FFF2-40B4-BE49-F238E27FC236}">
                  <a16:creationId xmlns:a16="http://schemas.microsoft.com/office/drawing/2014/main" id="{00000000-0008-0000-0A00-00003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44</xdr:row>
          <xdr:rowOff>180975</xdr:rowOff>
        </xdr:from>
        <xdr:to>
          <xdr:col>8</xdr:col>
          <xdr:colOff>47625</xdr:colOff>
          <xdr:row>46</xdr:row>
          <xdr:rowOff>9525</xdr:rowOff>
        </xdr:to>
        <xdr:sp macro="" textlink="">
          <xdr:nvSpPr>
            <xdr:cNvPr id="19518" name="Check Box 62" hidden="1">
              <a:extLst>
                <a:ext uri="{63B3BB69-23CF-44E3-9099-C40C66FF867C}">
                  <a14:compatExt spid="_x0000_s19518"/>
                </a:ext>
                <a:ext uri="{FF2B5EF4-FFF2-40B4-BE49-F238E27FC236}">
                  <a16:creationId xmlns:a16="http://schemas.microsoft.com/office/drawing/2014/main" id="{00000000-0008-0000-0A00-00003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44</xdr:row>
          <xdr:rowOff>180975</xdr:rowOff>
        </xdr:from>
        <xdr:to>
          <xdr:col>14</xdr:col>
          <xdr:colOff>38100</xdr:colOff>
          <xdr:row>46</xdr:row>
          <xdr:rowOff>9525</xdr:rowOff>
        </xdr:to>
        <xdr:sp macro="" textlink="">
          <xdr:nvSpPr>
            <xdr:cNvPr id="19519" name="Check Box 63" hidden="1">
              <a:extLst>
                <a:ext uri="{63B3BB69-23CF-44E3-9099-C40C66FF867C}">
                  <a14:compatExt spid="_x0000_s19519"/>
                </a:ext>
                <a:ext uri="{FF2B5EF4-FFF2-40B4-BE49-F238E27FC236}">
                  <a16:creationId xmlns:a16="http://schemas.microsoft.com/office/drawing/2014/main" id="{00000000-0008-0000-0A00-00003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47</xdr:row>
          <xdr:rowOff>180975</xdr:rowOff>
        </xdr:from>
        <xdr:to>
          <xdr:col>4</xdr:col>
          <xdr:colOff>123825</xdr:colOff>
          <xdr:row>49</xdr:row>
          <xdr:rowOff>9525</xdr:rowOff>
        </xdr:to>
        <xdr:sp macro="" textlink="">
          <xdr:nvSpPr>
            <xdr:cNvPr id="19520" name="Check Box 64" hidden="1">
              <a:extLst>
                <a:ext uri="{63B3BB69-23CF-44E3-9099-C40C66FF867C}">
                  <a14:compatExt spid="_x0000_s19520"/>
                </a:ext>
                <a:ext uri="{FF2B5EF4-FFF2-40B4-BE49-F238E27FC236}">
                  <a16:creationId xmlns:a16="http://schemas.microsoft.com/office/drawing/2014/main" id="{00000000-0008-0000-0A00-00004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47</xdr:row>
          <xdr:rowOff>180975</xdr:rowOff>
        </xdr:from>
        <xdr:to>
          <xdr:col>9</xdr:col>
          <xdr:colOff>19050</xdr:colOff>
          <xdr:row>49</xdr:row>
          <xdr:rowOff>9525</xdr:rowOff>
        </xdr:to>
        <xdr:sp macro="" textlink="">
          <xdr:nvSpPr>
            <xdr:cNvPr id="19521" name="Check Box 65" hidden="1">
              <a:extLst>
                <a:ext uri="{63B3BB69-23CF-44E3-9099-C40C66FF867C}">
                  <a14:compatExt spid="_x0000_s19521"/>
                </a:ext>
                <a:ext uri="{FF2B5EF4-FFF2-40B4-BE49-F238E27FC236}">
                  <a16:creationId xmlns:a16="http://schemas.microsoft.com/office/drawing/2014/main" id="{00000000-0008-0000-0A00-00004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47</xdr:row>
          <xdr:rowOff>180975</xdr:rowOff>
        </xdr:from>
        <xdr:to>
          <xdr:col>14</xdr:col>
          <xdr:colOff>0</xdr:colOff>
          <xdr:row>49</xdr:row>
          <xdr:rowOff>9525</xdr:rowOff>
        </xdr:to>
        <xdr:sp macro="" textlink="">
          <xdr:nvSpPr>
            <xdr:cNvPr id="19522" name="Check Box 66" hidden="1">
              <a:extLst>
                <a:ext uri="{63B3BB69-23CF-44E3-9099-C40C66FF867C}">
                  <a14:compatExt spid="_x0000_s19522"/>
                </a:ext>
                <a:ext uri="{FF2B5EF4-FFF2-40B4-BE49-F238E27FC236}">
                  <a16:creationId xmlns:a16="http://schemas.microsoft.com/office/drawing/2014/main" id="{00000000-0008-0000-0A00-00004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50</xdr:row>
          <xdr:rowOff>180975</xdr:rowOff>
        </xdr:from>
        <xdr:to>
          <xdr:col>8</xdr:col>
          <xdr:colOff>38100</xdr:colOff>
          <xdr:row>52</xdr:row>
          <xdr:rowOff>9525</xdr:rowOff>
        </xdr:to>
        <xdr:sp macro="" textlink="">
          <xdr:nvSpPr>
            <xdr:cNvPr id="19523" name="Check Box 67" hidden="1">
              <a:extLst>
                <a:ext uri="{63B3BB69-23CF-44E3-9099-C40C66FF867C}">
                  <a14:compatExt spid="_x0000_s19523"/>
                </a:ext>
                <a:ext uri="{FF2B5EF4-FFF2-40B4-BE49-F238E27FC236}">
                  <a16:creationId xmlns:a16="http://schemas.microsoft.com/office/drawing/2014/main" id="{00000000-0008-0000-0A00-00004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50</xdr:row>
          <xdr:rowOff>180975</xdr:rowOff>
        </xdr:from>
        <xdr:to>
          <xdr:col>12</xdr:col>
          <xdr:colOff>0</xdr:colOff>
          <xdr:row>52</xdr:row>
          <xdr:rowOff>9525</xdr:rowOff>
        </xdr:to>
        <xdr:sp macro="" textlink="">
          <xdr:nvSpPr>
            <xdr:cNvPr id="19524" name="Check Box 68" hidden="1">
              <a:extLst>
                <a:ext uri="{63B3BB69-23CF-44E3-9099-C40C66FF867C}">
                  <a14:compatExt spid="_x0000_s19524"/>
                </a:ext>
                <a:ext uri="{FF2B5EF4-FFF2-40B4-BE49-F238E27FC236}">
                  <a16:creationId xmlns:a16="http://schemas.microsoft.com/office/drawing/2014/main" id="{00000000-0008-0000-0A00-00004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50</xdr:row>
          <xdr:rowOff>180975</xdr:rowOff>
        </xdr:from>
        <xdr:to>
          <xdr:col>15</xdr:col>
          <xdr:colOff>161925</xdr:colOff>
          <xdr:row>52</xdr:row>
          <xdr:rowOff>9525</xdr:rowOff>
        </xdr:to>
        <xdr:sp macro="" textlink="">
          <xdr:nvSpPr>
            <xdr:cNvPr id="19525" name="Check Box 69" hidden="1">
              <a:extLst>
                <a:ext uri="{63B3BB69-23CF-44E3-9099-C40C66FF867C}">
                  <a14:compatExt spid="_x0000_s19525"/>
                </a:ext>
                <a:ext uri="{FF2B5EF4-FFF2-40B4-BE49-F238E27FC236}">
                  <a16:creationId xmlns:a16="http://schemas.microsoft.com/office/drawing/2014/main" id="{00000000-0008-0000-0A00-00004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56</xdr:row>
          <xdr:rowOff>257175</xdr:rowOff>
        </xdr:from>
        <xdr:to>
          <xdr:col>8</xdr:col>
          <xdr:colOff>28575</xdr:colOff>
          <xdr:row>58</xdr:row>
          <xdr:rowOff>19050</xdr:rowOff>
        </xdr:to>
        <xdr:sp macro="" textlink="">
          <xdr:nvSpPr>
            <xdr:cNvPr id="19526" name="Check Box 70" hidden="1">
              <a:extLst>
                <a:ext uri="{63B3BB69-23CF-44E3-9099-C40C66FF867C}">
                  <a14:compatExt spid="_x0000_s19526"/>
                </a:ext>
                <a:ext uri="{FF2B5EF4-FFF2-40B4-BE49-F238E27FC236}">
                  <a16:creationId xmlns:a16="http://schemas.microsoft.com/office/drawing/2014/main" id="{00000000-0008-0000-0A00-00004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56</xdr:row>
          <xdr:rowOff>257175</xdr:rowOff>
        </xdr:from>
        <xdr:to>
          <xdr:col>13</xdr:col>
          <xdr:colOff>57150</xdr:colOff>
          <xdr:row>58</xdr:row>
          <xdr:rowOff>19050</xdr:rowOff>
        </xdr:to>
        <xdr:sp macro="" textlink="">
          <xdr:nvSpPr>
            <xdr:cNvPr id="19527" name="Check Box 71" hidden="1">
              <a:extLst>
                <a:ext uri="{63B3BB69-23CF-44E3-9099-C40C66FF867C}">
                  <a14:compatExt spid="_x0000_s19527"/>
                </a:ext>
                <a:ext uri="{FF2B5EF4-FFF2-40B4-BE49-F238E27FC236}">
                  <a16:creationId xmlns:a16="http://schemas.microsoft.com/office/drawing/2014/main" id="{00000000-0008-0000-0A00-00004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56</xdr:row>
          <xdr:rowOff>257175</xdr:rowOff>
        </xdr:from>
        <xdr:to>
          <xdr:col>19</xdr:col>
          <xdr:colOff>76200</xdr:colOff>
          <xdr:row>58</xdr:row>
          <xdr:rowOff>19050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00000000-0008-0000-0A00-00004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59</xdr:row>
          <xdr:rowOff>180975</xdr:rowOff>
        </xdr:from>
        <xdr:to>
          <xdr:col>7</xdr:col>
          <xdr:colOff>28575</xdr:colOff>
          <xdr:row>61</xdr:row>
          <xdr:rowOff>9525</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00000000-0008-0000-0A00-00004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59</xdr:row>
          <xdr:rowOff>180975</xdr:rowOff>
        </xdr:from>
        <xdr:to>
          <xdr:col>13</xdr:col>
          <xdr:colOff>57150</xdr:colOff>
          <xdr:row>61</xdr:row>
          <xdr:rowOff>9525</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00000000-0008-0000-0A00-00004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59</xdr:row>
          <xdr:rowOff>180975</xdr:rowOff>
        </xdr:from>
        <xdr:to>
          <xdr:col>18</xdr:col>
          <xdr:colOff>28575</xdr:colOff>
          <xdr:row>61</xdr:row>
          <xdr:rowOff>9525</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00000000-0008-0000-0A00-00004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62</xdr:row>
          <xdr:rowOff>180975</xdr:rowOff>
        </xdr:from>
        <xdr:to>
          <xdr:col>5</xdr:col>
          <xdr:colOff>47625</xdr:colOff>
          <xdr:row>64</xdr:row>
          <xdr:rowOff>9525</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00000000-0008-0000-0A00-00004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62</xdr:row>
          <xdr:rowOff>180975</xdr:rowOff>
        </xdr:from>
        <xdr:to>
          <xdr:col>8</xdr:col>
          <xdr:colOff>47625</xdr:colOff>
          <xdr:row>64</xdr:row>
          <xdr:rowOff>9525</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00000000-0008-0000-0A00-00004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62</xdr:row>
          <xdr:rowOff>180975</xdr:rowOff>
        </xdr:from>
        <xdr:to>
          <xdr:col>14</xdr:col>
          <xdr:colOff>38100</xdr:colOff>
          <xdr:row>64</xdr:row>
          <xdr:rowOff>9525</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00000000-0008-0000-0A00-00004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65</xdr:row>
          <xdr:rowOff>180975</xdr:rowOff>
        </xdr:from>
        <xdr:to>
          <xdr:col>4</xdr:col>
          <xdr:colOff>123825</xdr:colOff>
          <xdr:row>67</xdr:row>
          <xdr:rowOff>9525</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00000000-0008-0000-0A00-00004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65</xdr:row>
          <xdr:rowOff>180975</xdr:rowOff>
        </xdr:from>
        <xdr:to>
          <xdr:col>9</xdr:col>
          <xdr:colOff>19050</xdr:colOff>
          <xdr:row>67</xdr:row>
          <xdr:rowOff>9525</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00000000-0008-0000-0A00-00005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65</xdr:row>
          <xdr:rowOff>180975</xdr:rowOff>
        </xdr:from>
        <xdr:to>
          <xdr:col>14</xdr:col>
          <xdr:colOff>0</xdr:colOff>
          <xdr:row>67</xdr:row>
          <xdr:rowOff>9525</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00000000-0008-0000-0A00-00005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68</xdr:row>
          <xdr:rowOff>180975</xdr:rowOff>
        </xdr:from>
        <xdr:to>
          <xdr:col>8</xdr:col>
          <xdr:colOff>38100</xdr:colOff>
          <xdr:row>70</xdr:row>
          <xdr:rowOff>9525</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00000000-0008-0000-0A00-00005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68</xdr:row>
          <xdr:rowOff>180975</xdr:rowOff>
        </xdr:from>
        <xdr:to>
          <xdr:col>12</xdr:col>
          <xdr:colOff>0</xdr:colOff>
          <xdr:row>70</xdr:row>
          <xdr:rowOff>9525</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0000000-0008-0000-0A00-00005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68</xdr:row>
          <xdr:rowOff>180975</xdr:rowOff>
        </xdr:from>
        <xdr:to>
          <xdr:col>15</xdr:col>
          <xdr:colOff>161925</xdr:colOff>
          <xdr:row>70</xdr:row>
          <xdr:rowOff>9525</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00000000-0008-0000-0A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74</xdr:row>
          <xdr:rowOff>257175</xdr:rowOff>
        </xdr:from>
        <xdr:to>
          <xdr:col>8</xdr:col>
          <xdr:colOff>28575</xdr:colOff>
          <xdr:row>76</xdr:row>
          <xdr:rowOff>19050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00000000-0008-0000-0A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74</xdr:row>
          <xdr:rowOff>257175</xdr:rowOff>
        </xdr:from>
        <xdr:to>
          <xdr:col>13</xdr:col>
          <xdr:colOff>57150</xdr:colOff>
          <xdr:row>76</xdr:row>
          <xdr:rowOff>19050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00000000-0008-0000-0A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74</xdr:row>
          <xdr:rowOff>257175</xdr:rowOff>
        </xdr:from>
        <xdr:to>
          <xdr:col>19</xdr:col>
          <xdr:colOff>76200</xdr:colOff>
          <xdr:row>76</xdr:row>
          <xdr:rowOff>19050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00000000-0008-0000-0A00-00005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77</xdr:row>
          <xdr:rowOff>180975</xdr:rowOff>
        </xdr:from>
        <xdr:to>
          <xdr:col>7</xdr:col>
          <xdr:colOff>28575</xdr:colOff>
          <xdr:row>79</xdr:row>
          <xdr:rowOff>9525</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00000000-0008-0000-0A00-00005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77</xdr:row>
          <xdr:rowOff>180975</xdr:rowOff>
        </xdr:from>
        <xdr:to>
          <xdr:col>13</xdr:col>
          <xdr:colOff>57150</xdr:colOff>
          <xdr:row>79</xdr:row>
          <xdr:rowOff>9525</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00000000-0008-0000-0A00-00005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77</xdr:row>
          <xdr:rowOff>180975</xdr:rowOff>
        </xdr:from>
        <xdr:to>
          <xdr:col>18</xdr:col>
          <xdr:colOff>28575</xdr:colOff>
          <xdr:row>79</xdr:row>
          <xdr:rowOff>9525</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00000000-0008-0000-0A00-00005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80</xdr:row>
          <xdr:rowOff>180975</xdr:rowOff>
        </xdr:from>
        <xdr:to>
          <xdr:col>5</xdr:col>
          <xdr:colOff>47625</xdr:colOff>
          <xdr:row>82</xdr:row>
          <xdr:rowOff>9525</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00000000-0008-0000-0A00-00005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180975</xdr:rowOff>
        </xdr:from>
        <xdr:to>
          <xdr:col>8</xdr:col>
          <xdr:colOff>47625</xdr:colOff>
          <xdr:row>82</xdr:row>
          <xdr:rowOff>9525</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00000000-0008-0000-0A00-00005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80</xdr:row>
          <xdr:rowOff>180975</xdr:rowOff>
        </xdr:from>
        <xdr:to>
          <xdr:col>14</xdr:col>
          <xdr:colOff>38100</xdr:colOff>
          <xdr:row>82</xdr:row>
          <xdr:rowOff>9525</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00000000-0008-0000-0A00-00005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83</xdr:row>
          <xdr:rowOff>180975</xdr:rowOff>
        </xdr:from>
        <xdr:to>
          <xdr:col>4</xdr:col>
          <xdr:colOff>123825</xdr:colOff>
          <xdr:row>85</xdr:row>
          <xdr:rowOff>9525</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00000000-0008-0000-0A00-00005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83</xdr:row>
          <xdr:rowOff>180975</xdr:rowOff>
        </xdr:from>
        <xdr:to>
          <xdr:col>9</xdr:col>
          <xdr:colOff>19050</xdr:colOff>
          <xdr:row>85</xdr:row>
          <xdr:rowOff>9525</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00000000-0008-0000-0A00-00005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83</xdr:row>
          <xdr:rowOff>180975</xdr:rowOff>
        </xdr:from>
        <xdr:to>
          <xdr:col>14</xdr:col>
          <xdr:colOff>0</xdr:colOff>
          <xdr:row>85</xdr:row>
          <xdr:rowOff>9525</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00000000-0008-0000-0A00-00006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86</xdr:row>
          <xdr:rowOff>180975</xdr:rowOff>
        </xdr:from>
        <xdr:to>
          <xdr:col>8</xdr:col>
          <xdr:colOff>38100</xdr:colOff>
          <xdr:row>88</xdr:row>
          <xdr:rowOff>9525</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00000000-0008-0000-0A00-00006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86</xdr:row>
          <xdr:rowOff>180975</xdr:rowOff>
        </xdr:from>
        <xdr:to>
          <xdr:col>12</xdr:col>
          <xdr:colOff>0</xdr:colOff>
          <xdr:row>88</xdr:row>
          <xdr:rowOff>9525</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00000000-0008-0000-0A00-00006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86</xdr:row>
          <xdr:rowOff>180975</xdr:rowOff>
        </xdr:from>
        <xdr:to>
          <xdr:col>15</xdr:col>
          <xdr:colOff>161925</xdr:colOff>
          <xdr:row>88</xdr:row>
          <xdr:rowOff>9525</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00000000-0008-0000-0A00-00006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92</xdr:row>
          <xdr:rowOff>257175</xdr:rowOff>
        </xdr:from>
        <xdr:to>
          <xdr:col>8</xdr:col>
          <xdr:colOff>28575</xdr:colOff>
          <xdr:row>94</xdr:row>
          <xdr:rowOff>19050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00000000-0008-0000-0A00-00006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92</xdr:row>
          <xdr:rowOff>257175</xdr:rowOff>
        </xdr:from>
        <xdr:to>
          <xdr:col>13</xdr:col>
          <xdr:colOff>57150</xdr:colOff>
          <xdr:row>94</xdr:row>
          <xdr:rowOff>19050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00000000-0008-0000-0A00-00006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257175</xdr:rowOff>
        </xdr:from>
        <xdr:to>
          <xdr:col>19</xdr:col>
          <xdr:colOff>76200</xdr:colOff>
          <xdr:row>94</xdr:row>
          <xdr:rowOff>19050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00000000-0008-0000-0A00-00006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95</xdr:row>
          <xdr:rowOff>180975</xdr:rowOff>
        </xdr:from>
        <xdr:to>
          <xdr:col>7</xdr:col>
          <xdr:colOff>28575</xdr:colOff>
          <xdr:row>97</xdr:row>
          <xdr:rowOff>9525</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00000000-0008-0000-0A00-00006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95</xdr:row>
          <xdr:rowOff>180975</xdr:rowOff>
        </xdr:from>
        <xdr:to>
          <xdr:col>13</xdr:col>
          <xdr:colOff>57150</xdr:colOff>
          <xdr:row>97</xdr:row>
          <xdr:rowOff>9525</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00000000-0008-0000-0A00-00006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95</xdr:row>
          <xdr:rowOff>180975</xdr:rowOff>
        </xdr:from>
        <xdr:to>
          <xdr:col>18</xdr:col>
          <xdr:colOff>28575</xdr:colOff>
          <xdr:row>97</xdr:row>
          <xdr:rowOff>9525</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00000000-0008-0000-0A00-00006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98</xdr:row>
          <xdr:rowOff>180975</xdr:rowOff>
        </xdr:from>
        <xdr:to>
          <xdr:col>5</xdr:col>
          <xdr:colOff>47625</xdr:colOff>
          <xdr:row>100</xdr:row>
          <xdr:rowOff>9525</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00000000-0008-0000-0A00-00006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98</xdr:row>
          <xdr:rowOff>180975</xdr:rowOff>
        </xdr:from>
        <xdr:to>
          <xdr:col>8</xdr:col>
          <xdr:colOff>47625</xdr:colOff>
          <xdr:row>100</xdr:row>
          <xdr:rowOff>9525</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00000000-0008-0000-0A00-00006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98</xdr:row>
          <xdr:rowOff>180975</xdr:rowOff>
        </xdr:from>
        <xdr:to>
          <xdr:col>14</xdr:col>
          <xdr:colOff>38100</xdr:colOff>
          <xdr:row>100</xdr:row>
          <xdr:rowOff>9525</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00000000-0008-0000-0A00-00006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101</xdr:row>
          <xdr:rowOff>180975</xdr:rowOff>
        </xdr:from>
        <xdr:to>
          <xdr:col>4</xdr:col>
          <xdr:colOff>123825</xdr:colOff>
          <xdr:row>103</xdr:row>
          <xdr:rowOff>9525</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00000000-0008-0000-0A00-00006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101</xdr:row>
          <xdr:rowOff>180975</xdr:rowOff>
        </xdr:from>
        <xdr:to>
          <xdr:col>9</xdr:col>
          <xdr:colOff>19050</xdr:colOff>
          <xdr:row>103</xdr:row>
          <xdr:rowOff>9525</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00000000-0008-0000-0A00-00006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101</xdr:row>
          <xdr:rowOff>180975</xdr:rowOff>
        </xdr:from>
        <xdr:to>
          <xdr:col>14</xdr:col>
          <xdr:colOff>0</xdr:colOff>
          <xdr:row>103</xdr:row>
          <xdr:rowOff>9525</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00000000-0008-0000-0A00-00006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104</xdr:row>
          <xdr:rowOff>180975</xdr:rowOff>
        </xdr:from>
        <xdr:to>
          <xdr:col>8</xdr:col>
          <xdr:colOff>38100</xdr:colOff>
          <xdr:row>106</xdr:row>
          <xdr:rowOff>9525</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00000000-0008-0000-0A00-00007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104</xdr:row>
          <xdr:rowOff>180975</xdr:rowOff>
        </xdr:from>
        <xdr:to>
          <xdr:col>12</xdr:col>
          <xdr:colOff>0</xdr:colOff>
          <xdr:row>106</xdr:row>
          <xdr:rowOff>9525</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00000000-0008-0000-0A00-00007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104</xdr:row>
          <xdr:rowOff>180975</xdr:rowOff>
        </xdr:from>
        <xdr:to>
          <xdr:col>15</xdr:col>
          <xdr:colOff>161925</xdr:colOff>
          <xdr:row>106</xdr:row>
          <xdr:rowOff>9525</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00000000-0008-0000-0A00-00007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24</xdr:col>
      <xdr:colOff>261975</xdr:colOff>
      <xdr:row>0</xdr:row>
      <xdr:rowOff>0</xdr:rowOff>
    </xdr:from>
    <xdr:to>
      <xdr:col>25</xdr:col>
      <xdr:colOff>471525</xdr:colOff>
      <xdr:row>5</xdr:row>
      <xdr:rowOff>155575</xdr:rowOff>
    </xdr:to>
    <xdr:pic>
      <xdr:nvPicPr>
        <xdr:cNvPr id="4" name="図 3">
          <a:hlinkClick xmlns:r="http://schemas.openxmlformats.org/officeDocument/2006/relationships" r:id="rId1"/>
          <a:extLst>
            <a:ext uri="{FF2B5EF4-FFF2-40B4-BE49-F238E27FC236}">
              <a16:creationId xmlns:a16="http://schemas.microsoft.com/office/drawing/2014/main" id="{0D9BEF81-E327-4993-85F1-3B7FBFB8CBC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39025" y="0"/>
          <a:ext cx="895350" cy="1193800"/>
        </a:xfrm>
        <a:prstGeom prst="ellipse">
          <a:avLst/>
        </a:prstGeom>
        <a:ln>
          <a:noFill/>
        </a:ln>
        <a:effectLst>
          <a:softEdge rad="112500"/>
        </a:effectLst>
      </xdr:spPr>
    </xdr:pic>
    <xdr:clientData fPrintsWithSheet="0"/>
  </xdr:twoCellAnchor>
  <xdr:twoCellAnchor>
    <xdr:from>
      <xdr:col>24</xdr:col>
      <xdr:colOff>171450</xdr:colOff>
      <xdr:row>9</xdr:row>
      <xdr:rowOff>95249</xdr:rowOff>
    </xdr:from>
    <xdr:to>
      <xdr:col>25</xdr:col>
      <xdr:colOff>562050</xdr:colOff>
      <xdr:row>12</xdr:row>
      <xdr:rowOff>27749</xdr:rowOff>
    </xdr:to>
    <xdr:sp macro="[0]!A4両面印刷" textlink="">
      <xdr:nvSpPr>
        <xdr:cNvPr id="5" name="正方形/長方形 4">
          <a:extLst>
            <a:ext uri="{FF2B5EF4-FFF2-40B4-BE49-F238E27FC236}">
              <a16:creationId xmlns:a16="http://schemas.microsoft.com/office/drawing/2014/main" id="{ADFEAE9F-EA6F-403D-BB99-7AE5C5716907}"/>
            </a:ext>
          </a:extLst>
        </xdr:cNvPr>
        <xdr:cNvSpPr/>
      </xdr:nvSpPr>
      <xdr:spPr>
        <a:xfrm>
          <a:off x="7048500"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24</xdr:col>
      <xdr:colOff>171487</xdr:colOff>
      <xdr:row>5</xdr:row>
      <xdr:rowOff>180975</xdr:rowOff>
    </xdr:from>
    <xdr:to>
      <xdr:col>25</xdr:col>
      <xdr:colOff>562013</xdr:colOff>
      <xdr:row>8</xdr:row>
      <xdr:rowOff>114300</xdr:rowOff>
    </xdr:to>
    <xdr:sp macro="" textlink="">
      <xdr:nvSpPr>
        <xdr:cNvPr id="6" name="正方形/長方形 5">
          <a:hlinkClick xmlns:r="http://schemas.openxmlformats.org/officeDocument/2006/relationships" r:id="rId3"/>
          <a:extLst>
            <a:ext uri="{FF2B5EF4-FFF2-40B4-BE49-F238E27FC236}">
              <a16:creationId xmlns:a16="http://schemas.microsoft.com/office/drawing/2014/main" id="{21ED213B-4B5F-4129-AE1F-0392CC4F04D5}"/>
            </a:ext>
          </a:extLst>
        </xdr:cNvPr>
        <xdr:cNvSpPr/>
      </xdr:nvSpPr>
      <xdr:spPr>
        <a:xfrm>
          <a:off x="7048537"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228600</xdr:colOff>
          <xdr:row>2</xdr:row>
          <xdr:rowOff>257175</xdr:rowOff>
        </xdr:from>
        <xdr:to>
          <xdr:col>8</xdr:col>
          <xdr:colOff>28575</xdr:colOff>
          <xdr:row>4</xdr:row>
          <xdr:rowOff>19050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00000000-0008-0000-0A00-00007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xdr:row>
          <xdr:rowOff>257175</xdr:rowOff>
        </xdr:from>
        <xdr:to>
          <xdr:col>13</xdr:col>
          <xdr:colOff>57150</xdr:colOff>
          <xdr:row>4</xdr:row>
          <xdr:rowOff>19050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00000000-0008-0000-0A00-00007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xdr:row>
          <xdr:rowOff>257175</xdr:rowOff>
        </xdr:from>
        <xdr:to>
          <xdr:col>19</xdr:col>
          <xdr:colOff>76200</xdr:colOff>
          <xdr:row>4</xdr:row>
          <xdr:rowOff>19050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00000000-0008-0000-0A00-00007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xdr:row>
          <xdr:rowOff>180975</xdr:rowOff>
        </xdr:from>
        <xdr:to>
          <xdr:col>7</xdr:col>
          <xdr:colOff>28575</xdr:colOff>
          <xdr:row>7</xdr:row>
          <xdr:rowOff>9525</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00000000-0008-0000-0A00-00007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xdr:row>
          <xdr:rowOff>180975</xdr:rowOff>
        </xdr:from>
        <xdr:to>
          <xdr:col>13</xdr:col>
          <xdr:colOff>57150</xdr:colOff>
          <xdr:row>7</xdr:row>
          <xdr:rowOff>9525</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00000000-0008-0000-0A00-00007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xdr:row>
          <xdr:rowOff>180975</xdr:rowOff>
        </xdr:from>
        <xdr:to>
          <xdr:col>18</xdr:col>
          <xdr:colOff>28575</xdr:colOff>
          <xdr:row>7</xdr:row>
          <xdr:rowOff>9525</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00000000-0008-0000-0A00-00007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xdr:row>
          <xdr:rowOff>180975</xdr:rowOff>
        </xdr:from>
        <xdr:to>
          <xdr:col>5</xdr:col>
          <xdr:colOff>47625</xdr:colOff>
          <xdr:row>10</xdr:row>
          <xdr:rowOff>9525</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00000000-0008-0000-0A00-00007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xdr:row>
          <xdr:rowOff>180975</xdr:rowOff>
        </xdr:from>
        <xdr:to>
          <xdr:col>8</xdr:col>
          <xdr:colOff>47625</xdr:colOff>
          <xdr:row>10</xdr:row>
          <xdr:rowOff>9525</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00000000-0008-0000-0A00-00007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xdr:row>
          <xdr:rowOff>180975</xdr:rowOff>
        </xdr:from>
        <xdr:to>
          <xdr:col>14</xdr:col>
          <xdr:colOff>38100</xdr:colOff>
          <xdr:row>10</xdr:row>
          <xdr:rowOff>9525</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00000000-0008-0000-0A00-00007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11</xdr:row>
          <xdr:rowOff>180975</xdr:rowOff>
        </xdr:from>
        <xdr:to>
          <xdr:col>4</xdr:col>
          <xdr:colOff>123825</xdr:colOff>
          <xdr:row>13</xdr:row>
          <xdr:rowOff>9525</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00000000-0008-0000-0A00-00007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11</xdr:row>
          <xdr:rowOff>180975</xdr:rowOff>
        </xdr:from>
        <xdr:to>
          <xdr:col>9</xdr:col>
          <xdr:colOff>19050</xdr:colOff>
          <xdr:row>13</xdr:row>
          <xdr:rowOff>9525</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00000000-0008-0000-0A00-00007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11</xdr:row>
          <xdr:rowOff>180975</xdr:rowOff>
        </xdr:from>
        <xdr:to>
          <xdr:col>14</xdr:col>
          <xdr:colOff>0</xdr:colOff>
          <xdr:row>13</xdr:row>
          <xdr:rowOff>9525</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00000000-0008-0000-0A00-00007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14</xdr:row>
          <xdr:rowOff>180975</xdr:rowOff>
        </xdr:from>
        <xdr:to>
          <xdr:col>8</xdr:col>
          <xdr:colOff>38100</xdr:colOff>
          <xdr:row>16</xdr:row>
          <xdr:rowOff>9525</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00000000-0008-0000-0A00-00007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xdr:row>
          <xdr:rowOff>180975</xdr:rowOff>
        </xdr:from>
        <xdr:to>
          <xdr:col>12</xdr:col>
          <xdr:colOff>0</xdr:colOff>
          <xdr:row>16</xdr:row>
          <xdr:rowOff>9525</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00000000-0008-0000-0A00-00008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14</xdr:row>
          <xdr:rowOff>180975</xdr:rowOff>
        </xdr:from>
        <xdr:to>
          <xdr:col>15</xdr:col>
          <xdr:colOff>161925</xdr:colOff>
          <xdr:row>16</xdr:row>
          <xdr:rowOff>9525</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00000000-0008-0000-0A00-00008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xdr:row>
          <xdr:rowOff>180975</xdr:rowOff>
        </xdr:from>
        <xdr:to>
          <xdr:col>22</xdr:col>
          <xdr:colOff>323850</xdr:colOff>
          <xdr:row>11</xdr:row>
          <xdr:rowOff>9525</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00000000-0008-0000-0A00-00008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xdr:row>
          <xdr:rowOff>180975</xdr:rowOff>
        </xdr:from>
        <xdr:to>
          <xdr:col>22</xdr:col>
          <xdr:colOff>323850</xdr:colOff>
          <xdr:row>12</xdr:row>
          <xdr:rowOff>9525</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00000000-0008-0000-0A00-00008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xdr:row>
          <xdr:rowOff>28575</xdr:rowOff>
        </xdr:from>
        <xdr:to>
          <xdr:col>10</xdr:col>
          <xdr:colOff>104775</xdr:colOff>
          <xdr:row>3</xdr:row>
          <xdr:rowOff>9525</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00000000-0008-0000-0A00-00008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xdr:row>
          <xdr:rowOff>28575</xdr:rowOff>
        </xdr:from>
        <xdr:to>
          <xdr:col>14</xdr:col>
          <xdr:colOff>228600</xdr:colOff>
          <xdr:row>3</xdr:row>
          <xdr:rowOff>9525</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00000000-0008-0000-0A00-00008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28575</xdr:rowOff>
        </xdr:from>
        <xdr:to>
          <xdr:col>10</xdr:col>
          <xdr:colOff>104775</xdr:colOff>
          <xdr:row>21</xdr:row>
          <xdr:rowOff>9525</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00000000-0008-0000-0A00-00008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28575</xdr:rowOff>
        </xdr:from>
        <xdr:to>
          <xdr:col>14</xdr:col>
          <xdr:colOff>228600</xdr:colOff>
          <xdr:row>21</xdr:row>
          <xdr:rowOff>9525</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00000000-0008-0000-0A00-00008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xdr:row>
          <xdr:rowOff>257175</xdr:rowOff>
        </xdr:from>
        <xdr:to>
          <xdr:col>8</xdr:col>
          <xdr:colOff>28575</xdr:colOff>
          <xdr:row>22</xdr:row>
          <xdr:rowOff>19050</xdr:rowOff>
        </xdr:to>
        <xdr:sp macro="" textlink="">
          <xdr:nvSpPr>
            <xdr:cNvPr id="19592" name="Check Box 136" hidden="1">
              <a:extLst>
                <a:ext uri="{63B3BB69-23CF-44E3-9099-C40C66FF867C}">
                  <a14:compatExt spid="_x0000_s19592"/>
                </a:ext>
                <a:ext uri="{FF2B5EF4-FFF2-40B4-BE49-F238E27FC236}">
                  <a16:creationId xmlns:a16="http://schemas.microsoft.com/office/drawing/2014/main" id="{00000000-0008-0000-0A00-00008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20</xdr:row>
          <xdr:rowOff>257175</xdr:rowOff>
        </xdr:from>
        <xdr:to>
          <xdr:col>13</xdr:col>
          <xdr:colOff>57150</xdr:colOff>
          <xdr:row>22</xdr:row>
          <xdr:rowOff>19050</xdr:rowOff>
        </xdr:to>
        <xdr:sp macro="" textlink="">
          <xdr:nvSpPr>
            <xdr:cNvPr id="19593" name="Check Box 137" hidden="1">
              <a:extLst>
                <a:ext uri="{63B3BB69-23CF-44E3-9099-C40C66FF867C}">
                  <a14:compatExt spid="_x0000_s19593"/>
                </a:ext>
                <a:ext uri="{FF2B5EF4-FFF2-40B4-BE49-F238E27FC236}">
                  <a16:creationId xmlns:a16="http://schemas.microsoft.com/office/drawing/2014/main" id="{00000000-0008-0000-0A00-00008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257175</xdr:rowOff>
        </xdr:from>
        <xdr:to>
          <xdr:col>19</xdr:col>
          <xdr:colOff>76200</xdr:colOff>
          <xdr:row>22</xdr:row>
          <xdr:rowOff>19050</xdr:rowOff>
        </xdr:to>
        <xdr:sp macro="" textlink="">
          <xdr:nvSpPr>
            <xdr:cNvPr id="19594" name="Check Box 138" hidden="1">
              <a:extLst>
                <a:ext uri="{63B3BB69-23CF-44E3-9099-C40C66FF867C}">
                  <a14:compatExt spid="_x0000_s19594"/>
                </a:ext>
                <a:ext uri="{FF2B5EF4-FFF2-40B4-BE49-F238E27FC236}">
                  <a16:creationId xmlns:a16="http://schemas.microsoft.com/office/drawing/2014/main" id="{00000000-0008-0000-0A00-00008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180975</xdr:rowOff>
        </xdr:from>
        <xdr:to>
          <xdr:col>7</xdr:col>
          <xdr:colOff>28575</xdr:colOff>
          <xdr:row>25</xdr:row>
          <xdr:rowOff>9525</xdr:rowOff>
        </xdr:to>
        <xdr:sp macro="" textlink="">
          <xdr:nvSpPr>
            <xdr:cNvPr id="19595" name="Check Box 139" hidden="1">
              <a:extLst>
                <a:ext uri="{63B3BB69-23CF-44E3-9099-C40C66FF867C}">
                  <a14:compatExt spid="_x0000_s19595"/>
                </a:ext>
                <a:ext uri="{FF2B5EF4-FFF2-40B4-BE49-F238E27FC236}">
                  <a16:creationId xmlns:a16="http://schemas.microsoft.com/office/drawing/2014/main" id="{00000000-0008-0000-0A00-00008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23</xdr:row>
          <xdr:rowOff>180975</xdr:rowOff>
        </xdr:from>
        <xdr:to>
          <xdr:col>13</xdr:col>
          <xdr:colOff>57150</xdr:colOff>
          <xdr:row>25</xdr:row>
          <xdr:rowOff>9525</xdr:rowOff>
        </xdr:to>
        <xdr:sp macro="" textlink="">
          <xdr:nvSpPr>
            <xdr:cNvPr id="19596" name="Check Box 140" hidden="1">
              <a:extLst>
                <a:ext uri="{63B3BB69-23CF-44E3-9099-C40C66FF867C}">
                  <a14:compatExt spid="_x0000_s19596"/>
                </a:ext>
                <a:ext uri="{FF2B5EF4-FFF2-40B4-BE49-F238E27FC236}">
                  <a16:creationId xmlns:a16="http://schemas.microsoft.com/office/drawing/2014/main" id="{00000000-0008-0000-0A00-00008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23</xdr:row>
          <xdr:rowOff>180975</xdr:rowOff>
        </xdr:from>
        <xdr:to>
          <xdr:col>18</xdr:col>
          <xdr:colOff>28575</xdr:colOff>
          <xdr:row>25</xdr:row>
          <xdr:rowOff>9525</xdr:rowOff>
        </xdr:to>
        <xdr:sp macro="" textlink="">
          <xdr:nvSpPr>
            <xdr:cNvPr id="19597" name="Check Box 141" hidden="1">
              <a:extLst>
                <a:ext uri="{63B3BB69-23CF-44E3-9099-C40C66FF867C}">
                  <a14:compatExt spid="_x0000_s19597"/>
                </a:ext>
                <a:ext uri="{FF2B5EF4-FFF2-40B4-BE49-F238E27FC236}">
                  <a16:creationId xmlns:a16="http://schemas.microsoft.com/office/drawing/2014/main" id="{00000000-0008-0000-0A00-00008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26</xdr:row>
          <xdr:rowOff>180975</xdr:rowOff>
        </xdr:from>
        <xdr:to>
          <xdr:col>5</xdr:col>
          <xdr:colOff>47625</xdr:colOff>
          <xdr:row>28</xdr:row>
          <xdr:rowOff>9525</xdr:rowOff>
        </xdr:to>
        <xdr:sp macro="" textlink="">
          <xdr:nvSpPr>
            <xdr:cNvPr id="19598" name="Check Box 142" hidden="1">
              <a:extLst>
                <a:ext uri="{63B3BB69-23CF-44E3-9099-C40C66FF867C}">
                  <a14:compatExt spid="_x0000_s19598"/>
                </a:ext>
                <a:ext uri="{FF2B5EF4-FFF2-40B4-BE49-F238E27FC236}">
                  <a16:creationId xmlns:a16="http://schemas.microsoft.com/office/drawing/2014/main" id="{00000000-0008-0000-0A00-00008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26</xdr:row>
          <xdr:rowOff>180975</xdr:rowOff>
        </xdr:from>
        <xdr:to>
          <xdr:col>8</xdr:col>
          <xdr:colOff>47625</xdr:colOff>
          <xdr:row>28</xdr:row>
          <xdr:rowOff>9525</xdr:rowOff>
        </xdr:to>
        <xdr:sp macro="" textlink="">
          <xdr:nvSpPr>
            <xdr:cNvPr id="19599" name="Check Box 143" hidden="1">
              <a:extLst>
                <a:ext uri="{63B3BB69-23CF-44E3-9099-C40C66FF867C}">
                  <a14:compatExt spid="_x0000_s19599"/>
                </a:ext>
                <a:ext uri="{FF2B5EF4-FFF2-40B4-BE49-F238E27FC236}">
                  <a16:creationId xmlns:a16="http://schemas.microsoft.com/office/drawing/2014/main" id="{00000000-0008-0000-0A00-00008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26</xdr:row>
          <xdr:rowOff>180975</xdr:rowOff>
        </xdr:from>
        <xdr:to>
          <xdr:col>14</xdr:col>
          <xdr:colOff>38100</xdr:colOff>
          <xdr:row>28</xdr:row>
          <xdr:rowOff>9525</xdr:rowOff>
        </xdr:to>
        <xdr:sp macro="" textlink="">
          <xdr:nvSpPr>
            <xdr:cNvPr id="19600" name="Check Box 144" hidden="1">
              <a:extLst>
                <a:ext uri="{63B3BB69-23CF-44E3-9099-C40C66FF867C}">
                  <a14:compatExt spid="_x0000_s19600"/>
                </a:ext>
                <a:ext uri="{FF2B5EF4-FFF2-40B4-BE49-F238E27FC236}">
                  <a16:creationId xmlns:a16="http://schemas.microsoft.com/office/drawing/2014/main" id="{00000000-0008-0000-0A00-00009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29</xdr:row>
          <xdr:rowOff>180975</xdr:rowOff>
        </xdr:from>
        <xdr:to>
          <xdr:col>4</xdr:col>
          <xdr:colOff>123825</xdr:colOff>
          <xdr:row>31</xdr:row>
          <xdr:rowOff>9525</xdr:rowOff>
        </xdr:to>
        <xdr:sp macro="" textlink="">
          <xdr:nvSpPr>
            <xdr:cNvPr id="19601" name="Check Box 145" hidden="1">
              <a:extLst>
                <a:ext uri="{63B3BB69-23CF-44E3-9099-C40C66FF867C}">
                  <a14:compatExt spid="_x0000_s19601"/>
                </a:ext>
                <a:ext uri="{FF2B5EF4-FFF2-40B4-BE49-F238E27FC236}">
                  <a16:creationId xmlns:a16="http://schemas.microsoft.com/office/drawing/2014/main" id="{00000000-0008-0000-0A00-00009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29</xdr:row>
          <xdr:rowOff>180975</xdr:rowOff>
        </xdr:from>
        <xdr:to>
          <xdr:col>9</xdr:col>
          <xdr:colOff>19050</xdr:colOff>
          <xdr:row>31</xdr:row>
          <xdr:rowOff>9525</xdr:rowOff>
        </xdr:to>
        <xdr:sp macro="" textlink="">
          <xdr:nvSpPr>
            <xdr:cNvPr id="19602" name="Check Box 146" hidden="1">
              <a:extLst>
                <a:ext uri="{63B3BB69-23CF-44E3-9099-C40C66FF867C}">
                  <a14:compatExt spid="_x0000_s19602"/>
                </a:ext>
                <a:ext uri="{FF2B5EF4-FFF2-40B4-BE49-F238E27FC236}">
                  <a16:creationId xmlns:a16="http://schemas.microsoft.com/office/drawing/2014/main" id="{00000000-0008-0000-0A00-00009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29</xdr:row>
          <xdr:rowOff>180975</xdr:rowOff>
        </xdr:from>
        <xdr:to>
          <xdr:col>14</xdr:col>
          <xdr:colOff>0</xdr:colOff>
          <xdr:row>31</xdr:row>
          <xdr:rowOff>9525</xdr:rowOff>
        </xdr:to>
        <xdr:sp macro="" textlink="">
          <xdr:nvSpPr>
            <xdr:cNvPr id="19603" name="Check Box 147" hidden="1">
              <a:extLst>
                <a:ext uri="{63B3BB69-23CF-44E3-9099-C40C66FF867C}">
                  <a14:compatExt spid="_x0000_s19603"/>
                </a:ext>
                <a:ext uri="{FF2B5EF4-FFF2-40B4-BE49-F238E27FC236}">
                  <a16:creationId xmlns:a16="http://schemas.microsoft.com/office/drawing/2014/main" id="{00000000-0008-0000-0A00-00009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32</xdr:row>
          <xdr:rowOff>180975</xdr:rowOff>
        </xdr:from>
        <xdr:to>
          <xdr:col>8</xdr:col>
          <xdr:colOff>38100</xdr:colOff>
          <xdr:row>34</xdr:row>
          <xdr:rowOff>9525</xdr:rowOff>
        </xdr:to>
        <xdr:sp macro="" textlink="">
          <xdr:nvSpPr>
            <xdr:cNvPr id="19604" name="Check Box 148" hidden="1">
              <a:extLst>
                <a:ext uri="{63B3BB69-23CF-44E3-9099-C40C66FF867C}">
                  <a14:compatExt spid="_x0000_s19604"/>
                </a:ext>
                <a:ext uri="{FF2B5EF4-FFF2-40B4-BE49-F238E27FC236}">
                  <a16:creationId xmlns:a16="http://schemas.microsoft.com/office/drawing/2014/main" id="{00000000-0008-0000-0A00-00009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32</xdr:row>
          <xdr:rowOff>180975</xdr:rowOff>
        </xdr:from>
        <xdr:to>
          <xdr:col>12</xdr:col>
          <xdr:colOff>0</xdr:colOff>
          <xdr:row>34</xdr:row>
          <xdr:rowOff>9525</xdr:rowOff>
        </xdr:to>
        <xdr:sp macro="" textlink="">
          <xdr:nvSpPr>
            <xdr:cNvPr id="19605" name="Check Box 149" hidden="1">
              <a:extLst>
                <a:ext uri="{63B3BB69-23CF-44E3-9099-C40C66FF867C}">
                  <a14:compatExt spid="_x0000_s19605"/>
                </a:ext>
                <a:ext uri="{FF2B5EF4-FFF2-40B4-BE49-F238E27FC236}">
                  <a16:creationId xmlns:a16="http://schemas.microsoft.com/office/drawing/2014/main" id="{00000000-0008-0000-0A00-00009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32</xdr:row>
          <xdr:rowOff>180975</xdr:rowOff>
        </xdr:from>
        <xdr:to>
          <xdr:col>15</xdr:col>
          <xdr:colOff>161925</xdr:colOff>
          <xdr:row>34</xdr:row>
          <xdr:rowOff>9525</xdr:rowOff>
        </xdr:to>
        <xdr:sp macro="" textlink="">
          <xdr:nvSpPr>
            <xdr:cNvPr id="19606" name="Check Box 150" hidden="1">
              <a:extLst>
                <a:ext uri="{63B3BB69-23CF-44E3-9099-C40C66FF867C}">
                  <a14:compatExt spid="_x0000_s19606"/>
                </a:ext>
                <a:ext uri="{FF2B5EF4-FFF2-40B4-BE49-F238E27FC236}">
                  <a16:creationId xmlns:a16="http://schemas.microsoft.com/office/drawing/2014/main" id="{00000000-0008-0000-0A00-00009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27</xdr:row>
          <xdr:rowOff>180975</xdr:rowOff>
        </xdr:from>
        <xdr:to>
          <xdr:col>22</xdr:col>
          <xdr:colOff>323850</xdr:colOff>
          <xdr:row>29</xdr:row>
          <xdr:rowOff>9525</xdr:rowOff>
        </xdr:to>
        <xdr:sp macro="" textlink="">
          <xdr:nvSpPr>
            <xdr:cNvPr id="19607" name="Check Box 151" hidden="1">
              <a:extLst>
                <a:ext uri="{63B3BB69-23CF-44E3-9099-C40C66FF867C}">
                  <a14:compatExt spid="_x0000_s19607"/>
                </a:ext>
                <a:ext uri="{FF2B5EF4-FFF2-40B4-BE49-F238E27FC236}">
                  <a16:creationId xmlns:a16="http://schemas.microsoft.com/office/drawing/2014/main" id="{00000000-0008-0000-0A00-00009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28</xdr:row>
          <xdr:rowOff>180975</xdr:rowOff>
        </xdr:from>
        <xdr:to>
          <xdr:col>22</xdr:col>
          <xdr:colOff>323850</xdr:colOff>
          <xdr:row>30</xdr:row>
          <xdr:rowOff>9525</xdr:rowOff>
        </xdr:to>
        <xdr:sp macro="" textlink="">
          <xdr:nvSpPr>
            <xdr:cNvPr id="19608" name="Check Box 152" hidden="1">
              <a:extLst>
                <a:ext uri="{63B3BB69-23CF-44E3-9099-C40C66FF867C}">
                  <a14:compatExt spid="_x0000_s19608"/>
                </a:ext>
                <a:ext uri="{FF2B5EF4-FFF2-40B4-BE49-F238E27FC236}">
                  <a16:creationId xmlns:a16="http://schemas.microsoft.com/office/drawing/2014/main" id="{00000000-0008-0000-0A00-00009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38</xdr:row>
          <xdr:rowOff>28575</xdr:rowOff>
        </xdr:from>
        <xdr:to>
          <xdr:col>10</xdr:col>
          <xdr:colOff>104775</xdr:colOff>
          <xdr:row>39</xdr:row>
          <xdr:rowOff>9525</xdr:rowOff>
        </xdr:to>
        <xdr:sp macro="" textlink="">
          <xdr:nvSpPr>
            <xdr:cNvPr id="19609" name="Check Box 153" hidden="1">
              <a:extLst>
                <a:ext uri="{63B3BB69-23CF-44E3-9099-C40C66FF867C}">
                  <a14:compatExt spid="_x0000_s19609"/>
                </a:ext>
                <a:ext uri="{FF2B5EF4-FFF2-40B4-BE49-F238E27FC236}">
                  <a16:creationId xmlns:a16="http://schemas.microsoft.com/office/drawing/2014/main" id="{00000000-0008-0000-0A00-00009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38</xdr:row>
          <xdr:rowOff>28575</xdr:rowOff>
        </xdr:from>
        <xdr:to>
          <xdr:col>14</xdr:col>
          <xdr:colOff>228600</xdr:colOff>
          <xdr:row>39</xdr:row>
          <xdr:rowOff>9525</xdr:rowOff>
        </xdr:to>
        <xdr:sp macro="" textlink="">
          <xdr:nvSpPr>
            <xdr:cNvPr id="19610" name="Check Box 154" hidden="1">
              <a:extLst>
                <a:ext uri="{63B3BB69-23CF-44E3-9099-C40C66FF867C}">
                  <a14:compatExt spid="_x0000_s19610"/>
                </a:ext>
                <a:ext uri="{FF2B5EF4-FFF2-40B4-BE49-F238E27FC236}">
                  <a16:creationId xmlns:a16="http://schemas.microsoft.com/office/drawing/2014/main" id="{00000000-0008-0000-0A00-00009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45</xdr:row>
          <xdr:rowOff>180975</xdr:rowOff>
        </xdr:from>
        <xdr:to>
          <xdr:col>22</xdr:col>
          <xdr:colOff>323850</xdr:colOff>
          <xdr:row>47</xdr:row>
          <xdr:rowOff>9525</xdr:rowOff>
        </xdr:to>
        <xdr:sp macro="" textlink="">
          <xdr:nvSpPr>
            <xdr:cNvPr id="19611" name="Check Box 155" hidden="1">
              <a:extLst>
                <a:ext uri="{63B3BB69-23CF-44E3-9099-C40C66FF867C}">
                  <a14:compatExt spid="_x0000_s19611"/>
                </a:ext>
                <a:ext uri="{FF2B5EF4-FFF2-40B4-BE49-F238E27FC236}">
                  <a16:creationId xmlns:a16="http://schemas.microsoft.com/office/drawing/2014/main" id="{00000000-0008-0000-0A00-00009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46</xdr:row>
          <xdr:rowOff>180975</xdr:rowOff>
        </xdr:from>
        <xdr:to>
          <xdr:col>22</xdr:col>
          <xdr:colOff>323850</xdr:colOff>
          <xdr:row>48</xdr:row>
          <xdr:rowOff>9525</xdr:rowOff>
        </xdr:to>
        <xdr:sp macro="" textlink="">
          <xdr:nvSpPr>
            <xdr:cNvPr id="19612" name="Check Box 156" hidden="1">
              <a:extLst>
                <a:ext uri="{63B3BB69-23CF-44E3-9099-C40C66FF867C}">
                  <a14:compatExt spid="_x0000_s19612"/>
                </a:ext>
                <a:ext uri="{FF2B5EF4-FFF2-40B4-BE49-F238E27FC236}">
                  <a16:creationId xmlns:a16="http://schemas.microsoft.com/office/drawing/2014/main" id="{00000000-0008-0000-0A00-00009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63</xdr:row>
          <xdr:rowOff>180975</xdr:rowOff>
        </xdr:from>
        <xdr:to>
          <xdr:col>22</xdr:col>
          <xdr:colOff>323850</xdr:colOff>
          <xdr:row>65</xdr:row>
          <xdr:rowOff>9525</xdr:rowOff>
        </xdr:to>
        <xdr:sp macro="" textlink="">
          <xdr:nvSpPr>
            <xdr:cNvPr id="19613" name="Check Box 157" hidden="1">
              <a:extLst>
                <a:ext uri="{63B3BB69-23CF-44E3-9099-C40C66FF867C}">
                  <a14:compatExt spid="_x0000_s19613"/>
                </a:ext>
                <a:ext uri="{FF2B5EF4-FFF2-40B4-BE49-F238E27FC236}">
                  <a16:creationId xmlns:a16="http://schemas.microsoft.com/office/drawing/2014/main" id="{00000000-0008-0000-0A00-00009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64</xdr:row>
          <xdr:rowOff>180975</xdr:rowOff>
        </xdr:from>
        <xdr:to>
          <xdr:col>22</xdr:col>
          <xdr:colOff>323850</xdr:colOff>
          <xdr:row>66</xdr:row>
          <xdr:rowOff>9525</xdr:rowOff>
        </xdr:to>
        <xdr:sp macro="" textlink="">
          <xdr:nvSpPr>
            <xdr:cNvPr id="19614" name="Check Box 158" hidden="1">
              <a:extLst>
                <a:ext uri="{63B3BB69-23CF-44E3-9099-C40C66FF867C}">
                  <a14:compatExt spid="_x0000_s19614"/>
                </a:ext>
                <a:ext uri="{FF2B5EF4-FFF2-40B4-BE49-F238E27FC236}">
                  <a16:creationId xmlns:a16="http://schemas.microsoft.com/office/drawing/2014/main" id="{00000000-0008-0000-0A00-00009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81</xdr:row>
          <xdr:rowOff>180975</xdr:rowOff>
        </xdr:from>
        <xdr:to>
          <xdr:col>22</xdr:col>
          <xdr:colOff>323850</xdr:colOff>
          <xdr:row>83</xdr:row>
          <xdr:rowOff>9525</xdr:rowOff>
        </xdr:to>
        <xdr:sp macro="" textlink="">
          <xdr:nvSpPr>
            <xdr:cNvPr id="19615" name="Check Box 159" hidden="1">
              <a:extLst>
                <a:ext uri="{63B3BB69-23CF-44E3-9099-C40C66FF867C}">
                  <a14:compatExt spid="_x0000_s19615"/>
                </a:ext>
                <a:ext uri="{FF2B5EF4-FFF2-40B4-BE49-F238E27FC236}">
                  <a16:creationId xmlns:a16="http://schemas.microsoft.com/office/drawing/2014/main" id="{00000000-0008-0000-0A00-00009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82</xdr:row>
          <xdr:rowOff>180975</xdr:rowOff>
        </xdr:from>
        <xdr:to>
          <xdr:col>22</xdr:col>
          <xdr:colOff>323850</xdr:colOff>
          <xdr:row>84</xdr:row>
          <xdr:rowOff>9525</xdr:rowOff>
        </xdr:to>
        <xdr:sp macro="" textlink="">
          <xdr:nvSpPr>
            <xdr:cNvPr id="19616" name="Check Box 160" hidden="1">
              <a:extLst>
                <a:ext uri="{63B3BB69-23CF-44E3-9099-C40C66FF867C}">
                  <a14:compatExt spid="_x0000_s19616"/>
                </a:ext>
                <a:ext uri="{FF2B5EF4-FFF2-40B4-BE49-F238E27FC236}">
                  <a16:creationId xmlns:a16="http://schemas.microsoft.com/office/drawing/2014/main" id="{00000000-0008-0000-0A00-0000A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99</xdr:row>
          <xdr:rowOff>180975</xdr:rowOff>
        </xdr:from>
        <xdr:to>
          <xdr:col>22</xdr:col>
          <xdr:colOff>323850</xdr:colOff>
          <xdr:row>101</xdr:row>
          <xdr:rowOff>9525</xdr:rowOff>
        </xdr:to>
        <xdr:sp macro="" textlink="">
          <xdr:nvSpPr>
            <xdr:cNvPr id="19617" name="Check Box 161" hidden="1">
              <a:extLst>
                <a:ext uri="{63B3BB69-23CF-44E3-9099-C40C66FF867C}">
                  <a14:compatExt spid="_x0000_s19617"/>
                </a:ext>
                <a:ext uri="{FF2B5EF4-FFF2-40B4-BE49-F238E27FC236}">
                  <a16:creationId xmlns:a16="http://schemas.microsoft.com/office/drawing/2014/main" id="{00000000-0008-0000-0A00-0000A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100</xdr:row>
          <xdr:rowOff>180975</xdr:rowOff>
        </xdr:from>
        <xdr:to>
          <xdr:col>22</xdr:col>
          <xdr:colOff>323850</xdr:colOff>
          <xdr:row>102</xdr:row>
          <xdr:rowOff>9525</xdr:rowOff>
        </xdr:to>
        <xdr:sp macro="" textlink="">
          <xdr:nvSpPr>
            <xdr:cNvPr id="19618" name="Check Box 162" hidden="1">
              <a:extLst>
                <a:ext uri="{63B3BB69-23CF-44E3-9099-C40C66FF867C}">
                  <a14:compatExt spid="_x0000_s19618"/>
                </a:ext>
                <a:ext uri="{FF2B5EF4-FFF2-40B4-BE49-F238E27FC236}">
                  <a16:creationId xmlns:a16="http://schemas.microsoft.com/office/drawing/2014/main" id="{00000000-0008-0000-0A00-0000A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28575</xdr:rowOff>
        </xdr:from>
        <xdr:to>
          <xdr:col>10</xdr:col>
          <xdr:colOff>104775</xdr:colOff>
          <xdr:row>57</xdr:row>
          <xdr:rowOff>9525</xdr:rowOff>
        </xdr:to>
        <xdr:sp macro="" textlink="">
          <xdr:nvSpPr>
            <xdr:cNvPr id="19619" name="Check Box 163" hidden="1">
              <a:extLst>
                <a:ext uri="{63B3BB69-23CF-44E3-9099-C40C66FF867C}">
                  <a14:compatExt spid="_x0000_s19619"/>
                </a:ext>
                <a:ext uri="{FF2B5EF4-FFF2-40B4-BE49-F238E27FC236}">
                  <a16:creationId xmlns:a16="http://schemas.microsoft.com/office/drawing/2014/main" id="{00000000-0008-0000-0A00-0000A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56</xdr:row>
          <xdr:rowOff>28575</xdr:rowOff>
        </xdr:from>
        <xdr:to>
          <xdr:col>14</xdr:col>
          <xdr:colOff>228600</xdr:colOff>
          <xdr:row>57</xdr:row>
          <xdr:rowOff>9525</xdr:rowOff>
        </xdr:to>
        <xdr:sp macro="" textlink="">
          <xdr:nvSpPr>
            <xdr:cNvPr id="19620" name="Check Box 164" hidden="1">
              <a:extLst>
                <a:ext uri="{63B3BB69-23CF-44E3-9099-C40C66FF867C}">
                  <a14:compatExt spid="_x0000_s19620"/>
                </a:ext>
                <a:ext uri="{FF2B5EF4-FFF2-40B4-BE49-F238E27FC236}">
                  <a16:creationId xmlns:a16="http://schemas.microsoft.com/office/drawing/2014/main" id="{00000000-0008-0000-0A00-0000A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74</xdr:row>
          <xdr:rowOff>28575</xdr:rowOff>
        </xdr:from>
        <xdr:to>
          <xdr:col>10</xdr:col>
          <xdr:colOff>104775</xdr:colOff>
          <xdr:row>75</xdr:row>
          <xdr:rowOff>9525</xdr:rowOff>
        </xdr:to>
        <xdr:sp macro="" textlink="">
          <xdr:nvSpPr>
            <xdr:cNvPr id="19621" name="Check Box 165" hidden="1">
              <a:extLst>
                <a:ext uri="{63B3BB69-23CF-44E3-9099-C40C66FF867C}">
                  <a14:compatExt spid="_x0000_s19621"/>
                </a:ext>
                <a:ext uri="{FF2B5EF4-FFF2-40B4-BE49-F238E27FC236}">
                  <a16:creationId xmlns:a16="http://schemas.microsoft.com/office/drawing/2014/main" id="{00000000-0008-0000-0A00-0000A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74</xdr:row>
          <xdr:rowOff>28575</xdr:rowOff>
        </xdr:from>
        <xdr:to>
          <xdr:col>14</xdr:col>
          <xdr:colOff>228600</xdr:colOff>
          <xdr:row>75</xdr:row>
          <xdr:rowOff>9525</xdr:rowOff>
        </xdr:to>
        <xdr:sp macro="" textlink="">
          <xdr:nvSpPr>
            <xdr:cNvPr id="19622" name="Check Box 166" hidden="1">
              <a:extLst>
                <a:ext uri="{63B3BB69-23CF-44E3-9099-C40C66FF867C}">
                  <a14:compatExt spid="_x0000_s19622"/>
                </a:ext>
                <a:ext uri="{FF2B5EF4-FFF2-40B4-BE49-F238E27FC236}">
                  <a16:creationId xmlns:a16="http://schemas.microsoft.com/office/drawing/2014/main" id="{00000000-0008-0000-0A00-0000A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92</xdr:row>
          <xdr:rowOff>28575</xdr:rowOff>
        </xdr:from>
        <xdr:to>
          <xdr:col>10</xdr:col>
          <xdr:colOff>104775</xdr:colOff>
          <xdr:row>93</xdr:row>
          <xdr:rowOff>9525</xdr:rowOff>
        </xdr:to>
        <xdr:sp macro="" textlink="">
          <xdr:nvSpPr>
            <xdr:cNvPr id="19623" name="Check Box 167" hidden="1">
              <a:extLst>
                <a:ext uri="{63B3BB69-23CF-44E3-9099-C40C66FF867C}">
                  <a14:compatExt spid="_x0000_s19623"/>
                </a:ext>
                <a:ext uri="{FF2B5EF4-FFF2-40B4-BE49-F238E27FC236}">
                  <a16:creationId xmlns:a16="http://schemas.microsoft.com/office/drawing/2014/main" id="{00000000-0008-0000-0A00-0000A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92</xdr:row>
          <xdr:rowOff>28575</xdr:rowOff>
        </xdr:from>
        <xdr:to>
          <xdr:col>14</xdr:col>
          <xdr:colOff>228600</xdr:colOff>
          <xdr:row>93</xdr:row>
          <xdr:rowOff>9525</xdr:rowOff>
        </xdr:to>
        <xdr:sp macro="" textlink="">
          <xdr:nvSpPr>
            <xdr:cNvPr id="19624" name="Check Box 168" hidden="1">
              <a:extLst>
                <a:ext uri="{63B3BB69-23CF-44E3-9099-C40C66FF867C}">
                  <a14:compatExt spid="_x0000_s19624"/>
                </a:ext>
                <a:ext uri="{FF2B5EF4-FFF2-40B4-BE49-F238E27FC236}">
                  <a16:creationId xmlns:a16="http://schemas.microsoft.com/office/drawing/2014/main" id="{00000000-0008-0000-0A00-0000A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38</xdr:row>
          <xdr:rowOff>257175</xdr:rowOff>
        </xdr:from>
        <xdr:to>
          <xdr:col>8</xdr:col>
          <xdr:colOff>28575</xdr:colOff>
          <xdr:row>40</xdr:row>
          <xdr:rowOff>19050</xdr:rowOff>
        </xdr:to>
        <xdr:sp macro="" textlink="">
          <xdr:nvSpPr>
            <xdr:cNvPr id="19625" name="Check Box 169" hidden="1">
              <a:extLst>
                <a:ext uri="{63B3BB69-23CF-44E3-9099-C40C66FF867C}">
                  <a14:compatExt spid="_x0000_s19625"/>
                </a:ext>
                <a:ext uri="{FF2B5EF4-FFF2-40B4-BE49-F238E27FC236}">
                  <a16:creationId xmlns:a16="http://schemas.microsoft.com/office/drawing/2014/main" id="{00000000-0008-0000-0A00-0000A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38</xdr:row>
          <xdr:rowOff>257175</xdr:rowOff>
        </xdr:from>
        <xdr:to>
          <xdr:col>13</xdr:col>
          <xdr:colOff>57150</xdr:colOff>
          <xdr:row>40</xdr:row>
          <xdr:rowOff>19050</xdr:rowOff>
        </xdr:to>
        <xdr:sp macro="" textlink="">
          <xdr:nvSpPr>
            <xdr:cNvPr id="19626" name="Check Box 170" hidden="1">
              <a:extLst>
                <a:ext uri="{63B3BB69-23CF-44E3-9099-C40C66FF867C}">
                  <a14:compatExt spid="_x0000_s19626"/>
                </a:ext>
                <a:ext uri="{FF2B5EF4-FFF2-40B4-BE49-F238E27FC236}">
                  <a16:creationId xmlns:a16="http://schemas.microsoft.com/office/drawing/2014/main" id="{00000000-0008-0000-0A00-0000A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38</xdr:row>
          <xdr:rowOff>257175</xdr:rowOff>
        </xdr:from>
        <xdr:to>
          <xdr:col>19</xdr:col>
          <xdr:colOff>76200</xdr:colOff>
          <xdr:row>40</xdr:row>
          <xdr:rowOff>19050</xdr:rowOff>
        </xdr:to>
        <xdr:sp macro="" textlink="">
          <xdr:nvSpPr>
            <xdr:cNvPr id="19627" name="Check Box 171" hidden="1">
              <a:extLst>
                <a:ext uri="{63B3BB69-23CF-44E3-9099-C40C66FF867C}">
                  <a14:compatExt spid="_x0000_s19627"/>
                </a:ext>
                <a:ext uri="{FF2B5EF4-FFF2-40B4-BE49-F238E27FC236}">
                  <a16:creationId xmlns:a16="http://schemas.microsoft.com/office/drawing/2014/main" id="{00000000-0008-0000-0A00-0000A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41</xdr:row>
          <xdr:rowOff>180975</xdr:rowOff>
        </xdr:from>
        <xdr:to>
          <xdr:col>7</xdr:col>
          <xdr:colOff>28575</xdr:colOff>
          <xdr:row>43</xdr:row>
          <xdr:rowOff>9525</xdr:rowOff>
        </xdr:to>
        <xdr:sp macro="" textlink="">
          <xdr:nvSpPr>
            <xdr:cNvPr id="19628" name="Check Box 172" hidden="1">
              <a:extLst>
                <a:ext uri="{63B3BB69-23CF-44E3-9099-C40C66FF867C}">
                  <a14:compatExt spid="_x0000_s19628"/>
                </a:ext>
                <a:ext uri="{FF2B5EF4-FFF2-40B4-BE49-F238E27FC236}">
                  <a16:creationId xmlns:a16="http://schemas.microsoft.com/office/drawing/2014/main" id="{00000000-0008-0000-0A00-0000A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41</xdr:row>
          <xdr:rowOff>180975</xdr:rowOff>
        </xdr:from>
        <xdr:to>
          <xdr:col>13</xdr:col>
          <xdr:colOff>57150</xdr:colOff>
          <xdr:row>43</xdr:row>
          <xdr:rowOff>9525</xdr:rowOff>
        </xdr:to>
        <xdr:sp macro="" textlink="">
          <xdr:nvSpPr>
            <xdr:cNvPr id="19629" name="Check Box 173" hidden="1">
              <a:extLst>
                <a:ext uri="{63B3BB69-23CF-44E3-9099-C40C66FF867C}">
                  <a14:compatExt spid="_x0000_s19629"/>
                </a:ext>
                <a:ext uri="{FF2B5EF4-FFF2-40B4-BE49-F238E27FC236}">
                  <a16:creationId xmlns:a16="http://schemas.microsoft.com/office/drawing/2014/main" id="{00000000-0008-0000-0A00-0000A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41</xdr:row>
          <xdr:rowOff>180975</xdr:rowOff>
        </xdr:from>
        <xdr:to>
          <xdr:col>18</xdr:col>
          <xdr:colOff>28575</xdr:colOff>
          <xdr:row>43</xdr:row>
          <xdr:rowOff>9525</xdr:rowOff>
        </xdr:to>
        <xdr:sp macro="" textlink="">
          <xdr:nvSpPr>
            <xdr:cNvPr id="19630" name="Check Box 174" hidden="1">
              <a:extLst>
                <a:ext uri="{63B3BB69-23CF-44E3-9099-C40C66FF867C}">
                  <a14:compatExt spid="_x0000_s19630"/>
                </a:ext>
                <a:ext uri="{FF2B5EF4-FFF2-40B4-BE49-F238E27FC236}">
                  <a16:creationId xmlns:a16="http://schemas.microsoft.com/office/drawing/2014/main" id="{00000000-0008-0000-0A00-0000A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44</xdr:row>
          <xdr:rowOff>180975</xdr:rowOff>
        </xdr:from>
        <xdr:to>
          <xdr:col>5</xdr:col>
          <xdr:colOff>47625</xdr:colOff>
          <xdr:row>46</xdr:row>
          <xdr:rowOff>9525</xdr:rowOff>
        </xdr:to>
        <xdr:sp macro="" textlink="">
          <xdr:nvSpPr>
            <xdr:cNvPr id="19631" name="Check Box 175" hidden="1">
              <a:extLst>
                <a:ext uri="{63B3BB69-23CF-44E3-9099-C40C66FF867C}">
                  <a14:compatExt spid="_x0000_s19631"/>
                </a:ext>
                <a:ext uri="{FF2B5EF4-FFF2-40B4-BE49-F238E27FC236}">
                  <a16:creationId xmlns:a16="http://schemas.microsoft.com/office/drawing/2014/main" id="{00000000-0008-0000-0A00-0000A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44</xdr:row>
          <xdr:rowOff>180975</xdr:rowOff>
        </xdr:from>
        <xdr:to>
          <xdr:col>8</xdr:col>
          <xdr:colOff>47625</xdr:colOff>
          <xdr:row>46</xdr:row>
          <xdr:rowOff>9525</xdr:rowOff>
        </xdr:to>
        <xdr:sp macro="" textlink="">
          <xdr:nvSpPr>
            <xdr:cNvPr id="19632" name="Check Box 176" hidden="1">
              <a:extLst>
                <a:ext uri="{63B3BB69-23CF-44E3-9099-C40C66FF867C}">
                  <a14:compatExt spid="_x0000_s19632"/>
                </a:ext>
                <a:ext uri="{FF2B5EF4-FFF2-40B4-BE49-F238E27FC236}">
                  <a16:creationId xmlns:a16="http://schemas.microsoft.com/office/drawing/2014/main" id="{00000000-0008-0000-0A00-0000B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44</xdr:row>
          <xdr:rowOff>180975</xdr:rowOff>
        </xdr:from>
        <xdr:to>
          <xdr:col>14</xdr:col>
          <xdr:colOff>38100</xdr:colOff>
          <xdr:row>46</xdr:row>
          <xdr:rowOff>9525</xdr:rowOff>
        </xdr:to>
        <xdr:sp macro="" textlink="">
          <xdr:nvSpPr>
            <xdr:cNvPr id="19633" name="Check Box 177" hidden="1">
              <a:extLst>
                <a:ext uri="{63B3BB69-23CF-44E3-9099-C40C66FF867C}">
                  <a14:compatExt spid="_x0000_s19633"/>
                </a:ext>
                <a:ext uri="{FF2B5EF4-FFF2-40B4-BE49-F238E27FC236}">
                  <a16:creationId xmlns:a16="http://schemas.microsoft.com/office/drawing/2014/main" id="{00000000-0008-0000-0A00-0000B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47</xdr:row>
          <xdr:rowOff>180975</xdr:rowOff>
        </xdr:from>
        <xdr:to>
          <xdr:col>4</xdr:col>
          <xdr:colOff>123825</xdr:colOff>
          <xdr:row>49</xdr:row>
          <xdr:rowOff>9525</xdr:rowOff>
        </xdr:to>
        <xdr:sp macro="" textlink="">
          <xdr:nvSpPr>
            <xdr:cNvPr id="19634" name="Check Box 178" hidden="1">
              <a:extLst>
                <a:ext uri="{63B3BB69-23CF-44E3-9099-C40C66FF867C}">
                  <a14:compatExt spid="_x0000_s19634"/>
                </a:ext>
                <a:ext uri="{FF2B5EF4-FFF2-40B4-BE49-F238E27FC236}">
                  <a16:creationId xmlns:a16="http://schemas.microsoft.com/office/drawing/2014/main" id="{00000000-0008-0000-0A00-0000B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47</xdr:row>
          <xdr:rowOff>180975</xdr:rowOff>
        </xdr:from>
        <xdr:to>
          <xdr:col>9</xdr:col>
          <xdr:colOff>19050</xdr:colOff>
          <xdr:row>49</xdr:row>
          <xdr:rowOff>9525</xdr:rowOff>
        </xdr:to>
        <xdr:sp macro="" textlink="">
          <xdr:nvSpPr>
            <xdr:cNvPr id="19635" name="Check Box 179" hidden="1">
              <a:extLst>
                <a:ext uri="{63B3BB69-23CF-44E3-9099-C40C66FF867C}">
                  <a14:compatExt spid="_x0000_s19635"/>
                </a:ext>
                <a:ext uri="{FF2B5EF4-FFF2-40B4-BE49-F238E27FC236}">
                  <a16:creationId xmlns:a16="http://schemas.microsoft.com/office/drawing/2014/main" id="{00000000-0008-0000-0A00-0000B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47</xdr:row>
          <xdr:rowOff>180975</xdr:rowOff>
        </xdr:from>
        <xdr:to>
          <xdr:col>14</xdr:col>
          <xdr:colOff>0</xdr:colOff>
          <xdr:row>49</xdr:row>
          <xdr:rowOff>9525</xdr:rowOff>
        </xdr:to>
        <xdr:sp macro="" textlink="">
          <xdr:nvSpPr>
            <xdr:cNvPr id="19636" name="Check Box 180" hidden="1">
              <a:extLst>
                <a:ext uri="{63B3BB69-23CF-44E3-9099-C40C66FF867C}">
                  <a14:compatExt spid="_x0000_s19636"/>
                </a:ext>
                <a:ext uri="{FF2B5EF4-FFF2-40B4-BE49-F238E27FC236}">
                  <a16:creationId xmlns:a16="http://schemas.microsoft.com/office/drawing/2014/main" id="{00000000-0008-0000-0A00-0000B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50</xdr:row>
          <xdr:rowOff>180975</xdr:rowOff>
        </xdr:from>
        <xdr:to>
          <xdr:col>8</xdr:col>
          <xdr:colOff>38100</xdr:colOff>
          <xdr:row>52</xdr:row>
          <xdr:rowOff>9525</xdr:rowOff>
        </xdr:to>
        <xdr:sp macro="" textlink="">
          <xdr:nvSpPr>
            <xdr:cNvPr id="19637" name="Check Box 181" hidden="1">
              <a:extLst>
                <a:ext uri="{63B3BB69-23CF-44E3-9099-C40C66FF867C}">
                  <a14:compatExt spid="_x0000_s19637"/>
                </a:ext>
                <a:ext uri="{FF2B5EF4-FFF2-40B4-BE49-F238E27FC236}">
                  <a16:creationId xmlns:a16="http://schemas.microsoft.com/office/drawing/2014/main" id="{00000000-0008-0000-0A00-0000B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50</xdr:row>
          <xdr:rowOff>180975</xdr:rowOff>
        </xdr:from>
        <xdr:to>
          <xdr:col>12</xdr:col>
          <xdr:colOff>0</xdr:colOff>
          <xdr:row>52</xdr:row>
          <xdr:rowOff>9525</xdr:rowOff>
        </xdr:to>
        <xdr:sp macro="" textlink="">
          <xdr:nvSpPr>
            <xdr:cNvPr id="19638" name="Check Box 182" hidden="1">
              <a:extLst>
                <a:ext uri="{63B3BB69-23CF-44E3-9099-C40C66FF867C}">
                  <a14:compatExt spid="_x0000_s19638"/>
                </a:ext>
                <a:ext uri="{FF2B5EF4-FFF2-40B4-BE49-F238E27FC236}">
                  <a16:creationId xmlns:a16="http://schemas.microsoft.com/office/drawing/2014/main" id="{00000000-0008-0000-0A00-0000B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50</xdr:row>
          <xdr:rowOff>180975</xdr:rowOff>
        </xdr:from>
        <xdr:to>
          <xdr:col>15</xdr:col>
          <xdr:colOff>161925</xdr:colOff>
          <xdr:row>52</xdr:row>
          <xdr:rowOff>9525</xdr:rowOff>
        </xdr:to>
        <xdr:sp macro="" textlink="">
          <xdr:nvSpPr>
            <xdr:cNvPr id="19639" name="Check Box 183" hidden="1">
              <a:extLst>
                <a:ext uri="{63B3BB69-23CF-44E3-9099-C40C66FF867C}">
                  <a14:compatExt spid="_x0000_s19639"/>
                </a:ext>
                <a:ext uri="{FF2B5EF4-FFF2-40B4-BE49-F238E27FC236}">
                  <a16:creationId xmlns:a16="http://schemas.microsoft.com/office/drawing/2014/main" id="{00000000-0008-0000-0A00-0000B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56</xdr:row>
          <xdr:rowOff>257175</xdr:rowOff>
        </xdr:from>
        <xdr:to>
          <xdr:col>8</xdr:col>
          <xdr:colOff>28575</xdr:colOff>
          <xdr:row>58</xdr:row>
          <xdr:rowOff>19050</xdr:rowOff>
        </xdr:to>
        <xdr:sp macro="" textlink="">
          <xdr:nvSpPr>
            <xdr:cNvPr id="19640" name="Check Box 184" hidden="1">
              <a:extLst>
                <a:ext uri="{63B3BB69-23CF-44E3-9099-C40C66FF867C}">
                  <a14:compatExt spid="_x0000_s19640"/>
                </a:ext>
                <a:ext uri="{FF2B5EF4-FFF2-40B4-BE49-F238E27FC236}">
                  <a16:creationId xmlns:a16="http://schemas.microsoft.com/office/drawing/2014/main" id="{00000000-0008-0000-0A00-0000B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56</xdr:row>
          <xdr:rowOff>257175</xdr:rowOff>
        </xdr:from>
        <xdr:to>
          <xdr:col>13</xdr:col>
          <xdr:colOff>57150</xdr:colOff>
          <xdr:row>58</xdr:row>
          <xdr:rowOff>19050</xdr:rowOff>
        </xdr:to>
        <xdr:sp macro="" textlink="">
          <xdr:nvSpPr>
            <xdr:cNvPr id="19641" name="Check Box 185" hidden="1">
              <a:extLst>
                <a:ext uri="{63B3BB69-23CF-44E3-9099-C40C66FF867C}">
                  <a14:compatExt spid="_x0000_s19641"/>
                </a:ext>
                <a:ext uri="{FF2B5EF4-FFF2-40B4-BE49-F238E27FC236}">
                  <a16:creationId xmlns:a16="http://schemas.microsoft.com/office/drawing/2014/main" id="{00000000-0008-0000-0A00-0000B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56</xdr:row>
          <xdr:rowOff>257175</xdr:rowOff>
        </xdr:from>
        <xdr:to>
          <xdr:col>19</xdr:col>
          <xdr:colOff>76200</xdr:colOff>
          <xdr:row>58</xdr:row>
          <xdr:rowOff>19050</xdr:rowOff>
        </xdr:to>
        <xdr:sp macro="" textlink="">
          <xdr:nvSpPr>
            <xdr:cNvPr id="19642" name="Check Box 186" hidden="1">
              <a:extLst>
                <a:ext uri="{63B3BB69-23CF-44E3-9099-C40C66FF867C}">
                  <a14:compatExt spid="_x0000_s19642"/>
                </a:ext>
                <a:ext uri="{FF2B5EF4-FFF2-40B4-BE49-F238E27FC236}">
                  <a16:creationId xmlns:a16="http://schemas.microsoft.com/office/drawing/2014/main" id="{00000000-0008-0000-0A00-0000B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59</xdr:row>
          <xdr:rowOff>180975</xdr:rowOff>
        </xdr:from>
        <xdr:to>
          <xdr:col>7</xdr:col>
          <xdr:colOff>28575</xdr:colOff>
          <xdr:row>61</xdr:row>
          <xdr:rowOff>9525</xdr:rowOff>
        </xdr:to>
        <xdr:sp macro="" textlink="">
          <xdr:nvSpPr>
            <xdr:cNvPr id="19643" name="Check Box 187" hidden="1">
              <a:extLst>
                <a:ext uri="{63B3BB69-23CF-44E3-9099-C40C66FF867C}">
                  <a14:compatExt spid="_x0000_s19643"/>
                </a:ext>
                <a:ext uri="{FF2B5EF4-FFF2-40B4-BE49-F238E27FC236}">
                  <a16:creationId xmlns:a16="http://schemas.microsoft.com/office/drawing/2014/main" id="{00000000-0008-0000-0A00-0000B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59</xdr:row>
          <xdr:rowOff>180975</xdr:rowOff>
        </xdr:from>
        <xdr:to>
          <xdr:col>13</xdr:col>
          <xdr:colOff>57150</xdr:colOff>
          <xdr:row>61</xdr:row>
          <xdr:rowOff>9525</xdr:rowOff>
        </xdr:to>
        <xdr:sp macro="" textlink="">
          <xdr:nvSpPr>
            <xdr:cNvPr id="19644" name="Check Box 188" hidden="1">
              <a:extLst>
                <a:ext uri="{63B3BB69-23CF-44E3-9099-C40C66FF867C}">
                  <a14:compatExt spid="_x0000_s19644"/>
                </a:ext>
                <a:ext uri="{FF2B5EF4-FFF2-40B4-BE49-F238E27FC236}">
                  <a16:creationId xmlns:a16="http://schemas.microsoft.com/office/drawing/2014/main" id="{00000000-0008-0000-0A00-0000B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59</xdr:row>
          <xdr:rowOff>180975</xdr:rowOff>
        </xdr:from>
        <xdr:to>
          <xdr:col>18</xdr:col>
          <xdr:colOff>28575</xdr:colOff>
          <xdr:row>61</xdr:row>
          <xdr:rowOff>9525</xdr:rowOff>
        </xdr:to>
        <xdr:sp macro="" textlink="">
          <xdr:nvSpPr>
            <xdr:cNvPr id="19645" name="Check Box 189" hidden="1">
              <a:extLst>
                <a:ext uri="{63B3BB69-23CF-44E3-9099-C40C66FF867C}">
                  <a14:compatExt spid="_x0000_s19645"/>
                </a:ext>
                <a:ext uri="{FF2B5EF4-FFF2-40B4-BE49-F238E27FC236}">
                  <a16:creationId xmlns:a16="http://schemas.microsoft.com/office/drawing/2014/main" id="{00000000-0008-0000-0A00-0000B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62</xdr:row>
          <xdr:rowOff>180975</xdr:rowOff>
        </xdr:from>
        <xdr:to>
          <xdr:col>5</xdr:col>
          <xdr:colOff>47625</xdr:colOff>
          <xdr:row>64</xdr:row>
          <xdr:rowOff>9525</xdr:rowOff>
        </xdr:to>
        <xdr:sp macro="" textlink="">
          <xdr:nvSpPr>
            <xdr:cNvPr id="19646" name="Check Box 190" hidden="1">
              <a:extLst>
                <a:ext uri="{63B3BB69-23CF-44E3-9099-C40C66FF867C}">
                  <a14:compatExt spid="_x0000_s19646"/>
                </a:ext>
                <a:ext uri="{FF2B5EF4-FFF2-40B4-BE49-F238E27FC236}">
                  <a16:creationId xmlns:a16="http://schemas.microsoft.com/office/drawing/2014/main" id="{00000000-0008-0000-0A00-0000B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62</xdr:row>
          <xdr:rowOff>180975</xdr:rowOff>
        </xdr:from>
        <xdr:to>
          <xdr:col>8</xdr:col>
          <xdr:colOff>47625</xdr:colOff>
          <xdr:row>64</xdr:row>
          <xdr:rowOff>9525</xdr:rowOff>
        </xdr:to>
        <xdr:sp macro="" textlink="">
          <xdr:nvSpPr>
            <xdr:cNvPr id="19647" name="Check Box 191" hidden="1">
              <a:extLst>
                <a:ext uri="{63B3BB69-23CF-44E3-9099-C40C66FF867C}">
                  <a14:compatExt spid="_x0000_s19647"/>
                </a:ext>
                <a:ext uri="{FF2B5EF4-FFF2-40B4-BE49-F238E27FC236}">
                  <a16:creationId xmlns:a16="http://schemas.microsoft.com/office/drawing/2014/main" id="{00000000-0008-0000-0A00-0000B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62</xdr:row>
          <xdr:rowOff>180975</xdr:rowOff>
        </xdr:from>
        <xdr:to>
          <xdr:col>14</xdr:col>
          <xdr:colOff>38100</xdr:colOff>
          <xdr:row>64</xdr:row>
          <xdr:rowOff>9525</xdr:rowOff>
        </xdr:to>
        <xdr:sp macro="" textlink="">
          <xdr:nvSpPr>
            <xdr:cNvPr id="19648" name="Check Box 192" hidden="1">
              <a:extLst>
                <a:ext uri="{63B3BB69-23CF-44E3-9099-C40C66FF867C}">
                  <a14:compatExt spid="_x0000_s19648"/>
                </a:ext>
                <a:ext uri="{FF2B5EF4-FFF2-40B4-BE49-F238E27FC236}">
                  <a16:creationId xmlns:a16="http://schemas.microsoft.com/office/drawing/2014/main" id="{00000000-0008-0000-0A00-0000C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65</xdr:row>
          <xdr:rowOff>180975</xdr:rowOff>
        </xdr:from>
        <xdr:to>
          <xdr:col>4</xdr:col>
          <xdr:colOff>123825</xdr:colOff>
          <xdr:row>67</xdr:row>
          <xdr:rowOff>9525</xdr:rowOff>
        </xdr:to>
        <xdr:sp macro="" textlink="">
          <xdr:nvSpPr>
            <xdr:cNvPr id="19649" name="Check Box 193" hidden="1">
              <a:extLst>
                <a:ext uri="{63B3BB69-23CF-44E3-9099-C40C66FF867C}">
                  <a14:compatExt spid="_x0000_s19649"/>
                </a:ext>
                <a:ext uri="{FF2B5EF4-FFF2-40B4-BE49-F238E27FC236}">
                  <a16:creationId xmlns:a16="http://schemas.microsoft.com/office/drawing/2014/main" id="{00000000-0008-0000-0A00-0000C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65</xdr:row>
          <xdr:rowOff>180975</xdr:rowOff>
        </xdr:from>
        <xdr:to>
          <xdr:col>9</xdr:col>
          <xdr:colOff>19050</xdr:colOff>
          <xdr:row>67</xdr:row>
          <xdr:rowOff>9525</xdr:rowOff>
        </xdr:to>
        <xdr:sp macro="" textlink="">
          <xdr:nvSpPr>
            <xdr:cNvPr id="19650" name="Check Box 194" hidden="1">
              <a:extLst>
                <a:ext uri="{63B3BB69-23CF-44E3-9099-C40C66FF867C}">
                  <a14:compatExt spid="_x0000_s19650"/>
                </a:ext>
                <a:ext uri="{FF2B5EF4-FFF2-40B4-BE49-F238E27FC236}">
                  <a16:creationId xmlns:a16="http://schemas.microsoft.com/office/drawing/2014/main" id="{00000000-0008-0000-0A00-0000C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65</xdr:row>
          <xdr:rowOff>180975</xdr:rowOff>
        </xdr:from>
        <xdr:to>
          <xdr:col>14</xdr:col>
          <xdr:colOff>0</xdr:colOff>
          <xdr:row>67</xdr:row>
          <xdr:rowOff>9525</xdr:rowOff>
        </xdr:to>
        <xdr:sp macro="" textlink="">
          <xdr:nvSpPr>
            <xdr:cNvPr id="19651" name="Check Box 195" hidden="1">
              <a:extLst>
                <a:ext uri="{63B3BB69-23CF-44E3-9099-C40C66FF867C}">
                  <a14:compatExt spid="_x0000_s19651"/>
                </a:ext>
                <a:ext uri="{FF2B5EF4-FFF2-40B4-BE49-F238E27FC236}">
                  <a16:creationId xmlns:a16="http://schemas.microsoft.com/office/drawing/2014/main" id="{00000000-0008-0000-0A00-0000C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68</xdr:row>
          <xdr:rowOff>180975</xdr:rowOff>
        </xdr:from>
        <xdr:to>
          <xdr:col>8</xdr:col>
          <xdr:colOff>38100</xdr:colOff>
          <xdr:row>70</xdr:row>
          <xdr:rowOff>9525</xdr:rowOff>
        </xdr:to>
        <xdr:sp macro="" textlink="">
          <xdr:nvSpPr>
            <xdr:cNvPr id="19652" name="Check Box 196" hidden="1">
              <a:extLst>
                <a:ext uri="{63B3BB69-23CF-44E3-9099-C40C66FF867C}">
                  <a14:compatExt spid="_x0000_s19652"/>
                </a:ext>
                <a:ext uri="{FF2B5EF4-FFF2-40B4-BE49-F238E27FC236}">
                  <a16:creationId xmlns:a16="http://schemas.microsoft.com/office/drawing/2014/main" id="{00000000-0008-0000-0A00-0000C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68</xdr:row>
          <xdr:rowOff>180975</xdr:rowOff>
        </xdr:from>
        <xdr:to>
          <xdr:col>12</xdr:col>
          <xdr:colOff>0</xdr:colOff>
          <xdr:row>70</xdr:row>
          <xdr:rowOff>9525</xdr:rowOff>
        </xdr:to>
        <xdr:sp macro="" textlink="">
          <xdr:nvSpPr>
            <xdr:cNvPr id="19653" name="Check Box 197" hidden="1">
              <a:extLst>
                <a:ext uri="{63B3BB69-23CF-44E3-9099-C40C66FF867C}">
                  <a14:compatExt spid="_x0000_s19653"/>
                </a:ext>
                <a:ext uri="{FF2B5EF4-FFF2-40B4-BE49-F238E27FC236}">
                  <a16:creationId xmlns:a16="http://schemas.microsoft.com/office/drawing/2014/main" id="{00000000-0008-0000-0A00-0000C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68</xdr:row>
          <xdr:rowOff>180975</xdr:rowOff>
        </xdr:from>
        <xdr:to>
          <xdr:col>15</xdr:col>
          <xdr:colOff>161925</xdr:colOff>
          <xdr:row>70</xdr:row>
          <xdr:rowOff>9525</xdr:rowOff>
        </xdr:to>
        <xdr:sp macro="" textlink="">
          <xdr:nvSpPr>
            <xdr:cNvPr id="19654" name="Check Box 198" hidden="1">
              <a:extLst>
                <a:ext uri="{63B3BB69-23CF-44E3-9099-C40C66FF867C}">
                  <a14:compatExt spid="_x0000_s19654"/>
                </a:ext>
                <a:ext uri="{FF2B5EF4-FFF2-40B4-BE49-F238E27FC236}">
                  <a16:creationId xmlns:a16="http://schemas.microsoft.com/office/drawing/2014/main" id="{00000000-0008-0000-0A00-0000C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74</xdr:row>
          <xdr:rowOff>257175</xdr:rowOff>
        </xdr:from>
        <xdr:to>
          <xdr:col>8</xdr:col>
          <xdr:colOff>28575</xdr:colOff>
          <xdr:row>76</xdr:row>
          <xdr:rowOff>19050</xdr:rowOff>
        </xdr:to>
        <xdr:sp macro="" textlink="">
          <xdr:nvSpPr>
            <xdr:cNvPr id="19655" name="Check Box 199" hidden="1">
              <a:extLst>
                <a:ext uri="{63B3BB69-23CF-44E3-9099-C40C66FF867C}">
                  <a14:compatExt spid="_x0000_s19655"/>
                </a:ext>
                <a:ext uri="{FF2B5EF4-FFF2-40B4-BE49-F238E27FC236}">
                  <a16:creationId xmlns:a16="http://schemas.microsoft.com/office/drawing/2014/main" id="{00000000-0008-0000-0A00-0000C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74</xdr:row>
          <xdr:rowOff>257175</xdr:rowOff>
        </xdr:from>
        <xdr:to>
          <xdr:col>13</xdr:col>
          <xdr:colOff>57150</xdr:colOff>
          <xdr:row>76</xdr:row>
          <xdr:rowOff>19050</xdr:rowOff>
        </xdr:to>
        <xdr:sp macro="" textlink="">
          <xdr:nvSpPr>
            <xdr:cNvPr id="19656" name="Check Box 200" hidden="1">
              <a:extLst>
                <a:ext uri="{63B3BB69-23CF-44E3-9099-C40C66FF867C}">
                  <a14:compatExt spid="_x0000_s19656"/>
                </a:ext>
                <a:ext uri="{FF2B5EF4-FFF2-40B4-BE49-F238E27FC236}">
                  <a16:creationId xmlns:a16="http://schemas.microsoft.com/office/drawing/2014/main" id="{00000000-0008-0000-0A00-0000C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74</xdr:row>
          <xdr:rowOff>257175</xdr:rowOff>
        </xdr:from>
        <xdr:to>
          <xdr:col>19</xdr:col>
          <xdr:colOff>76200</xdr:colOff>
          <xdr:row>76</xdr:row>
          <xdr:rowOff>19050</xdr:rowOff>
        </xdr:to>
        <xdr:sp macro="" textlink="">
          <xdr:nvSpPr>
            <xdr:cNvPr id="19657" name="Check Box 201" hidden="1">
              <a:extLst>
                <a:ext uri="{63B3BB69-23CF-44E3-9099-C40C66FF867C}">
                  <a14:compatExt spid="_x0000_s19657"/>
                </a:ext>
                <a:ext uri="{FF2B5EF4-FFF2-40B4-BE49-F238E27FC236}">
                  <a16:creationId xmlns:a16="http://schemas.microsoft.com/office/drawing/2014/main" id="{00000000-0008-0000-0A00-0000C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77</xdr:row>
          <xdr:rowOff>180975</xdr:rowOff>
        </xdr:from>
        <xdr:to>
          <xdr:col>7</xdr:col>
          <xdr:colOff>28575</xdr:colOff>
          <xdr:row>79</xdr:row>
          <xdr:rowOff>9525</xdr:rowOff>
        </xdr:to>
        <xdr:sp macro="" textlink="">
          <xdr:nvSpPr>
            <xdr:cNvPr id="19658" name="Check Box 202" hidden="1">
              <a:extLst>
                <a:ext uri="{63B3BB69-23CF-44E3-9099-C40C66FF867C}">
                  <a14:compatExt spid="_x0000_s19658"/>
                </a:ext>
                <a:ext uri="{FF2B5EF4-FFF2-40B4-BE49-F238E27FC236}">
                  <a16:creationId xmlns:a16="http://schemas.microsoft.com/office/drawing/2014/main" id="{00000000-0008-0000-0A00-0000C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77</xdr:row>
          <xdr:rowOff>180975</xdr:rowOff>
        </xdr:from>
        <xdr:to>
          <xdr:col>13</xdr:col>
          <xdr:colOff>57150</xdr:colOff>
          <xdr:row>79</xdr:row>
          <xdr:rowOff>9525</xdr:rowOff>
        </xdr:to>
        <xdr:sp macro="" textlink="">
          <xdr:nvSpPr>
            <xdr:cNvPr id="19659" name="Check Box 203" hidden="1">
              <a:extLst>
                <a:ext uri="{63B3BB69-23CF-44E3-9099-C40C66FF867C}">
                  <a14:compatExt spid="_x0000_s19659"/>
                </a:ext>
                <a:ext uri="{FF2B5EF4-FFF2-40B4-BE49-F238E27FC236}">
                  <a16:creationId xmlns:a16="http://schemas.microsoft.com/office/drawing/2014/main" id="{00000000-0008-0000-0A00-0000C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77</xdr:row>
          <xdr:rowOff>180975</xdr:rowOff>
        </xdr:from>
        <xdr:to>
          <xdr:col>18</xdr:col>
          <xdr:colOff>28575</xdr:colOff>
          <xdr:row>79</xdr:row>
          <xdr:rowOff>9525</xdr:rowOff>
        </xdr:to>
        <xdr:sp macro="" textlink="">
          <xdr:nvSpPr>
            <xdr:cNvPr id="19660" name="Check Box 204" hidden="1">
              <a:extLst>
                <a:ext uri="{63B3BB69-23CF-44E3-9099-C40C66FF867C}">
                  <a14:compatExt spid="_x0000_s19660"/>
                </a:ext>
                <a:ext uri="{FF2B5EF4-FFF2-40B4-BE49-F238E27FC236}">
                  <a16:creationId xmlns:a16="http://schemas.microsoft.com/office/drawing/2014/main" id="{00000000-0008-0000-0A00-0000C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80</xdr:row>
          <xdr:rowOff>180975</xdr:rowOff>
        </xdr:from>
        <xdr:to>
          <xdr:col>5</xdr:col>
          <xdr:colOff>47625</xdr:colOff>
          <xdr:row>82</xdr:row>
          <xdr:rowOff>9525</xdr:rowOff>
        </xdr:to>
        <xdr:sp macro="" textlink="">
          <xdr:nvSpPr>
            <xdr:cNvPr id="19661" name="Check Box 205" hidden="1">
              <a:extLst>
                <a:ext uri="{63B3BB69-23CF-44E3-9099-C40C66FF867C}">
                  <a14:compatExt spid="_x0000_s19661"/>
                </a:ext>
                <a:ext uri="{FF2B5EF4-FFF2-40B4-BE49-F238E27FC236}">
                  <a16:creationId xmlns:a16="http://schemas.microsoft.com/office/drawing/2014/main" id="{00000000-0008-0000-0A00-0000C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80</xdr:row>
          <xdr:rowOff>180975</xdr:rowOff>
        </xdr:from>
        <xdr:to>
          <xdr:col>8</xdr:col>
          <xdr:colOff>47625</xdr:colOff>
          <xdr:row>82</xdr:row>
          <xdr:rowOff>9525</xdr:rowOff>
        </xdr:to>
        <xdr:sp macro="" textlink="">
          <xdr:nvSpPr>
            <xdr:cNvPr id="19662" name="Check Box 206" hidden="1">
              <a:extLst>
                <a:ext uri="{63B3BB69-23CF-44E3-9099-C40C66FF867C}">
                  <a14:compatExt spid="_x0000_s19662"/>
                </a:ext>
                <a:ext uri="{FF2B5EF4-FFF2-40B4-BE49-F238E27FC236}">
                  <a16:creationId xmlns:a16="http://schemas.microsoft.com/office/drawing/2014/main" id="{00000000-0008-0000-0A00-0000C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80</xdr:row>
          <xdr:rowOff>180975</xdr:rowOff>
        </xdr:from>
        <xdr:to>
          <xdr:col>14</xdr:col>
          <xdr:colOff>38100</xdr:colOff>
          <xdr:row>82</xdr:row>
          <xdr:rowOff>9525</xdr:rowOff>
        </xdr:to>
        <xdr:sp macro="" textlink="">
          <xdr:nvSpPr>
            <xdr:cNvPr id="19663" name="Check Box 207" hidden="1">
              <a:extLst>
                <a:ext uri="{63B3BB69-23CF-44E3-9099-C40C66FF867C}">
                  <a14:compatExt spid="_x0000_s19663"/>
                </a:ext>
                <a:ext uri="{FF2B5EF4-FFF2-40B4-BE49-F238E27FC236}">
                  <a16:creationId xmlns:a16="http://schemas.microsoft.com/office/drawing/2014/main" id="{00000000-0008-0000-0A00-0000C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83</xdr:row>
          <xdr:rowOff>180975</xdr:rowOff>
        </xdr:from>
        <xdr:to>
          <xdr:col>4</xdr:col>
          <xdr:colOff>123825</xdr:colOff>
          <xdr:row>85</xdr:row>
          <xdr:rowOff>9525</xdr:rowOff>
        </xdr:to>
        <xdr:sp macro="" textlink="">
          <xdr:nvSpPr>
            <xdr:cNvPr id="19664" name="Check Box 208" hidden="1">
              <a:extLst>
                <a:ext uri="{63B3BB69-23CF-44E3-9099-C40C66FF867C}">
                  <a14:compatExt spid="_x0000_s19664"/>
                </a:ext>
                <a:ext uri="{FF2B5EF4-FFF2-40B4-BE49-F238E27FC236}">
                  <a16:creationId xmlns:a16="http://schemas.microsoft.com/office/drawing/2014/main" id="{00000000-0008-0000-0A00-0000D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83</xdr:row>
          <xdr:rowOff>180975</xdr:rowOff>
        </xdr:from>
        <xdr:to>
          <xdr:col>9</xdr:col>
          <xdr:colOff>19050</xdr:colOff>
          <xdr:row>85</xdr:row>
          <xdr:rowOff>9525</xdr:rowOff>
        </xdr:to>
        <xdr:sp macro="" textlink="">
          <xdr:nvSpPr>
            <xdr:cNvPr id="19665" name="Check Box 209" hidden="1">
              <a:extLst>
                <a:ext uri="{63B3BB69-23CF-44E3-9099-C40C66FF867C}">
                  <a14:compatExt spid="_x0000_s19665"/>
                </a:ext>
                <a:ext uri="{FF2B5EF4-FFF2-40B4-BE49-F238E27FC236}">
                  <a16:creationId xmlns:a16="http://schemas.microsoft.com/office/drawing/2014/main" id="{00000000-0008-0000-0A00-0000D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83</xdr:row>
          <xdr:rowOff>180975</xdr:rowOff>
        </xdr:from>
        <xdr:to>
          <xdr:col>14</xdr:col>
          <xdr:colOff>0</xdr:colOff>
          <xdr:row>85</xdr:row>
          <xdr:rowOff>9525</xdr:rowOff>
        </xdr:to>
        <xdr:sp macro="" textlink="">
          <xdr:nvSpPr>
            <xdr:cNvPr id="19666" name="Check Box 210" hidden="1">
              <a:extLst>
                <a:ext uri="{63B3BB69-23CF-44E3-9099-C40C66FF867C}">
                  <a14:compatExt spid="_x0000_s19666"/>
                </a:ext>
                <a:ext uri="{FF2B5EF4-FFF2-40B4-BE49-F238E27FC236}">
                  <a16:creationId xmlns:a16="http://schemas.microsoft.com/office/drawing/2014/main" id="{00000000-0008-0000-0A00-0000D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86</xdr:row>
          <xdr:rowOff>180975</xdr:rowOff>
        </xdr:from>
        <xdr:to>
          <xdr:col>8</xdr:col>
          <xdr:colOff>38100</xdr:colOff>
          <xdr:row>88</xdr:row>
          <xdr:rowOff>9525</xdr:rowOff>
        </xdr:to>
        <xdr:sp macro="" textlink="">
          <xdr:nvSpPr>
            <xdr:cNvPr id="19667" name="Check Box 211" hidden="1">
              <a:extLst>
                <a:ext uri="{63B3BB69-23CF-44E3-9099-C40C66FF867C}">
                  <a14:compatExt spid="_x0000_s19667"/>
                </a:ext>
                <a:ext uri="{FF2B5EF4-FFF2-40B4-BE49-F238E27FC236}">
                  <a16:creationId xmlns:a16="http://schemas.microsoft.com/office/drawing/2014/main" id="{00000000-0008-0000-0A00-0000D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86</xdr:row>
          <xdr:rowOff>180975</xdr:rowOff>
        </xdr:from>
        <xdr:to>
          <xdr:col>12</xdr:col>
          <xdr:colOff>0</xdr:colOff>
          <xdr:row>88</xdr:row>
          <xdr:rowOff>9525</xdr:rowOff>
        </xdr:to>
        <xdr:sp macro="" textlink="">
          <xdr:nvSpPr>
            <xdr:cNvPr id="19668" name="Check Box 212" hidden="1">
              <a:extLst>
                <a:ext uri="{63B3BB69-23CF-44E3-9099-C40C66FF867C}">
                  <a14:compatExt spid="_x0000_s19668"/>
                </a:ext>
                <a:ext uri="{FF2B5EF4-FFF2-40B4-BE49-F238E27FC236}">
                  <a16:creationId xmlns:a16="http://schemas.microsoft.com/office/drawing/2014/main" id="{00000000-0008-0000-0A00-0000D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86</xdr:row>
          <xdr:rowOff>180975</xdr:rowOff>
        </xdr:from>
        <xdr:to>
          <xdr:col>15</xdr:col>
          <xdr:colOff>161925</xdr:colOff>
          <xdr:row>88</xdr:row>
          <xdr:rowOff>9525</xdr:rowOff>
        </xdr:to>
        <xdr:sp macro="" textlink="">
          <xdr:nvSpPr>
            <xdr:cNvPr id="19669" name="Check Box 213" hidden="1">
              <a:extLst>
                <a:ext uri="{63B3BB69-23CF-44E3-9099-C40C66FF867C}">
                  <a14:compatExt spid="_x0000_s19669"/>
                </a:ext>
                <a:ext uri="{FF2B5EF4-FFF2-40B4-BE49-F238E27FC236}">
                  <a16:creationId xmlns:a16="http://schemas.microsoft.com/office/drawing/2014/main" id="{00000000-0008-0000-0A00-0000D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92</xdr:row>
          <xdr:rowOff>257175</xdr:rowOff>
        </xdr:from>
        <xdr:to>
          <xdr:col>8</xdr:col>
          <xdr:colOff>28575</xdr:colOff>
          <xdr:row>94</xdr:row>
          <xdr:rowOff>19050</xdr:rowOff>
        </xdr:to>
        <xdr:sp macro="" textlink="">
          <xdr:nvSpPr>
            <xdr:cNvPr id="19670" name="Check Box 214" hidden="1">
              <a:extLst>
                <a:ext uri="{63B3BB69-23CF-44E3-9099-C40C66FF867C}">
                  <a14:compatExt spid="_x0000_s19670"/>
                </a:ext>
                <a:ext uri="{FF2B5EF4-FFF2-40B4-BE49-F238E27FC236}">
                  <a16:creationId xmlns:a16="http://schemas.microsoft.com/office/drawing/2014/main" id="{00000000-0008-0000-0A00-0000D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92</xdr:row>
          <xdr:rowOff>257175</xdr:rowOff>
        </xdr:from>
        <xdr:to>
          <xdr:col>13</xdr:col>
          <xdr:colOff>57150</xdr:colOff>
          <xdr:row>94</xdr:row>
          <xdr:rowOff>19050</xdr:rowOff>
        </xdr:to>
        <xdr:sp macro="" textlink="">
          <xdr:nvSpPr>
            <xdr:cNvPr id="19671" name="Check Box 215" hidden="1">
              <a:extLst>
                <a:ext uri="{63B3BB69-23CF-44E3-9099-C40C66FF867C}">
                  <a14:compatExt spid="_x0000_s19671"/>
                </a:ext>
                <a:ext uri="{FF2B5EF4-FFF2-40B4-BE49-F238E27FC236}">
                  <a16:creationId xmlns:a16="http://schemas.microsoft.com/office/drawing/2014/main" id="{00000000-0008-0000-0A00-0000D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257175</xdr:rowOff>
        </xdr:from>
        <xdr:to>
          <xdr:col>19</xdr:col>
          <xdr:colOff>76200</xdr:colOff>
          <xdr:row>94</xdr:row>
          <xdr:rowOff>19050</xdr:rowOff>
        </xdr:to>
        <xdr:sp macro="" textlink="">
          <xdr:nvSpPr>
            <xdr:cNvPr id="19672" name="Check Box 216" hidden="1">
              <a:extLst>
                <a:ext uri="{63B3BB69-23CF-44E3-9099-C40C66FF867C}">
                  <a14:compatExt spid="_x0000_s19672"/>
                </a:ext>
                <a:ext uri="{FF2B5EF4-FFF2-40B4-BE49-F238E27FC236}">
                  <a16:creationId xmlns:a16="http://schemas.microsoft.com/office/drawing/2014/main" id="{00000000-0008-0000-0A00-0000D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95</xdr:row>
          <xdr:rowOff>180975</xdr:rowOff>
        </xdr:from>
        <xdr:to>
          <xdr:col>7</xdr:col>
          <xdr:colOff>28575</xdr:colOff>
          <xdr:row>97</xdr:row>
          <xdr:rowOff>9525</xdr:rowOff>
        </xdr:to>
        <xdr:sp macro="" textlink="">
          <xdr:nvSpPr>
            <xdr:cNvPr id="19673" name="Check Box 217" hidden="1">
              <a:extLst>
                <a:ext uri="{63B3BB69-23CF-44E3-9099-C40C66FF867C}">
                  <a14:compatExt spid="_x0000_s19673"/>
                </a:ext>
                <a:ext uri="{FF2B5EF4-FFF2-40B4-BE49-F238E27FC236}">
                  <a16:creationId xmlns:a16="http://schemas.microsoft.com/office/drawing/2014/main" id="{00000000-0008-0000-0A00-0000D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95</xdr:row>
          <xdr:rowOff>180975</xdr:rowOff>
        </xdr:from>
        <xdr:to>
          <xdr:col>13</xdr:col>
          <xdr:colOff>57150</xdr:colOff>
          <xdr:row>97</xdr:row>
          <xdr:rowOff>9525</xdr:rowOff>
        </xdr:to>
        <xdr:sp macro="" textlink="">
          <xdr:nvSpPr>
            <xdr:cNvPr id="19674" name="Check Box 218" hidden="1">
              <a:extLst>
                <a:ext uri="{63B3BB69-23CF-44E3-9099-C40C66FF867C}">
                  <a14:compatExt spid="_x0000_s19674"/>
                </a:ext>
                <a:ext uri="{FF2B5EF4-FFF2-40B4-BE49-F238E27FC236}">
                  <a16:creationId xmlns:a16="http://schemas.microsoft.com/office/drawing/2014/main" id="{00000000-0008-0000-0A00-0000D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95</xdr:row>
          <xdr:rowOff>180975</xdr:rowOff>
        </xdr:from>
        <xdr:to>
          <xdr:col>18</xdr:col>
          <xdr:colOff>28575</xdr:colOff>
          <xdr:row>97</xdr:row>
          <xdr:rowOff>9525</xdr:rowOff>
        </xdr:to>
        <xdr:sp macro="" textlink="">
          <xdr:nvSpPr>
            <xdr:cNvPr id="19675" name="Check Box 219" hidden="1">
              <a:extLst>
                <a:ext uri="{63B3BB69-23CF-44E3-9099-C40C66FF867C}">
                  <a14:compatExt spid="_x0000_s19675"/>
                </a:ext>
                <a:ext uri="{FF2B5EF4-FFF2-40B4-BE49-F238E27FC236}">
                  <a16:creationId xmlns:a16="http://schemas.microsoft.com/office/drawing/2014/main" id="{00000000-0008-0000-0A00-0000D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98</xdr:row>
          <xdr:rowOff>180975</xdr:rowOff>
        </xdr:from>
        <xdr:to>
          <xdr:col>5</xdr:col>
          <xdr:colOff>47625</xdr:colOff>
          <xdr:row>100</xdr:row>
          <xdr:rowOff>9525</xdr:rowOff>
        </xdr:to>
        <xdr:sp macro="" textlink="">
          <xdr:nvSpPr>
            <xdr:cNvPr id="19676" name="Check Box 220" hidden="1">
              <a:extLst>
                <a:ext uri="{63B3BB69-23CF-44E3-9099-C40C66FF867C}">
                  <a14:compatExt spid="_x0000_s19676"/>
                </a:ext>
                <a:ext uri="{FF2B5EF4-FFF2-40B4-BE49-F238E27FC236}">
                  <a16:creationId xmlns:a16="http://schemas.microsoft.com/office/drawing/2014/main" id="{00000000-0008-0000-0A00-0000D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98</xdr:row>
          <xdr:rowOff>180975</xdr:rowOff>
        </xdr:from>
        <xdr:to>
          <xdr:col>8</xdr:col>
          <xdr:colOff>47625</xdr:colOff>
          <xdr:row>100</xdr:row>
          <xdr:rowOff>9525</xdr:rowOff>
        </xdr:to>
        <xdr:sp macro="" textlink="">
          <xdr:nvSpPr>
            <xdr:cNvPr id="19677" name="Check Box 221" hidden="1">
              <a:extLst>
                <a:ext uri="{63B3BB69-23CF-44E3-9099-C40C66FF867C}">
                  <a14:compatExt spid="_x0000_s19677"/>
                </a:ext>
                <a:ext uri="{FF2B5EF4-FFF2-40B4-BE49-F238E27FC236}">
                  <a16:creationId xmlns:a16="http://schemas.microsoft.com/office/drawing/2014/main" id="{00000000-0008-0000-0A00-0000D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98</xdr:row>
          <xdr:rowOff>180975</xdr:rowOff>
        </xdr:from>
        <xdr:to>
          <xdr:col>14</xdr:col>
          <xdr:colOff>38100</xdr:colOff>
          <xdr:row>100</xdr:row>
          <xdr:rowOff>9525</xdr:rowOff>
        </xdr:to>
        <xdr:sp macro="" textlink="">
          <xdr:nvSpPr>
            <xdr:cNvPr id="19678" name="Check Box 222" hidden="1">
              <a:extLst>
                <a:ext uri="{63B3BB69-23CF-44E3-9099-C40C66FF867C}">
                  <a14:compatExt spid="_x0000_s19678"/>
                </a:ext>
                <a:ext uri="{FF2B5EF4-FFF2-40B4-BE49-F238E27FC236}">
                  <a16:creationId xmlns:a16="http://schemas.microsoft.com/office/drawing/2014/main" id="{00000000-0008-0000-0A00-0000D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101</xdr:row>
          <xdr:rowOff>180975</xdr:rowOff>
        </xdr:from>
        <xdr:to>
          <xdr:col>4</xdr:col>
          <xdr:colOff>123825</xdr:colOff>
          <xdr:row>103</xdr:row>
          <xdr:rowOff>9525</xdr:rowOff>
        </xdr:to>
        <xdr:sp macro="" textlink="">
          <xdr:nvSpPr>
            <xdr:cNvPr id="19679" name="Check Box 223" hidden="1">
              <a:extLst>
                <a:ext uri="{63B3BB69-23CF-44E3-9099-C40C66FF867C}">
                  <a14:compatExt spid="_x0000_s19679"/>
                </a:ext>
                <a:ext uri="{FF2B5EF4-FFF2-40B4-BE49-F238E27FC236}">
                  <a16:creationId xmlns:a16="http://schemas.microsoft.com/office/drawing/2014/main" id="{00000000-0008-0000-0A00-0000D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101</xdr:row>
          <xdr:rowOff>180975</xdr:rowOff>
        </xdr:from>
        <xdr:to>
          <xdr:col>9</xdr:col>
          <xdr:colOff>19050</xdr:colOff>
          <xdr:row>103</xdr:row>
          <xdr:rowOff>9525</xdr:rowOff>
        </xdr:to>
        <xdr:sp macro="" textlink="">
          <xdr:nvSpPr>
            <xdr:cNvPr id="19680" name="Check Box 224" hidden="1">
              <a:extLst>
                <a:ext uri="{63B3BB69-23CF-44E3-9099-C40C66FF867C}">
                  <a14:compatExt spid="_x0000_s19680"/>
                </a:ext>
                <a:ext uri="{FF2B5EF4-FFF2-40B4-BE49-F238E27FC236}">
                  <a16:creationId xmlns:a16="http://schemas.microsoft.com/office/drawing/2014/main" id="{00000000-0008-0000-0A00-0000E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101</xdr:row>
          <xdr:rowOff>180975</xdr:rowOff>
        </xdr:from>
        <xdr:to>
          <xdr:col>14</xdr:col>
          <xdr:colOff>0</xdr:colOff>
          <xdr:row>103</xdr:row>
          <xdr:rowOff>9525</xdr:rowOff>
        </xdr:to>
        <xdr:sp macro="" textlink="">
          <xdr:nvSpPr>
            <xdr:cNvPr id="19681" name="Check Box 225" hidden="1">
              <a:extLst>
                <a:ext uri="{63B3BB69-23CF-44E3-9099-C40C66FF867C}">
                  <a14:compatExt spid="_x0000_s19681"/>
                </a:ext>
                <a:ext uri="{FF2B5EF4-FFF2-40B4-BE49-F238E27FC236}">
                  <a16:creationId xmlns:a16="http://schemas.microsoft.com/office/drawing/2014/main" id="{00000000-0008-0000-0A00-0000E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104</xdr:row>
          <xdr:rowOff>180975</xdr:rowOff>
        </xdr:from>
        <xdr:to>
          <xdr:col>8</xdr:col>
          <xdr:colOff>38100</xdr:colOff>
          <xdr:row>106</xdr:row>
          <xdr:rowOff>9525</xdr:rowOff>
        </xdr:to>
        <xdr:sp macro="" textlink="">
          <xdr:nvSpPr>
            <xdr:cNvPr id="19682" name="Check Box 226" hidden="1">
              <a:extLst>
                <a:ext uri="{63B3BB69-23CF-44E3-9099-C40C66FF867C}">
                  <a14:compatExt spid="_x0000_s19682"/>
                </a:ext>
                <a:ext uri="{FF2B5EF4-FFF2-40B4-BE49-F238E27FC236}">
                  <a16:creationId xmlns:a16="http://schemas.microsoft.com/office/drawing/2014/main" id="{00000000-0008-0000-0A00-0000E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104</xdr:row>
          <xdr:rowOff>180975</xdr:rowOff>
        </xdr:from>
        <xdr:to>
          <xdr:col>12</xdr:col>
          <xdr:colOff>0</xdr:colOff>
          <xdr:row>106</xdr:row>
          <xdr:rowOff>9525</xdr:rowOff>
        </xdr:to>
        <xdr:sp macro="" textlink="">
          <xdr:nvSpPr>
            <xdr:cNvPr id="19683" name="Check Box 227" hidden="1">
              <a:extLst>
                <a:ext uri="{63B3BB69-23CF-44E3-9099-C40C66FF867C}">
                  <a14:compatExt spid="_x0000_s19683"/>
                </a:ext>
                <a:ext uri="{FF2B5EF4-FFF2-40B4-BE49-F238E27FC236}">
                  <a16:creationId xmlns:a16="http://schemas.microsoft.com/office/drawing/2014/main" id="{00000000-0008-0000-0A00-0000E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104</xdr:row>
          <xdr:rowOff>180975</xdr:rowOff>
        </xdr:from>
        <xdr:to>
          <xdr:col>15</xdr:col>
          <xdr:colOff>161925</xdr:colOff>
          <xdr:row>106</xdr:row>
          <xdr:rowOff>9525</xdr:rowOff>
        </xdr:to>
        <xdr:sp macro="" textlink="">
          <xdr:nvSpPr>
            <xdr:cNvPr id="19684" name="Check Box 228" hidden="1">
              <a:extLst>
                <a:ext uri="{63B3BB69-23CF-44E3-9099-C40C66FF867C}">
                  <a14:compatExt spid="_x0000_s19684"/>
                </a:ext>
                <a:ext uri="{FF2B5EF4-FFF2-40B4-BE49-F238E27FC236}">
                  <a16:creationId xmlns:a16="http://schemas.microsoft.com/office/drawing/2014/main" id="{00000000-0008-0000-0A00-0000E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38</xdr:col>
      <xdr:colOff>100050</xdr:colOff>
      <xdr:row>0</xdr:row>
      <xdr:rowOff>0</xdr:rowOff>
    </xdr:from>
    <xdr:to>
      <xdr:col>42</xdr:col>
      <xdr:colOff>195300</xdr:colOff>
      <xdr:row>7</xdr:row>
      <xdr:rowOff>127000</xdr:rowOff>
    </xdr:to>
    <xdr:pic>
      <xdr:nvPicPr>
        <xdr:cNvPr id="4" name="図 3">
          <a:hlinkClick xmlns:r="http://schemas.openxmlformats.org/officeDocument/2006/relationships" r:id="rId1"/>
          <a:extLst>
            <a:ext uri="{FF2B5EF4-FFF2-40B4-BE49-F238E27FC236}">
              <a16:creationId xmlns:a16="http://schemas.microsoft.com/office/drawing/2014/main" id="{66AA9246-6BF4-4CBB-865F-F55717E4EAD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01000" y="0"/>
          <a:ext cx="895350" cy="1193800"/>
        </a:xfrm>
        <a:prstGeom prst="ellipse">
          <a:avLst/>
        </a:prstGeom>
        <a:ln>
          <a:noFill/>
        </a:ln>
        <a:effectLst>
          <a:softEdge rad="112500"/>
        </a:effectLst>
      </xdr:spPr>
    </xdr:pic>
    <xdr:clientData fPrintsWithSheet="0"/>
  </xdr:twoCellAnchor>
  <xdr:twoCellAnchor>
    <xdr:from>
      <xdr:col>38</xdr:col>
      <xdr:colOff>28537</xdr:colOff>
      <xdr:row>12</xdr:row>
      <xdr:rowOff>66674</xdr:rowOff>
    </xdr:from>
    <xdr:to>
      <xdr:col>43</xdr:col>
      <xdr:colOff>104812</xdr:colOff>
      <xdr:row>15</xdr:row>
      <xdr:rowOff>113474</xdr:rowOff>
    </xdr:to>
    <xdr:sp macro="[0]!A4両面印刷" textlink="">
      <xdr:nvSpPr>
        <xdr:cNvPr id="5" name="正方形/長方形 4">
          <a:extLst>
            <a:ext uri="{FF2B5EF4-FFF2-40B4-BE49-F238E27FC236}">
              <a16:creationId xmlns:a16="http://schemas.microsoft.com/office/drawing/2014/main" id="{F698FC78-195B-413C-B904-C1E905C7E0FB}"/>
            </a:ext>
          </a:extLst>
        </xdr:cNvPr>
        <xdr:cNvSpPr/>
      </xdr:nvSpPr>
      <xdr:spPr>
        <a:xfrm>
          <a:off x="7629487"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38</xdr:col>
      <xdr:colOff>28574</xdr:colOff>
      <xdr:row>8</xdr:row>
      <xdr:rowOff>0</xdr:rowOff>
    </xdr:from>
    <xdr:to>
      <xdr:col>43</xdr:col>
      <xdr:colOff>104775</xdr:colOff>
      <xdr:row>11</xdr:row>
      <xdr:rowOff>47625</xdr:rowOff>
    </xdr:to>
    <xdr:sp macro="" textlink="">
      <xdr:nvSpPr>
        <xdr:cNvPr id="6" name="正方形/長方形 5">
          <a:hlinkClick xmlns:r="http://schemas.openxmlformats.org/officeDocument/2006/relationships" r:id="rId3"/>
          <a:extLst>
            <a:ext uri="{FF2B5EF4-FFF2-40B4-BE49-F238E27FC236}">
              <a16:creationId xmlns:a16="http://schemas.microsoft.com/office/drawing/2014/main" id="{28333DDB-33AE-4046-B599-1DE62EC71870}"/>
            </a:ext>
          </a:extLst>
        </xdr:cNvPr>
        <xdr:cNvSpPr/>
      </xdr:nvSpPr>
      <xdr:spPr>
        <a:xfrm>
          <a:off x="7629524"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38</xdr:col>
      <xdr:colOff>116737</xdr:colOff>
      <xdr:row>19</xdr:row>
      <xdr:rowOff>152399</xdr:rowOff>
    </xdr:from>
    <xdr:to>
      <xdr:col>43</xdr:col>
      <xdr:colOff>16612</xdr:colOff>
      <xdr:row>22</xdr:row>
      <xdr:rowOff>91199</xdr:rowOff>
    </xdr:to>
    <xdr:sp macro="[0]!担会訪看印刷" textlink="">
      <xdr:nvSpPr>
        <xdr:cNvPr id="2" name="正方形/長方形 1">
          <a:extLst>
            <a:ext uri="{FF2B5EF4-FFF2-40B4-BE49-F238E27FC236}">
              <a16:creationId xmlns:a16="http://schemas.microsoft.com/office/drawing/2014/main" id="{A1744639-2C45-40B4-B57B-8F1C606982B7}"/>
            </a:ext>
          </a:extLst>
        </xdr:cNvPr>
        <xdr:cNvSpPr/>
      </xdr:nvSpPr>
      <xdr:spPr>
        <a:xfrm>
          <a:off x="7717687" y="3047999"/>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訪看</a:t>
          </a:r>
        </a:p>
      </xdr:txBody>
    </xdr:sp>
    <xdr:clientData fPrintsWithSheet="0"/>
  </xdr:twoCellAnchor>
  <xdr:twoCellAnchor>
    <xdr:from>
      <xdr:col>38</xdr:col>
      <xdr:colOff>116737</xdr:colOff>
      <xdr:row>23</xdr:row>
      <xdr:rowOff>50005</xdr:rowOff>
    </xdr:from>
    <xdr:to>
      <xdr:col>43</xdr:col>
      <xdr:colOff>16612</xdr:colOff>
      <xdr:row>25</xdr:row>
      <xdr:rowOff>141205</xdr:rowOff>
    </xdr:to>
    <xdr:sp macro="[0]!担会ヘルパー印刷" textlink="">
      <xdr:nvSpPr>
        <xdr:cNvPr id="3" name="正方形/長方形 2">
          <a:extLst>
            <a:ext uri="{FF2B5EF4-FFF2-40B4-BE49-F238E27FC236}">
              <a16:creationId xmlns:a16="http://schemas.microsoft.com/office/drawing/2014/main" id="{3FBF2559-24DA-44FB-83DB-2B3F4AD77B5E}"/>
            </a:ext>
          </a:extLst>
        </xdr:cNvPr>
        <xdr:cNvSpPr/>
      </xdr:nvSpPr>
      <xdr:spPr>
        <a:xfrm>
          <a:off x="7717687" y="3555205"/>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ヘルパー</a:t>
          </a:r>
        </a:p>
      </xdr:txBody>
    </xdr:sp>
    <xdr:clientData fPrintsWithSheet="0"/>
  </xdr:twoCellAnchor>
  <xdr:twoCellAnchor>
    <xdr:from>
      <xdr:col>38</xdr:col>
      <xdr:colOff>116737</xdr:colOff>
      <xdr:row>26</xdr:row>
      <xdr:rowOff>100011</xdr:rowOff>
    </xdr:from>
    <xdr:to>
      <xdr:col>43</xdr:col>
      <xdr:colOff>16612</xdr:colOff>
      <xdr:row>29</xdr:row>
      <xdr:rowOff>38811</xdr:rowOff>
    </xdr:to>
    <xdr:sp macro="[0]!担会デイ印刷" textlink="">
      <xdr:nvSpPr>
        <xdr:cNvPr id="7" name="正方形/長方形 6">
          <a:extLst>
            <a:ext uri="{FF2B5EF4-FFF2-40B4-BE49-F238E27FC236}">
              <a16:creationId xmlns:a16="http://schemas.microsoft.com/office/drawing/2014/main" id="{CEC7A13A-A606-4110-91BB-07F014809F46}"/>
            </a:ext>
          </a:extLst>
        </xdr:cNvPr>
        <xdr:cNvSpPr/>
      </xdr:nvSpPr>
      <xdr:spPr>
        <a:xfrm>
          <a:off x="7717687" y="4062411"/>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デイ</a:t>
          </a:r>
        </a:p>
      </xdr:txBody>
    </xdr:sp>
    <xdr:clientData fPrintsWithSheet="0"/>
  </xdr:twoCellAnchor>
  <xdr:twoCellAnchor>
    <xdr:from>
      <xdr:col>38</xdr:col>
      <xdr:colOff>116737</xdr:colOff>
      <xdr:row>29</xdr:row>
      <xdr:rowOff>150017</xdr:rowOff>
    </xdr:from>
    <xdr:to>
      <xdr:col>43</xdr:col>
      <xdr:colOff>16612</xdr:colOff>
      <xdr:row>32</xdr:row>
      <xdr:rowOff>88817</xdr:rowOff>
    </xdr:to>
    <xdr:sp macro="[0]!担会福祉用具印刷" textlink="">
      <xdr:nvSpPr>
        <xdr:cNvPr id="8" name="正方形/長方形 7">
          <a:extLst>
            <a:ext uri="{FF2B5EF4-FFF2-40B4-BE49-F238E27FC236}">
              <a16:creationId xmlns:a16="http://schemas.microsoft.com/office/drawing/2014/main" id="{3BF7110B-8B71-4787-A5C6-4215CDE875F3}"/>
            </a:ext>
          </a:extLst>
        </xdr:cNvPr>
        <xdr:cNvSpPr/>
      </xdr:nvSpPr>
      <xdr:spPr>
        <a:xfrm>
          <a:off x="7717687" y="4569617"/>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福祉用具</a:t>
          </a:r>
        </a:p>
      </xdr:txBody>
    </xdr:sp>
    <xdr:clientData fPrintsWithSheet="0"/>
  </xdr:twoCellAnchor>
  <xdr:twoCellAnchor>
    <xdr:from>
      <xdr:col>38</xdr:col>
      <xdr:colOff>116737</xdr:colOff>
      <xdr:row>33</xdr:row>
      <xdr:rowOff>47625</xdr:rowOff>
    </xdr:from>
    <xdr:to>
      <xdr:col>43</xdr:col>
      <xdr:colOff>16612</xdr:colOff>
      <xdr:row>35</xdr:row>
      <xdr:rowOff>138825</xdr:rowOff>
    </xdr:to>
    <xdr:sp macro="[0]!担会ローレル印刷" textlink="">
      <xdr:nvSpPr>
        <xdr:cNvPr id="9" name="正方形/長方形 8">
          <a:extLst>
            <a:ext uri="{FF2B5EF4-FFF2-40B4-BE49-F238E27FC236}">
              <a16:creationId xmlns:a16="http://schemas.microsoft.com/office/drawing/2014/main" id="{E0B84683-25D2-4E6D-8AFA-CA3F2B5D49F1}"/>
            </a:ext>
          </a:extLst>
        </xdr:cNvPr>
        <xdr:cNvSpPr/>
      </xdr:nvSpPr>
      <xdr:spPr>
        <a:xfrm>
          <a:off x="7717687" y="5076825"/>
          <a:ext cx="900000" cy="396000"/>
        </a:xfrm>
        <a:prstGeom prst="rect">
          <a:avLst/>
        </a:prstGeom>
        <a:solidFill>
          <a:schemeClr val="bg1"/>
        </a:solid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0">
              <a:solidFill>
                <a:sysClr val="windowText" lastClr="000000"/>
              </a:solidFill>
              <a:latin typeface="HG丸ｺﾞｼｯｸM-PRO" panose="020F0600000000000000" pitchFamily="50" charset="-128"/>
              <a:ea typeface="HG丸ｺﾞｼｯｸM-PRO" panose="020F0600000000000000" pitchFamily="50" charset="-128"/>
            </a:rPr>
            <a:t>ローレル</a:t>
          </a:r>
        </a:p>
      </xdr:txBody>
    </xdr:sp>
    <xdr:clientData fPrintsWithSheet="0"/>
  </xdr:twoCellAnchor>
  <xdr:twoCellAnchor>
    <xdr:from>
      <xdr:col>38</xdr:col>
      <xdr:colOff>0</xdr:colOff>
      <xdr:row>18</xdr:row>
      <xdr:rowOff>47626</xdr:rowOff>
    </xdr:from>
    <xdr:to>
      <xdr:col>43</xdr:col>
      <xdr:colOff>133350</xdr:colOff>
      <xdr:row>36</xdr:row>
      <xdr:rowOff>104776</xdr:rowOff>
    </xdr:to>
    <xdr:sp macro="" textlink="">
      <xdr:nvSpPr>
        <xdr:cNvPr id="11" name="正方形/長方形 10">
          <a:extLst>
            <a:ext uri="{FF2B5EF4-FFF2-40B4-BE49-F238E27FC236}">
              <a16:creationId xmlns:a16="http://schemas.microsoft.com/office/drawing/2014/main" id="{B2283434-9A3B-373F-EB37-FAE75B4CB479}"/>
            </a:ext>
          </a:extLst>
        </xdr:cNvPr>
        <xdr:cNvSpPr/>
      </xdr:nvSpPr>
      <xdr:spPr>
        <a:xfrm>
          <a:off x="7600950" y="2790826"/>
          <a:ext cx="1133475" cy="2800350"/>
        </a:xfrm>
        <a:prstGeom prst="rect">
          <a:avLst/>
        </a:prstGeom>
        <a:no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57150</xdr:colOff>
      <xdr:row>17</xdr:row>
      <xdr:rowOff>47625</xdr:rowOff>
    </xdr:from>
    <xdr:to>
      <xdr:col>42</xdr:col>
      <xdr:colOff>76200</xdr:colOff>
      <xdr:row>19</xdr:row>
      <xdr:rowOff>47625</xdr:rowOff>
    </xdr:to>
    <xdr:sp macro="" textlink="">
      <xdr:nvSpPr>
        <xdr:cNvPr id="10" name="テキスト ボックス 9">
          <a:extLst>
            <a:ext uri="{FF2B5EF4-FFF2-40B4-BE49-F238E27FC236}">
              <a16:creationId xmlns:a16="http://schemas.microsoft.com/office/drawing/2014/main" id="{1CEDEFD2-580B-8C20-2852-E7434C3AA307}"/>
            </a:ext>
          </a:extLst>
        </xdr:cNvPr>
        <xdr:cNvSpPr txBox="1"/>
      </xdr:nvSpPr>
      <xdr:spPr>
        <a:xfrm>
          <a:off x="7858125" y="2638425"/>
          <a:ext cx="619125" cy="304800"/>
        </a:xfrm>
        <a:prstGeom prst="rect">
          <a:avLst/>
        </a:prstGeom>
        <a:solidFill>
          <a:schemeClr val="bg1"/>
        </a:solidFill>
        <a:ln w="28575" cmpd="sng">
          <a:solidFill>
            <a:srgbClr val="FF99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a:latin typeface="HG丸ｺﾞｼｯｸM-PRO" panose="020F0600000000000000" pitchFamily="50" charset="-128"/>
              <a:ea typeface="HG丸ｺﾞｼｯｸM-PRO" panose="020F0600000000000000" pitchFamily="50" charset="-128"/>
            </a:rPr>
            <a:t>印刷</a:t>
          </a:r>
          <a:endParaRPr kumimoji="1" lang="en-US" altLang="ja-JP" sz="1600">
            <a:latin typeface="HG丸ｺﾞｼｯｸM-PRO" panose="020F0600000000000000" pitchFamily="50" charset="-128"/>
            <a:ea typeface="HG丸ｺﾞｼｯｸM-PRO" panose="020F0600000000000000" pitchFamily="50"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24</xdr:col>
      <xdr:colOff>66675</xdr:colOff>
      <xdr:row>0</xdr:row>
      <xdr:rowOff>19050</xdr:rowOff>
    </xdr:from>
    <xdr:to>
      <xdr:col>28</xdr:col>
      <xdr:colOff>133350</xdr:colOff>
      <xdr:row>5</xdr:row>
      <xdr:rowOff>123825</xdr:rowOff>
    </xdr:to>
    <xdr:sp macro="" textlink="" fLocksText="0">
      <xdr:nvSpPr>
        <xdr:cNvPr id="2" name="円/楕円 4">
          <a:extLst>
            <a:ext uri="{FF2B5EF4-FFF2-40B4-BE49-F238E27FC236}">
              <a16:creationId xmlns:a16="http://schemas.microsoft.com/office/drawing/2014/main" id="{9348A339-86D3-4BDC-B852-832CDADE1343}"/>
            </a:ext>
          </a:extLst>
        </xdr:cNvPr>
        <xdr:cNvSpPr>
          <a:spLocks noChangeArrowheads="1"/>
        </xdr:cNvSpPr>
      </xdr:nvSpPr>
      <xdr:spPr bwMode="auto">
        <a:xfrm>
          <a:off x="5905500" y="19050"/>
          <a:ext cx="866775" cy="895350"/>
        </a:xfrm>
        <a:prstGeom prst="ellipse">
          <a:avLst/>
        </a:prstGeom>
        <a:solidFill>
          <a:srgbClr val="FFFFFF"/>
        </a:solidFill>
        <a:ln w="9525" algn="ctr">
          <a:solidFill>
            <a:srgbClr val="000000"/>
          </a:solidFill>
          <a:prstDash val="sysDash"/>
          <a:round/>
          <a:headEnd/>
          <a:tailEnd/>
        </a:ln>
      </xdr:spPr>
    </xdr:sp>
    <xdr:clientData/>
  </xdr:twoCellAnchor>
  <xdr:twoCellAnchor>
    <xdr:from>
      <xdr:col>9</xdr:col>
      <xdr:colOff>76200</xdr:colOff>
      <xdr:row>10</xdr:row>
      <xdr:rowOff>381000</xdr:rowOff>
    </xdr:from>
    <xdr:to>
      <xdr:col>13</xdr:col>
      <xdr:colOff>38100</xdr:colOff>
      <xdr:row>12</xdr:row>
      <xdr:rowOff>47625</xdr:rowOff>
    </xdr:to>
    <xdr:sp macro="" textlink="">
      <xdr:nvSpPr>
        <xdr:cNvPr id="3" name="円/楕円 1">
          <a:extLst>
            <a:ext uri="{FF2B5EF4-FFF2-40B4-BE49-F238E27FC236}">
              <a16:creationId xmlns:a16="http://schemas.microsoft.com/office/drawing/2014/main" id="{6A19F093-A650-4190-AA83-85E922B5608A}"/>
            </a:ext>
          </a:extLst>
        </xdr:cNvPr>
        <xdr:cNvSpPr>
          <a:spLocks noChangeArrowheads="1"/>
        </xdr:cNvSpPr>
      </xdr:nvSpPr>
      <xdr:spPr bwMode="auto">
        <a:xfrm>
          <a:off x="2314575" y="2638425"/>
          <a:ext cx="1104900" cy="257175"/>
        </a:xfrm>
        <a:prstGeom prst="ellipse">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195300</xdr:colOff>
      <xdr:row>0</xdr:row>
      <xdr:rowOff>0</xdr:rowOff>
    </xdr:from>
    <xdr:to>
      <xdr:col>36</xdr:col>
      <xdr:colOff>100050</xdr:colOff>
      <xdr:row>7</xdr:row>
      <xdr:rowOff>41275</xdr:rowOff>
    </xdr:to>
    <xdr:pic>
      <xdr:nvPicPr>
        <xdr:cNvPr id="6" name="図 5">
          <a:hlinkClick xmlns:r="http://schemas.openxmlformats.org/officeDocument/2006/relationships" r:id="rId1"/>
          <a:extLst>
            <a:ext uri="{FF2B5EF4-FFF2-40B4-BE49-F238E27FC236}">
              <a16:creationId xmlns:a16="http://schemas.microsoft.com/office/drawing/2014/main" id="{64BADCA4-D9DF-4B05-BEA0-36662E2769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4325" y="0"/>
          <a:ext cx="895350" cy="1193800"/>
        </a:xfrm>
        <a:prstGeom prst="ellipse">
          <a:avLst/>
        </a:prstGeom>
        <a:ln>
          <a:noFill/>
        </a:ln>
        <a:effectLst>
          <a:softEdge rad="112500"/>
        </a:effectLst>
      </xdr:spPr>
    </xdr:pic>
    <xdr:clientData fPrintsWithSheet="0"/>
  </xdr:twoCellAnchor>
  <xdr:twoCellAnchor>
    <xdr:from>
      <xdr:col>32</xdr:col>
      <xdr:colOff>104775</xdr:colOff>
      <xdr:row>8</xdr:row>
      <xdr:rowOff>552449</xdr:rowOff>
    </xdr:from>
    <xdr:to>
      <xdr:col>36</xdr:col>
      <xdr:colOff>190575</xdr:colOff>
      <xdr:row>10</xdr:row>
      <xdr:rowOff>142049</xdr:rowOff>
    </xdr:to>
    <xdr:sp macro="[0]!A4両面印刷" textlink="">
      <xdr:nvSpPr>
        <xdr:cNvPr id="7" name="正方形/長方形 6">
          <a:extLst>
            <a:ext uri="{FF2B5EF4-FFF2-40B4-BE49-F238E27FC236}">
              <a16:creationId xmlns:a16="http://schemas.microsoft.com/office/drawing/2014/main" id="{AEF1EED9-7E7C-4140-BB48-4CB8FC0A7539}"/>
            </a:ext>
          </a:extLst>
        </xdr:cNvPr>
        <xdr:cNvSpPr/>
      </xdr:nvSpPr>
      <xdr:spPr>
        <a:xfrm>
          <a:off x="7543800"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32</xdr:col>
      <xdr:colOff>104812</xdr:colOff>
      <xdr:row>7</xdr:row>
      <xdr:rowOff>66675</xdr:rowOff>
    </xdr:from>
    <xdr:to>
      <xdr:col>36</xdr:col>
      <xdr:colOff>190538</xdr:colOff>
      <xdr:row>8</xdr:row>
      <xdr:rowOff>381000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93E0984E-39D0-439B-9A12-42551E90597E}"/>
            </a:ext>
          </a:extLst>
        </xdr:cNvPr>
        <xdr:cNvSpPr/>
      </xdr:nvSpPr>
      <xdr:spPr>
        <a:xfrm>
          <a:off x="7543837"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66675</xdr:colOff>
      <xdr:row>0</xdr:row>
      <xdr:rowOff>19050</xdr:rowOff>
    </xdr:from>
    <xdr:to>
      <xdr:col>28</xdr:col>
      <xdr:colOff>133350</xdr:colOff>
      <xdr:row>5</xdr:row>
      <xdr:rowOff>123825</xdr:rowOff>
    </xdr:to>
    <xdr:sp macro="" textlink="" fLocksText="0">
      <xdr:nvSpPr>
        <xdr:cNvPr id="4" name="円/楕円 4">
          <a:extLst>
            <a:ext uri="{FF2B5EF4-FFF2-40B4-BE49-F238E27FC236}">
              <a16:creationId xmlns:a16="http://schemas.microsoft.com/office/drawing/2014/main" id="{746B6F78-6C1A-406B-BFDD-26B91131ACE5}"/>
            </a:ext>
          </a:extLst>
        </xdr:cNvPr>
        <xdr:cNvSpPr>
          <a:spLocks noChangeArrowheads="1"/>
        </xdr:cNvSpPr>
      </xdr:nvSpPr>
      <xdr:spPr bwMode="auto">
        <a:xfrm>
          <a:off x="5905500" y="19050"/>
          <a:ext cx="866775" cy="895350"/>
        </a:xfrm>
        <a:prstGeom prst="ellipse">
          <a:avLst/>
        </a:prstGeom>
        <a:solidFill>
          <a:srgbClr val="FFFFFF"/>
        </a:solidFill>
        <a:ln w="9525" algn="ctr">
          <a:solidFill>
            <a:srgbClr val="000000"/>
          </a:solidFill>
          <a:prstDash val="sysDash"/>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57150</xdr:colOff>
      <xdr:row>0</xdr:row>
      <xdr:rowOff>19050</xdr:rowOff>
    </xdr:from>
    <xdr:to>
      <xdr:col>28</xdr:col>
      <xdr:colOff>123825</xdr:colOff>
      <xdr:row>5</xdr:row>
      <xdr:rowOff>123825</xdr:rowOff>
    </xdr:to>
    <xdr:sp macro="" textlink="">
      <xdr:nvSpPr>
        <xdr:cNvPr id="2" name="円/楕円 2">
          <a:extLst>
            <a:ext uri="{FF2B5EF4-FFF2-40B4-BE49-F238E27FC236}">
              <a16:creationId xmlns:a16="http://schemas.microsoft.com/office/drawing/2014/main" id="{58DCEBC1-62DC-4712-85B2-2A4B9A5271DF}"/>
            </a:ext>
          </a:extLst>
        </xdr:cNvPr>
        <xdr:cNvSpPr>
          <a:spLocks noChangeArrowheads="1"/>
        </xdr:cNvSpPr>
      </xdr:nvSpPr>
      <xdr:spPr bwMode="auto">
        <a:xfrm>
          <a:off x="5895975" y="19050"/>
          <a:ext cx="866775" cy="895350"/>
        </a:xfrm>
        <a:prstGeom prst="ellipse">
          <a:avLst/>
        </a:prstGeom>
        <a:solidFill>
          <a:srgbClr val="FFFFFF"/>
        </a:solidFill>
        <a:ln w="9525" algn="ctr">
          <a:solidFill>
            <a:srgbClr val="000000"/>
          </a:solidFill>
          <a:prstDash val="sysDash"/>
          <a:round/>
          <a:headEnd/>
          <a:tailEnd/>
        </a:ln>
      </xdr:spPr>
    </xdr:sp>
    <xdr:clientData/>
  </xdr:twoCellAnchor>
  <xdr:twoCellAnchor>
    <xdr:from>
      <xdr:col>9</xdr:col>
      <xdr:colOff>76200</xdr:colOff>
      <xdr:row>10</xdr:row>
      <xdr:rowOff>371475</xdr:rowOff>
    </xdr:from>
    <xdr:to>
      <xdr:col>13</xdr:col>
      <xdr:colOff>38100</xdr:colOff>
      <xdr:row>12</xdr:row>
      <xdr:rowOff>38100</xdr:rowOff>
    </xdr:to>
    <xdr:sp macro="" textlink="">
      <xdr:nvSpPr>
        <xdr:cNvPr id="3" name="円/楕円 1">
          <a:extLst>
            <a:ext uri="{FF2B5EF4-FFF2-40B4-BE49-F238E27FC236}">
              <a16:creationId xmlns:a16="http://schemas.microsoft.com/office/drawing/2014/main" id="{9BB223E2-F71B-4081-9C74-0D80C490DBFC}"/>
            </a:ext>
          </a:extLst>
        </xdr:cNvPr>
        <xdr:cNvSpPr>
          <a:spLocks noChangeArrowheads="1"/>
        </xdr:cNvSpPr>
      </xdr:nvSpPr>
      <xdr:spPr bwMode="auto">
        <a:xfrm>
          <a:off x="2314575" y="2628900"/>
          <a:ext cx="1104900" cy="257175"/>
        </a:xfrm>
        <a:prstGeom prst="ellipse">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32</xdr:col>
      <xdr:colOff>242925</xdr:colOff>
      <xdr:row>0</xdr:row>
      <xdr:rowOff>0</xdr:rowOff>
    </xdr:from>
    <xdr:to>
      <xdr:col>36</xdr:col>
      <xdr:colOff>147675</xdr:colOff>
      <xdr:row>7</xdr:row>
      <xdr:rowOff>41275</xdr:rowOff>
    </xdr:to>
    <xdr:pic>
      <xdr:nvPicPr>
        <xdr:cNvPr id="5" name="図 4">
          <a:hlinkClick xmlns:r="http://schemas.openxmlformats.org/officeDocument/2006/relationships" r:id="rId1"/>
          <a:extLst>
            <a:ext uri="{FF2B5EF4-FFF2-40B4-BE49-F238E27FC236}">
              <a16:creationId xmlns:a16="http://schemas.microsoft.com/office/drawing/2014/main" id="{6AEB7EFD-1012-4784-8514-B7AEDBBA61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81950" y="0"/>
          <a:ext cx="895350" cy="1193800"/>
        </a:xfrm>
        <a:prstGeom prst="ellipse">
          <a:avLst/>
        </a:prstGeom>
        <a:ln>
          <a:noFill/>
        </a:ln>
        <a:effectLst>
          <a:softEdge rad="112500"/>
        </a:effectLst>
      </xdr:spPr>
    </xdr:pic>
    <xdr:clientData fPrintsWithSheet="0"/>
  </xdr:twoCellAnchor>
  <xdr:twoCellAnchor>
    <xdr:from>
      <xdr:col>32</xdr:col>
      <xdr:colOff>152400</xdr:colOff>
      <xdr:row>8</xdr:row>
      <xdr:rowOff>552449</xdr:rowOff>
    </xdr:from>
    <xdr:to>
      <xdr:col>36</xdr:col>
      <xdr:colOff>238200</xdr:colOff>
      <xdr:row>10</xdr:row>
      <xdr:rowOff>142049</xdr:rowOff>
    </xdr:to>
    <xdr:sp macro="[0]!A4両面印刷" textlink="">
      <xdr:nvSpPr>
        <xdr:cNvPr id="6" name="正方形/長方形 5">
          <a:extLst>
            <a:ext uri="{FF2B5EF4-FFF2-40B4-BE49-F238E27FC236}">
              <a16:creationId xmlns:a16="http://schemas.microsoft.com/office/drawing/2014/main" id="{07C4C8B1-91DC-4B2D-97F9-4D8569870CE0}"/>
            </a:ext>
          </a:extLst>
        </xdr:cNvPr>
        <xdr:cNvSpPr/>
      </xdr:nvSpPr>
      <xdr:spPr>
        <a:xfrm>
          <a:off x="7591425"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32</xdr:col>
      <xdr:colOff>152437</xdr:colOff>
      <xdr:row>7</xdr:row>
      <xdr:rowOff>66675</xdr:rowOff>
    </xdr:from>
    <xdr:to>
      <xdr:col>36</xdr:col>
      <xdr:colOff>238163</xdr:colOff>
      <xdr:row>8</xdr:row>
      <xdr:rowOff>381000</xdr:rowOff>
    </xdr:to>
    <xdr:sp macro="" textlink="">
      <xdr:nvSpPr>
        <xdr:cNvPr id="8" name="正方形/長方形 7">
          <a:hlinkClick xmlns:r="http://schemas.openxmlformats.org/officeDocument/2006/relationships" r:id="rId3"/>
          <a:extLst>
            <a:ext uri="{FF2B5EF4-FFF2-40B4-BE49-F238E27FC236}">
              <a16:creationId xmlns:a16="http://schemas.microsoft.com/office/drawing/2014/main" id="{141BE93B-8527-4089-919E-950B0B89BB39}"/>
            </a:ext>
          </a:extLst>
        </xdr:cNvPr>
        <xdr:cNvSpPr/>
      </xdr:nvSpPr>
      <xdr:spPr>
        <a:xfrm>
          <a:off x="7591462"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24</xdr:col>
      <xdr:colOff>57150</xdr:colOff>
      <xdr:row>0</xdr:row>
      <xdr:rowOff>19050</xdr:rowOff>
    </xdr:from>
    <xdr:to>
      <xdr:col>28</xdr:col>
      <xdr:colOff>123825</xdr:colOff>
      <xdr:row>5</xdr:row>
      <xdr:rowOff>123825</xdr:rowOff>
    </xdr:to>
    <xdr:sp macro="" textlink="">
      <xdr:nvSpPr>
        <xdr:cNvPr id="4" name="円/楕円 2">
          <a:extLst>
            <a:ext uri="{FF2B5EF4-FFF2-40B4-BE49-F238E27FC236}">
              <a16:creationId xmlns:a16="http://schemas.microsoft.com/office/drawing/2014/main" id="{BA3BB39C-C1C3-44C6-9974-C5C9E217DD3E}"/>
            </a:ext>
          </a:extLst>
        </xdr:cNvPr>
        <xdr:cNvSpPr>
          <a:spLocks noChangeArrowheads="1"/>
        </xdr:cNvSpPr>
      </xdr:nvSpPr>
      <xdr:spPr bwMode="auto">
        <a:xfrm>
          <a:off x="5895975" y="19050"/>
          <a:ext cx="866775" cy="895350"/>
        </a:xfrm>
        <a:prstGeom prst="ellipse">
          <a:avLst/>
        </a:prstGeom>
        <a:solidFill>
          <a:srgbClr val="FFFFFF"/>
        </a:solidFill>
        <a:ln w="9525" algn="ctr">
          <a:solidFill>
            <a:srgbClr val="000000"/>
          </a:solidFill>
          <a:prstDash val="sysDash"/>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328650</xdr:colOff>
      <xdr:row>2</xdr:row>
      <xdr:rowOff>0</xdr:rowOff>
    </xdr:from>
    <xdr:to>
      <xdr:col>5</xdr:col>
      <xdr:colOff>1224000</xdr:colOff>
      <xdr:row>8</xdr:row>
      <xdr:rowOff>222250</xdr:rowOff>
    </xdr:to>
    <xdr:pic>
      <xdr:nvPicPr>
        <xdr:cNvPr id="10" name="図 9">
          <a:hlinkClick xmlns:r="http://schemas.openxmlformats.org/officeDocument/2006/relationships" r:id="rId1"/>
          <a:extLst>
            <a:ext uri="{FF2B5EF4-FFF2-40B4-BE49-F238E27FC236}">
              <a16:creationId xmlns:a16="http://schemas.microsoft.com/office/drawing/2014/main" id="{514E9C23-C6DE-40D1-9384-2CB4262A253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34125" y="342900"/>
          <a:ext cx="895350" cy="1193800"/>
        </a:xfrm>
        <a:prstGeom prst="ellipse">
          <a:avLst/>
        </a:prstGeom>
        <a:ln>
          <a:noFill/>
        </a:ln>
        <a:effectLst>
          <a:softEdge rad="112500"/>
        </a:effectLst>
      </xdr:spPr>
    </xdr:pic>
    <xdr:clientData fPrintsWithSheet="0"/>
  </xdr:twoCellAnchor>
  <xdr:twoCellAnchor>
    <xdr:from>
      <xdr:col>5</xdr:col>
      <xdr:colOff>238125</xdr:colOff>
      <xdr:row>10</xdr:row>
      <xdr:rowOff>257174</xdr:rowOff>
    </xdr:from>
    <xdr:to>
      <xdr:col>5</xdr:col>
      <xdr:colOff>1314525</xdr:colOff>
      <xdr:row>13</xdr:row>
      <xdr:rowOff>84899</xdr:rowOff>
    </xdr:to>
    <xdr:sp macro="[0]!A4両面印刷" textlink="">
      <xdr:nvSpPr>
        <xdr:cNvPr id="11" name="正方形/長方形 10">
          <a:extLst>
            <a:ext uri="{FF2B5EF4-FFF2-40B4-BE49-F238E27FC236}">
              <a16:creationId xmlns:a16="http://schemas.microsoft.com/office/drawing/2014/main" id="{729F71AD-ED4B-4F31-B816-4F6978BF50F0}"/>
            </a:ext>
          </a:extLst>
        </xdr:cNvPr>
        <xdr:cNvSpPr/>
      </xdr:nvSpPr>
      <xdr:spPr>
        <a:xfrm>
          <a:off x="5943600" y="22383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5</xdr:col>
      <xdr:colOff>238162</xdr:colOff>
      <xdr:row>8</xdr:row>
      <xdr:rowOff>247650</xdr:rowOff>
    </xdr:from>
    <xdr:to>
      <xdr:col>5</xdr:col>
      <xdr:colOff>1314488</xdr:colOff>
      <xdr:row>10</xdr:row>
      <xdr:rowOff>85725</xdr:rowOff>
    </xdr:to>
    <xdr:sp macro="" textlink="">
      <xdr:nvSpPr>
        <xdr:cNvPr id="12" name="正方形/長方形 11">
          <a:hlinkClick xmlns:r="http://schemas.openxmlformats.org/officeDocument/2006/relationships" r:id="rId3"/>
          <a:extLst>
            <a:ext uri="{FF2B5EF4-FFF2-40B4-BE49-F238E27FC236}">
              <a16:creationId xmlns:a16="http://schemas.microsoft.com/office/drawing/2014/main" id="{3013BEBF-B41B-48FD-A404-06C62315BA87}"/>
            </a:ext>
          </a:extLst>
        </xdr:cNvPr>
        <xdr:cNvSpPr/>
      </xdr:nvSpPr>
      <xdr:spPr>
        <a:xfrm>
          <a:off x="5943637" y="15621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0</xdr:col>
      <xdr:colOff>600075</xdr:colOff>
      <xdr:row>9</xdr:row>
      <xdr:rowOff>238125</xdr:rowOff>
    </xdr:from>
    <xdr:to>
      <xdr:col>3</xdr:col>
      <xdr:colOff>495300</xdr:colOff>
      <xdr:row>13</xdr:row>
      <xdr:rowOff>114300</xdr:rowOff>
    </xdr:to>
    <xdr:sp macro="" textlink="">
      <xdr:nvSpPr>
        <xdr:cNvPr id="14" name="楕円 13">
          <a:extLst>
            <a:ext uri="{FF2B5EF4-FFF2-40B4-BE49-F238E27FC236}">
              <a16:creationId xmlns:a16="http://schemas.microsoft.com/office/drawing/2014/main" id="{E0352787-0073-8C3E-218A-36501C60514D}"/>
            </a:ext>
          </a:extLst>
        </xdr:cNvPr>
        <xdr:cNvSpPr/>
      </xdr:nvSpPr>
      <xdr:spPr>
        <a:xfrm>
          <a:off x="600075" y="1885950"/>
          <a:ext cx="3505200" cy="885825"/>
        </a:xfrm>
        <a:prstGeom prst="ellipse">
          <a:avLst/>
        </a:prstGeom>
        <a:solidFill>
          <a:srgbClr val="FFFFFF"/>
        </a:solidFill>
        <a:ln w="38100">
          <a:solidFill>
            <a:srgbClr val="FF747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1800">
              <a:solidFill>
                <a:sysClr val="windowText" lastClr="000000"/>
              </a:solidFill>
              <a:effectLst/>
              <a:latin typeface="HG丸ｺﾞｼｯｸM-PRO" panose="020F0600000000000000" pitchFamily="50" charset="-128"/>
              <a:ea typeface="HG丸ｺﾞｼｯｸM-PRO" panose="020F0600000000000000" pitchFamily="50" charset="-128"/>
              <a:cs typeface="+mn-cs"/>
            </a:rPr>
            <a:t>契約書の添付が必要</a:t>
          </a:r>
          <a:r>
            <a:rPr kumimoji="1" lang="ja-JP" altLang="en-US" sz="1800">
              <a:solidFill>
                <a:sysClr val="windowText" lastClr="000000"/>
              </a:solidFill>
              <a:effectLst/>
              <a:latin typeface="HG丸ｺﾞｼｯｸM-PRO" panose="020F0600000000000000" pitchFamily="50" charset="-128"/>
              <a:ea typeface="HG丸ｺﾞｼｯｸM-PRO" panose="020F0600000000000000" pitchFamily="50" charset="-128"/>
              <a:cs typeface="+mn-cs"/>
            </a:rPr>
            <a:t>！</a:t>
          </a:r>
          <a:endParaRPr lang="ja-JP" altLang="ja-JP" sz="1800">
            <a:solidFill>
              <a:sysClr val="windowText" lastClr="000000"/>
            </a:solidFill>
            <a:effectLst/>
            <a:latin typeface="HG丸ｺﾞｼｯｸM-PRO" panose="020F0600000000000000" pitchFamily="50" charset="-128"/>
            <a:ea typeface="HG丸ｺﾞｼｯｸM-PRO" panose="020F0600000000000000" pitchFamily="50" charset="-128"/>
          </a:endParaRPr>
        </a:p>
        <a:p>
          <a:pPr algn="l"/>
          <a:endParaRPr kumimoji="1" lang="ja-JP" altLang="en-US" sz="180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0</xdr:col>
      <xdr:colOff>190500</xdr:colOff>
      <xdr:row>10</xdr:row>
      <xdr:rowOff>57150</xdr:rowOff>
    </xdr:from>
    <xdr:to>
      <xdr:col>8</xdr:col>
      <xdr:colOff>304800</xdr:colOff>
      <xdr:row>15</xdr:row>
      <xdr:rowOff>123825</xdr:rowOff>
    </xdr:to>
    <xdr:sp macro="" textlink="">
      <xdr:nvSpPr>
        <xdr:cNvPr id="6" name="正方形/長方形 5">
          <a:extLst>
            <a:ext uri="{FF2B5EF4-FFF2-40B4-BE49-F238E27FC236}">
              <a16:creationId xmlns:a16="http://schemas.microsoft.com/office/drawing/2014/main" id="{415B1A30-C63D-6376-67AB-265F26F1EDC9}"/>
            </a:ext>
          </a:extLst>
        </xdr:cNvPr>
        <xdr:cNvSpPr/>
      </xdr:nvSpPr>
      <xdr:spPr>
        <a:xfrm>
          <a:off x="190500" y="2514600"/>
          <a:ext cx="5286375" cy="1409700"/>
        </a:xfrm>
        <a:prstGeom prst="rect">
          <a:avLst/>
        </a:prstGeom>
        <a:solidFill>
          <a:schemeClr val="bg1"/>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1</xdr:col>
      <xdr:colOff>361950</xdr:colOff>
      <xdr:row>11</xdr:row>
      <xdr:rowOff>161925</xdr:rowOff>
    </xdr:from>
    <xdr:to>
      <xdr:col>3</xdr:col>
      <xdr:colOff>190500</xdr:colOff>
      <xdr:row>13</xdr:row>
      <xdr:rowOff>123825</xdr:rowOff>
    </xdr:to>
    <xdr:sp macro="[0]!ヘルパー確認書印刷" textlink="">
      <xdr:nvSpPr>
        <xdr:cNvPr id="2" name="四角形: 角を丸くする 1">
          <a:extLst>
            <a:ext uri="{FF2B5EF4-FFF2-40B4-BE49-F238E27FC236}">
              <a16:creationId xmlns:a16="http://schemas.microsoft.com/office/drawing/2014/main" id="{C8CA57A2-F031-3B78-4954-6A33DA289E12}"/>
            </a:ext>
          </a:extLst>
        </xdr:cNvPr>
        <xdr:cNvSpPr/>
      </xdr:nvSpPr>
      <xdr:spPr>
        <a:xfrm>
          <a:off x="590550"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ヘルパー</a:t>
          </a:r>
        </a:p>
      </xdr:txBody>
    </xdr:sp>
    <xdr:clientData/>
  </xdr:twoCellAnchor>
  <xdr:twoCellAnchor>
    <xdr:from>
      <xdr:col>4</xdr:col>
      <xdr:colOff>138112</xdr:colOff>
      <xdr:row>11</xdr:row>
      <xdr:rowOff>161925</xdr:rowOff>
    </xdr:from>
    <xdr:to>
      <xdr:col>5</xdr:col>
      <xdr:colOff>138112</xdr:colOff>
      <xdr:row>13</xdr:row>
      <xdr:rowOff>123825</xdr:rowOff>
    </xdr:to>
    <xdr:sp macro="[0]!デイ確認書印刷" textlink="">
      <xdr:nvSpPr>
        <xdr:cNvPr id="3" name="四角形: 角を丸くする 2">
          <a:extLst>
            <a:ext uri="{FF2B5EF4-FFF2-40B4-BE49-F238E27FC236}">
              <a16:creationId xmlns:a16="http://schemas.microsoft.com/office/drawing/2014/main" id="{686CF2B9-C1A7-4B5F-8135-4DAA9DA0D027}"/>
            </a:ext>
          </a:extLst>
        </xdr:cNvPr>
        <xdr:cNvSpPr/>
      </xdr:nvSpPr>
      <xdr:spPr>
        <a:xfrm>
          <a:off x="2214562"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デイ</a:t>
          </a:r>
        </a:p>
      </xdr:txBody>
    </xdr:sp>
    <xdr:clientData/>
  </xdr:twoCellAnchor>
  <xdr:twoCellAnchor>
    <xdr:from>
      <xdr:col>5</xdr:col>
      <xdr:colOff>590550</xdr:colOff>
      <xdr:row>11</xdr:row>
      <xdr:rowOff>161925</xdr:rowOff>
    </xdr:from>
    <xdr:to>
      <xdr:col>7</xdr:col>
      <xdr:colOff>600075</xdr:colOff>
      <xdr:row>13</xdr:row>
      <xdr:rowOff>123825</xdr:rowOff>
    </xdr:to>
    <xdr:sp macro="[0]!福祉用具確認書印刷" textlink="">
      <xdr:nvSpPr>
        <xdr:cNvPr id="4" name="四角形: 角を丸くする 3">
          <a:extLst>
            <a:ext uri="{FF2B5EF4-FFF2-40B4-BE49-F238E27FC236}">
              <a16:creationId xmlns:a16="http://schemas.microsoft.com/office/drawing/2014/main" id="{35697E36-AAD6-4FF1-A9F0-E03E66F5BA32}"/>
            </a:ext>
          </a:extLst>
        </xdr:cNvPr>
        <xdr:cNvSpPr/>
      </xdr:nvSpPr>
      <xdr:spPr>
        <a:xfrm>
          <a:off x="3838575" y="2933700"/>
          <a:ext cx="1171575" cy="514350"/>
        </a:xfrm>
        <a:prstGeom prst="roundRect">
          <a:avLst/>
        </a:prstGeom>
        <a:solidFill>
          <a:srgbClr val="FFF0E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latin typeface="HG丸ｺﾞｼｯｸM-PRO" panose="020F0600000000000000" pitchFamily="50" charset="-128"/>
              <a:ea typeface="HG丸ｺﾞｼｯｸM-PRO" panose="020F0600000000000000" pitchFamily="50" charset="-128"/>
            </a:rPr>
            <a:t>福祉用具</a:t>
          </a:r>
        </a:p>
      </xdr:txBody>
    </xdr:sp>
    <xdr:clientData/>
  </xdr:twoCellAnchor>
  <xdr:twoCellAnchor>
    <xdr:from>
      <xdr:col>1</xdr:col>
      <xdr:colOff>104775</xdr:colOff>
      <xdr:row>9</xdr:row>
      <xdr:rowOff>57150</xdr:rowOff>
    </xdr:from>
    <xdr:to>
      <xdr:col>2</xdr:col>
      <xdr:colOff>866775</xdr:colOff>
      <xdr:row>10</xdr:row>
      <xdr:rowOff>247650</xdr:rowOff>
    </xdr:to>
    <xdr:sp macro="" textlink="">
      <xdr:nvSpPr>
        <xdr:cNvPr id="7" name="テキスト ボックス 6">
          <a:extLst>
            <a:ext uri="{FF2B5EF4-FFF2-40B4-BE49-F238E27FC236}">
              <a16:creationId xmlns:a16="http://schemas.microsoft.com/office/drawing/2014/main" id="{25B52508-1358-4DCE-0B8D-6E6C01F9517D}"/>
            </a:ext>
          </a:extLst>
        </xdr:cNvPr>
        <xdr:cNvSpPr txBox="1"/>
      </xdr:nvSpPr>
      <xdr:spPr>
        <a:xfrm>
          <a:off x="333375" y="2200275"/>
          <a:ext cx="11430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kern="1200">
              <a:latin typeface="HG丸ｺﾞｼｯｸM-PRO" panose="020F0600000000000000" pitchFamily="50" charset="-128"/>
              <a:ea typeface="HG丸ｺﾞｼｯｸM-PRO" panose="020F0600000000000000" pitchFamily="50" charset="-128"/>
            </a:rPr>
            <a:t>印刷</a:t>
          </a:r>
        </a:p>
      </xdr:txBody>
    </xdr:sp>
    <xdr:clientData/>
  </xdr:twoCellAnchor>
  <xdr:twoCellAnchor editAs="oneCell">
    <xdr:from>
      <xdr:col>8</xdr:col>
      <xdr:colOff>804900</xdr:colOff>
      <xdr:row>0</xdr:row>
      <xdr:rowOff>19050</xdr:rowOff>
    </xdr:from>
    <xdr:to>
      <xdr:col>8</xdr:col>
      <xdr:colOff>1700250</xdr:colOff>
      <xdr:row>5</xdr:row>
      <xdr:rowOff>12700</xdr:rowOff>
    </xdr:to>
    <xdr:pic>
      <xdr:nvPicPr>
        <xdr:cNvPr id="8" name="図 7">
          <a:hlinkClick xmlns:r="http://schemas.openxmlformats.org/officeDocument/2006/relationships" r:id="rId1"/>
          <a:extLst>
            <a:ext uri="{FF2B5EF4-FFF2-40B4-BE49-F238E27FC236}">
              <a16:creationId xmlns:a16="http://schemas.microsoft.com/office/drawing/2014/main" id="{2E7AD177-8B13-478D-9B64-235B9E67AB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76975" y="19050"/>
          <a:ext cx="895350" cy="1193800"/>
        </a:xfrm>
        <a:prstGeom prst="ellipse">
          <a:avLst/>
        </a:prstGeom>
        <a:ln>
          <a:noFill/>
        </a:ln>
        <a:effectLst>
          <a:softEdge rad="112500"/>
        </a:effectLst>
      </xdr:spPr>
    </xdr:pic>
    <xdr:clientData fPrintsWithSheet="0"/>
  </xdr:twoCellAnchor>
  <xdr:twoCellAnchor>
    <xdr:from>
      <xdr:col>8</xdr:col>
      <xdr:colOff>714412</xdr:colOff>
      <xdr:row>5</xdr:row>
      <xdr:rowOff>38100</xdr:rowOff>
    </xdr:from>
    <xdr:to>
      <xdr:col>8</xdr:col>
      <xdr:colOff>1790738</xdr:colOff>
      <xdr:row>7</xdr:row>
      <xdr:rowOff>57150</xdr:rowOff>
    </xdr:to>
    <xdr:sp macro="" textlink="">
      <xdr:nvSpPr>
        <xdr:cNvPr id="10" name="正方形/長方形 9">
          <a:hlinkClick xmlns:r="http://schemas.openxmlformats.org/officeDocument/2006/relationships" r:id="rId3"/>
          <a:extLst>
            <a:ext uri="{FF2B5EF4-FFF2-40B4-BE49-F238E27FC236}">
              <a16:creationId xmlns:a16="http://schemas.microsoft.com/office/drawing/2014/main" id="{0773CA8B-4DCC-458A-A757-5F98CB43AB37}"/>
            </a:ext>
          </a:extLst>
        </xdr:cNvPr>
        <xdr:cNvSpPr/>
      </xdr:nvSpPr>
      <xdr:spPr>
        <a:xfrm>
          <a:off x="5886487" y="123825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xdr:twoCellAnchor>
    <xdr:from>
      <xdr:col>1</xdr:col>
      <xdr:colOff>104775</xdr:colOff>
      <xdr:row>9</xdr:row>
      <xdr:rowOff>57150</xdr:rowOff>
    </xdr:from>
    <xdr:to>
      <xdr:col>2</xdr:col>
      <xdr:colOff>866775</xdr:colOff>
      <xdr:row>10</xdr:row>
      <xdr:rowOff>247650</xdr:rowOff>
    </xdr:to>
    <xdr:sp macro="" textlink="">
      <xdr:nvSpPr>
        <xdr:cNvPr id="13" name="テキスト ボックス 12">
          <a:extLst>
            <a:ext uri="{FF2B5EF4-FFF2-40B4-BE49-F238E27FC236}">
              <a16:creationId xmlns:a16="http://schemas.microsoft.com/office/drawing/2014/main" id="{831EDB5F-34D7-4A34-A26C-7D2030A18D9D}"/>
            </a:ext>
          </a:extLst>
        </xdr:cNvPr>
        <xdr:cNvSpPr txBox="1"/>
      </xdr:nvSpPr>
      <xdr:spPr>
        <a:xfrm>
          <a:off x="333375" y="2219325"/>
          <a:ext cx="1143000" cy="50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kern="1200">
              <a:latin typeface="HG丸ｺﾞｼｯｸM-PRO" panose="020F0600000000000000" pitchFamily="50" charset="-128"/>
              <a:ea typeface="HG丸ｺﾞｼｯｸM-PRO" panose="020F0600000000000000" pitchFamily="50" charset="-128"/>
            </a:rPr>
            <a:t>印刷</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6</xdr:row>
          <xdr:rowOff>19050</xdr:rowOff>
        </xdr:from>
        <xdr:to>
          <xdr:col>6</xdr:col>
          <xdr:colOff>361950</xdr:colOff>
          <xdr:row>6</xdr:row>
          <xdr:rowOff>266700</xdr:rowOff>
        </xdr:to>
        <xdr:sp macro="" textlink="">
          <xdr:nvSpPr>
            <xdr:cNvPr id="69635" name="Check Box 3" hidden="1">
              <a:extLst>
                <a:ext uri="{63B3BB69-23CF-44E3-9099-C40C66FF867C}">
                  <a14:compatExt spid="_x0000_s69635"/>
                </a:ext>
                <a:ext uri="{FF2B5EF4-FFF2-40B4-BE49-F238E27FC236}">
                  <a16:creationId xmlns:a16="http://schemas.microsoft.com/office/drawing/2014/main" id="{00000000-0008-0000-1000-00000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6</xdr:row>
          <xdr:rowOff>19050</xdr:rowOff>
        </xdr:from>
        <xdr:to>
          <xdr:col>9</xdr:col>
          <xdr:colOff>361950</xdr:colOff>
          <xdr:row>6</xdr:row>
          <xdr:rowOff>266700</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10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xdr:row>
          <xdr:rowOff>19050</xdr:rowOff>
        </xdr:from>
        <xdr:to>
          <xdr:col>12</xdr:col>
          <xdr:colOff>361950</xdr:colOff>
          <xdr:row>6</xdr:row>
          <xdr:rowOff>266700</xdr:rowOff>
        </xdr:to>
        <xdr:sp macro="" textlink="">
          <xdr:nvSpPr>
            <xdr:cNvPr id="69637" name="Check Box 5" hidden="1">
              <a:extLst>
                <a:ext uri="{63B3BB69-23CF-44E3-9099-C40C66FF867C}">
                  <a14:compatExt spid="_x0000_s69637"/>
                </a:ext>
                <a:ext uri="{FF2B5EF4-FFF2-40B4-BE49-F238E27FC236}">
                  <a16:creationId xmlns:a16="http://schemas.microsoft.com/office/drawing/2014/main" id="{00000000-0008-0000-1000-000005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9525</xdr:rowOff>
        </xdr:from>
        <xdr:to>
          <xdr:col>2</xdr:col>
          <xdr:colOff>333375</xdr:colOff>
          <xdr:row>9</xdr:row>
          <xdr:rowOff>0</xdr:rowOff>
        </xdr:to>
        <xdr:sp macro="" textlink="">
          <xdr:nvSpPr>
            <xdr:cNvPr id="69647" name="Check Box 15" hidden="1">
              <a:extLst>
                <a:ext uri="{63B3BB69-23CF-44E3-9099-C40C66FF867C}">
                  <a14:compatExt spid="_x0000_s69647"/>
                </a:ext>
                <a:ext uri="{FF2B5EF4-FFF2-40B4-BE49-F238E27FC236}">
                  <a16:creationId xmlns:a16="http://schemas.microsoft.com/office/drawing/2014/main" id="{00000000-0008-0000-1000-00000F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9525</xdr:rowOff>
        </xdr:from>
        <xdr:to>
          <xdr:col>2</xdr:col>
          <xdr:colOff>333375</xdr:colOff>
          <xdr:row>10</xdr:row>
          <xdr:rowOff>0</xdr:rowOff>
        </xdr:to>
        <xdr:sp macro="" textlink="">
          <xdr:nvSpPr>
            <xdr:cNvPr id="69648" name="Check Box 16" hidden="1">
              <a:extLst>
                <a:ext uri="{63B3BB69-23CF-44E3-9099-C40C66FF867C}">
                  <a14:compatExt spid="_x0000_s69648"/>
                </a:ext>
                <a:ext uri="{FF2B5EF4-FFF2-40B4-BE49-F238E27FC236}">
                  <a16:creationId xmlns:a16="http://schemas.microsoft.com/office/drawing/2014/main" id="{00000000-0008-0000-1000-000010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9525</xdr:rowOff>
        </xdr:from>
        <xdr:to>
          <xdr:col>2</xdr:col>
          <xdr:colOff>333375</xdr:colOff>
          <xdr:row>11</xdr:row>
          <xdr:rowOff>0</xdr:rowOff>
        </xdr:to>
        <xdr:sp macro="" textlink="">
          <xdr:nvSpPr>
            <xdr:cNvPr id="69649" name="Check Box 17" hidden="1">
              <a:extLst>
                <a:ext uri="{63B3BB69-23CF-44E3-9099-C40C66FF867C}">
                  <a14:compatExt spid="_x0000_s69649"/>
                </a:ext>
                <a:ext uri="{FF2B5EF4-FFF2-40B4-BE49-F238E27FC236}">
                  <a16:creationId xmlns:a16="http://schemas.microsoft.com/office/drawing/2014/main" id="{00000000-0008-0000-1000-00001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0</xdr:rowOff>
        </xdr:from>
        <xdr:to>
          <xdr:col>2</xdr:col>
          <xdr:colOff>333375</xdr:colOff>
          <xdr:row>11</xdr:row>
          <xdr:rowOff>247650</xdr:rowOff>
        </xdr:to>
        <xdr:sp macro="" textlink="">
          <xdr:nvSpPr>
            <xdr:cNvPr id="69650" name="Check Box 18" hidden="1">
              <a:extLst>
                <a:ext uri="{63B3BB69-23CF-44E3-9099-C40C66FF867C}">
                  <a14:compatExt spid="_x0000_s69650"/>
                </a:ext>
                <a:ext uri="{FF2B5EF4-FFF2-40B4-BE49-F238E27FC236}">
                  <a16:creationId xmlns:a16="http://schemas.microsoft.com/office/drawing/2014/main" id="{00000000-0008-0000-1000-00001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0</xdr:rowOff>
        </xdr:from>
        <xdr:to>
          <xdr:col>2</xdr:col>
          <xdr:colOff>333375</xdr:colOff>
          <xdr:row>12</xdr:row>
          <xdr:rowOff>247650</xdr:rowOff>
        </xdr:to>
        <xdr:sp macro="" textlink="">
          <xdr:nvSpPr>
            <xdr:cNvPr id="69651" name="Check Box 19" hidden="1">
              <a:extLst>
                <a:ext uri="{63B3BB69-23CF-44E3-9099-C40C66FF867C}">
                  <a14:compatExt spid="_x0000_s69651"/>
                </a:ext>
                <a:ext uri="{FF2B5EF4-FFF2-40B4-BE49-F238E27FC236}">
                  <a16:creationId xmlns:a16="http://schemas.microsoft.com/office/drawing/2014/main" id="{00000000-0008-0000-1000-00001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0</xdr:rowOff>
        </xdr:from>
        <xdr:to>
          <xdr:col>2</xdr:col>
          <xdr:colOff>333375</xdr:colOff>
          <xdr:row>13</xdr:row>
          <xdr:rowOff>247650</xdr:rowOff>
        </xdr:to>
        <xdr:sp macro="" textlink="">
          <xdr:nvSpPr>
            <xdr:cNvPr id="69652" name="Check Box 20" hidden="1">
              <a:extLst>
                <a:ext uri="{63B3BB69-23CF-44E3-9099-C40C66FF867C}">
                  <a14:compatExt spid="_x0000_s69652"/>
                </a:ext>
                <a:ext uri="{FF2B5EF4-FFF2-40B4-BE49-F238E27FC236}">
                  <a16:creationId xmlns:a16="http://schemas.microsoft.com/office/drawing/2014/main" id="{00000000-0008-0000-1000-00001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333375</xdr:colOff>
          <xdr:row>18</xdr:row>
          <xdr:rowOff>0</xdr:rowOff>
        </xdr:to>
        <xdr:sp macro="" textlink="">
          <xdr:nvSpPr>
            <xdr:cNvPr id="69654" name="Check Box 22" hidden="1">
              <a:extLst>
                <a:ext uri="{63B3BB69-23CF-44E3-9099-C40C66FF867C}">
                  <a14:compatExt spid="_x0000_s69654"/>
                </a:ext>
                <a:ext uri="{FF2B5EF4-FFF2-40B4-BE49-F238E27FC236}">
                  <a16:creationId xmlns:a16="http://schemas.microsoft.com/office/drawing/2014/main" id="{00000000-0008-0000-1000-000016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9525</xdr:rowOff>
        </xdr:from>
        <xdr:to>
          <xdr:col>2</xdr:col>
          <xdr:colOff>333375</xdr:colOff>
          <xdr:row>19</xdr:row>
          <xdr:rowOff>0</xdr:rowOff>
        </xdr:to>
        <xdr:sp macro="" textlink="">
          <xdr:nvSpPr>
            <xdr:cNvPr id="69655" name="Check Box 23" hidden="1">
              <a:extLst>
                <a:ext uri="{63B3BB69-23CF-44E3-9099-C40C66FF867C}">
                  <a14:compatExt spid="_x0000_s69655"/>
                </a:ext>
                <a:ext uri="{FF2B5EF4-FFF2-40B4-BE49-F238E27FC236}">
                  <a16:creationId xmlns:a16="http://schemas.microsoft.com/office/drawing/2014/main" id="{00000000-0008-0000-1000-000017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157200</xdr:colOff>
      <xdr:row>0</xdr:row>
      <xdr:rowOff>0</xdr:rowOff>
    </xdr:from>
    <xdr:to>
      <xdr:col>21</xdr:col>
      <xdr:colOff>252450</xdr:colOff>
      <xdr:row>5</xdr:row>
      <xdr:rowOff>12700</xdr:rowOff>
    </xdr:to>
    <xdr:pic>
      <xdr:nvPicPr>
        <xdr:cNvPr id="3" name="図 2">
          <a:hlinkClick xmlns:r="http://schemas.openxmlformats.org/officeDocument/2006/relationships" r:id="rId1"/>
          <a:extLst>
            <a:ext uri="{FF2B5EF4-FFF2-40B4-BE49-F238E27FC236}">
              <a16:creationId xmlns:a16="http://schemas.microsoft.com/office/drawing/2014/main" id="{F165A275-235A-4CBB-9159-3D77845361B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5200" y="0"/>
          <a:ext cx="895350" cy="1193800"/>
        </a:xfrm>
        <a:prstGeom prst="ellipse">
          <a:avLst/>
        </a:prstGeom>
        <a:ln>
          <a:noFill/>
        </a:ln>
        <a:effectLst>
          <a:softEdge rad="112500"/>
        </a:effectLst>
      </xdr:spPr>
    </xdr:pic>
    <xdr:clientData fPrintsWithSheet="0"/>
  </xdr:twoCellAnchor>
  <xdr:twoCellAnchor>
    <xdr:from>
      <xdr:col>19</xdr:col>
      <xdr:colOff>66675</xdr:colOff>
      <xdr:row>7</xdr:row>
      <xdr:rowOff>104774</xdr:rowOff>
    </xdr:from>
    <xdr:to>
      <xdr:col>21</xdr:col>
      <xdr:colOff>342975</xdr:colOff>
      <xdr:row>9</xdr:row>
      <xdr:rowOff>46799</xdr:rowOff>
    </xdr:to>
    <xdr:sp macro="[0]!A4両面印刷" textlink="">
      <xdr:nvSpPr>
        <xdr:cNvPr id="4" name="正方形/長方形 3">
          <a:extLst>
            <a:ext uri="{FF2B5EF4-FFF2-40B4-BE49-F238E27FC236}">
              <a16:creationId xmlns:a16="http://schemas.microsoft.com/office/drawing/2014/main" id="{4768EBCD-3B69-447D-B9B6-16F431FFC903}"/>
            </a:ext>
          </a:extLst>
        </xdr:cNvPr>
        <xdr:cNvSpPr/>
      </xdr:nvSpPr>
      <xdr:spPr>
        <a:xfrm>
          <a:off x="6924675" y="1895474"/>
          <a:ext cx="1076400" cy="504000"/>
        </a:xfrm>
        <a:prstGeom prst="rect">
          <a:avLst/>
        </a:prstGeom>
        <a:solidFill>
          <a:schemeClr val="bg1"/>
        </a:solidFill>
        <a:ln w="38100">
          <a:solidFill>
            <a:srgbClr val="FF99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solidFill>
                <a:sysClr val="windowText" lastClr="000000"/>
              </a:solidFill>
              <a:latin typeface="HG丸ｺﾞｼｯｸM-PRO" panose="020F0600000000000000" pitchFamily="50" charset="-128"/>
              <a:ea typeface="HG丸ｺﾞｼｯｸM-PRO" panose="020F0600000000000000" pitchFamily="50" charset="-128"/>
            </a:rPr>
            <a:t>印刷</a:t>
          </a:r>
        </a:p>
      </xdr:txBody>
    </xdr:sp>
    <xdr:clientData fPrintsWithSheet="0"/>
  </xdr:twoCellAnchor>
  <xdr:twoCellAnchor>
    <xdr:from>
      <xdr:col>19</xdr:col>
      <xdr:colOff>66712</xdr:colOff>
      <xdr:row>5</xdr:row>
      <xdr:rowOff>38100</xdr:rowOff>
    </xdr:from>
    <xdr:to>
      <xdr:col>21</xdr:col>
      <xdr:colOff>342938</xdr:colOff>
      <xdr:row>6</xdr:row>
      <xdr:rowOff>238125</xdr:rowOff>
    </xdr:to>
    <xdr:sp macro="" textlink="">
      <xdr:nvSpPr>
        <xdr:cNvPr id="5" name="正方形/長方形 4">
          <a:hlinkClick xmlns:r="http://schemas.openxmlformats.org/officeDocument/2006/relationships" r:id="rId3"/>
          <a:extLst>
            <a:ext uri="{FF2B5EF4-FFF2-40B4-BE49-F238E27FC236}">
              <a16:creationId xmlns:a16="http://schemas.microsoft.com/office/drawing/2014/main" id="{8BA58646-FA85-43FE-88BB-1887519B44E4}"/>
            </a:ext>
          </a:extLst>
        </xdr:cNvPr>
        <xdr:cNvSpPr/>
      </xdr:nvSpPr>
      <xdr:spPr>
        <a:xfrm>
          <a:off x="6924712" y="1219200"/>
          <a:ext cx="1076326" cy="504825"/>
        </a:xfrm>
        <a:prstGeom prst="rect">
          <a:avLst/>
        </a:prstGeom>
        <a:solidFill>
          <a:schemeClr val="bg1"/>
        </a:solidFill>
        <a:ln w="38100">
          <a:solidFill>
            <a:srgbClr val="0563C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チェック</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a:p>
          <a:pPr algn="ctr"/>
          <a:r>
            <a:rPr kumimoji="1" lang="ja-JP" altLang="en-US" sz="1100" b="0">
              <a:solidFill>
                <a:sysClr val="windowText" lastClr="000000"/>
              </a:solidFill>
              <a:latin typeface="HG丸ｺﾞｼｯｸM-PRO" panose="020F0600000000000000" pitchFamily="50" charset="-128"/>
              <a:ea typeface="HG丸ｺﾞｼｯｸM-PRO" panose="020F0600000000000000" pitchFamily="50" charset="-128"/>
            </a:rPr>
            <a:t>シートへ</a:t>
          </a:r>
          <a:endParaRPr kumimoji="1" lang="en-US" altLang="ja-JP" sz="1100" b="0">
            <a:solidFill>
              <a:sysClr val="windowText" lastClr="00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6</xdr:col>
          <xdr:colOff>95250</xdr:colOff>
          <xdr:row>6</xdr:row>
          <xdr:rowOff>19050</xdr:rowOff>
        </xdr:from>
        <xdr:to>
          <xdr:col>6</xdr:col>
          <xdr:colOff>361950</xdr:colOff>
          <xdr:row>6</xdr:row>
          <xdr:rowOff>266700</xdr:rowOff>
        </xdr:to>
        <xdr:sp macro="" textlink="">
          <xdr:nvSpPr>
            <xdr:cNvPr id="69656" name="Check Box 24" hidden="1">
              <a:extLst>
                <a:ext uri="{63B3BB69-23CF-44E3-9099-C40C66FF867C}">
                  <a14:compatExt spid="_x0000_s69656"/>
                </a:ext>
                <a:ext uri="{FF2B5EF4-FFF2-40B4-BE49-F238E27FC236}">
                  <a16:creationId xmlns:a16="http://schemas.microsoft.com/office/drawing/2014/main" id="{00000000-0008-0000-1000-000018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6</xdr:row>
          <xdr:rowOff>19050</xdr:rowOff>
        </xdr:from>
        <xdr:to>
          <xdr:col>9</xdr:col>
          <xdr:colOff>361950</xdr:colOff>
          <xdr:row>6</xdr:row>
          <xdr:rowOff>266700</xdr:rowOff>
        </xdr:to>
        <xdr:sp macro="" textlink="">
          <xdr:nvSpPr>
            <xdr:cNvPr id="69657" name="Check Box 25" hidden="1">
              <a:extLst>
                <a:ext uri="{63B3BB69-23CF-44E3-9099-C40C66FF867C}">
                  <a14:compatExt spid="_x0000_s69657"/>
                </a:ext>
                <a:ext uri="{FF2B5EF4-FFF2-40B4-BE49-F238E27FC236}">
                  <a16:creationId xmlns:a16="http://schemas.microsoft.com/office/drawing/2014/main" id="{00000000-0008-0000-1000-000019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6</xdr:row>
          <xdr:rowOff>19050</xdr:rowOff>
        </xdr:from>
        <xdr:to>
          <xdr:col>12</xdr:col>
          <xdr:colOff>361950</xdr:colOff>
          <xdr:row>6</xdr:row>
          <xdr:rowOff>266700</xdr:rowOff>
        </xdr:to>
        <xdr:sp macro="" textlink="">
          <xdr:nvSpPr>
            <xdr:cNvPr id="69658" name="Check Box 26" hidden="1">
              <a:extLst>
                <a:ext uri="{63B3BB69-23CF-44E3-9099-C40C66FF867C}">
                  <a14:compatExt spid="_x0000_s69658"/>
                </a:ext>
                <a:ext uri="{FF2B5EF4-FFF2-40B4-BE49-F238E27FC236}">
                  <a16:creationId xmlns:a16="http://schemas.microsoft.com/office/drawing/2014/main" id="{00000000-0008-0000-1000-00001A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9525</xdr:rowOff>
        </xdr:from>
        <xdr:to>
          <xdr:col>2</xdr:col>
          <xdr:colOff>333375</xdr:colOff>
          <xdr:row>9</xdr:row>
          <xdr:rowOff>0</xdr:rowOff>
        </xdr:to>
        <xdr:sp macro="" textlink="">
          <xdr:nvSpPr>
            <xdr:cNvPr id="69659" name="Check Box 27" hidden="1">
              <a:extLst>
                <a:ext uri="{63B3BB69-23CF-44E3-9099-C40C66FF867C}">
                  <a14:compatExt spid="_x0000_s69659"/>
                </a:ext>
                <a:ext uri="{FF2B5EF4-FFF2-40B4-BE49-F238E27FC236}">
                  <a16:creationId xmlns:a16="http://schemas.microsoft.com/office/drawing/2014/main" id="{00000000-0008-0000-1000-00001B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9525</xdr:rowOff>
        </xdr:from>
        <xdr:to>
          <xdr:col>2</xdr:col>
          <xdr:colOff>333375</xdr:colOff>
          <xdr:row>10</xdr:row>
          <xdr:rowOff>0</xdr:rowOff>
        </xdr:to>
        <xdr:sp macro="" textlink="">
          <xdr:nvSpPr>
            <xdr:cNvPr id="69660" name="Check Box 28" hidden="1">
              <a:extLst>
                <a:ext uri="{63B3BB69-23CF-44E3-9099-C40C66FF867C}">
                  <a14:compatExt spid="_x0000_s69660"/>
                </a:ext>
                <a:ext uri="{FF2B5EF4-FFF2-40B4-BE49-F238E27FC236}">
                  <a16:creationId xmlns:a16="http://schemas.microsoft.com/office/drawing/2014/main" id="{00000000-0008-0000-1000-00001C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xdr:row>
          <xdr:rowOff>9525</xdr:rowOff>
        </xdr:from>
        <xdr:to>
          <xdr:col>2</xdr:col>
          <xdr:colOff>333375</xdr:colOff>
          <xdr:row>11</xdr:row>
          <xdr:rowOff>0</xdr:rowOff>
        </xdr:to>
        <xdr:sp macro="" textlink="">
          <xdr:nvSpPr>
            <xdr:cNvPr id="69661" name="Check Box 29" hidden="1">
              <a:extLst>
                <a:ext uri="{63B3BB69-23CF-44E3-9099-C40C66FF867C}">
                  <a14:compatExt spid="_x0000_s69661"/>
                </a:ext>
                <a:ext uri="{FF2B5EF4-FFF2-40B4-BE49-F238E27FC236}">
                  <a16:creationId xmlns:a16="http://schemas.microsoft.com/office/drawing/2014/main" id="{00000000-0008-0000-1000-00001D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0</xdr:rowOff>
        </xdr:from>
        <xdr:to>
          <xdr:col>2</xdr:col>
          <xdr:colOff>333375</xdr:colOff>
          <xdr:row>11</xdr:row>
          <xdr:rowOff>247650</xdr:rowOff>
        </xdr:to>
        <xdr:sp macro="" textlink="">
          <xdr:nvSpPr>
            <xdr:cNvPr id="69662" name="Check Box 30" hidden="1">
              <a:extLst>
                <a:ext uri="{63B3BB69-23CF-44E3-9099-C40C66FF867C}">
                  <a14:compatExt spid="_x0000_s69662"/>
                </a:ext>
                <a:ext uri="{FF2B5EF4-FFF2-40B4-BE49-F238E27FC236}">
                  <a16:creationId xmlns:a16="http://schemas.microsoft.com/office/drawing/2014/main" id="{00000000-0008-0000-1000-00001E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0</xdr:rowOff>
        </xdr:from>
        <xdr:to>
          <xdr:col>2</xdr:col>
          <xdr:colOff>333375</xdr:colOff>
          <xdr:row>12</xdr:row>
          <xdr:rowOff>247650</xdr:rowOff>
        </xdr:to>
        <xdr:sp macro="" textlink="">
          <xdr:nvSpPr>
            <xdr:cNvPr id="69663" name="Check Box 31" hidden="1">
              <a:extLst>
                <a:ext uri="{63B3BB69-23CF-44E3-9099-C40C66FF867C}">
                  <a14:compatExt spid="_x0000_s69663"/>
                </a:ext>
                <a:ext uri="{FF2B5EF4-FFF2-40B4-BE49-F238E27FC236}">
                  <a16:creationId xmlns:a16="http://schemas.microsoft.com/office/drawing/2014/main" id="{00000000-0008-0000-1000-00001F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0</xdr:rowOff>
        </xdr:from>
        <xdr:to>
          <xdr:col>2</xdr:col>
          <xdr:colOff>333375</xdr:colOff>
          <xdr:row>13</xdr:row>
          <xdr:rowOff>247650</xdr:rowOff>
        </xdr:to>
        <xdr:sp macro="" textlink="">
          <xdr:nvSpPr>
            <xdr:cNvPr id="69664" name="Check Box 32" hidden="1">
              <a:extLst>
                <a:ext uri="{63B3BB69-23CF-44E3-9099-C40C66FF867C}">
                  <a14:compatExt spid="_x0000_s69664"/>
                </a:ext>
                <a:ext uri="{FF2B5EF4-FFF2-40B4-BE49-F238E27FC236}">
                  <a16:creationId xmlns:a16="http://schemas.microsoft.com/office/drawing/2014/main" id="{00000000-0008-0000-1000-000020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333375</xdr:colOff>
          <xdr:row>18</xdr:row>
          <xdr:rowOff>0</xdr:rowOff>
        </xdr:to>
        <xdr:sp macro="" textlink="">
          <xdr:nvSpPr>
            <xdr:cNvPr id="69665" name="Check Box 33" hidden="1">
              <a:extLst>
                <a:ext uri="{63B3BB69-23CF-44E3-9099-C40C66FF867C}">
                  <a14:compatExt spid="_x0000_s69665"/>
                </a:ext>
                <a:ext uri="{FF2B5EF4-FFF2-40B4-BE49-F238E27FC236}">
                  <a16:creationId xmlns:a16="http://schemas.microsoft.com/office/drawing/2014/main" id="{00000000-0008-0000-1000-00002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9525</xdr:rowOff>
        </xdr:from>
        <xdr:to>
          <xdr:col>2</xdr:col>
          <xdr:colOff>333375</xdr:colOff>
          <xdr:row>19</xdr:row>
          <xdr:rowOff>0</xdr:rowOff>
        </xdr:to>
        <xdr:sp macro="" textlink="">
          <xdr:nvSpPr>
            <xdr:cNvPr id="69666" name="Check Box 34" hidden="1">
              <a:extLst>
                <a:ext uri="{63B3BB69-23CF-44E3-9099-C40C66FF867C}">
                  <a14:compatExt spid="_x0000_s69666"/>
                </a:ext>
                <a:ext uri="{FF2B5EF4-FFF2-40B4-BE49-F238E27FC236}">
                  <a16:creationId xmlns:a16="http://schemas.microsoft.com/office/drawing/2014/main" id="{00000000-0008-0000-1000-00002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B1AF3E09-40EA-494F-B5B8-F3D458BAD23A}"/>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85726</xdr:colOff>
      <xdr:row>6</xdr:row>
      <xdr:rowOff>0</xdr:rowOff>
    </xdr:from>
    <xdr:to>
      <xdr:col>4</xdr:col>
      <xdr:colOff>342901</xdr:colOff>
      <xdr:row>7</xdr:row>
      <xdr:rowOff>9525</xdr:rowOff>
    </xdr:to>
    <xdr:sp macro="" textlink="">
      <xdr:nvSpPr>
        <xdr:cNvPr id="3" name="楕円 2">
          <a:extLst>
            <a:ext uri="{FF2B5EF4-FFF2-40B4-BE49-F238E27FC236}">
              <a16:creationId xmlns:a16="http://schemas.microsoft.com/office/drawing/2014/main" id="{90ABF510-1819-4D9B-98B8-E998BE05AB5E}"/>
            </a:ext>
          </a:extLst>
        </xdr:cNvPr>
        <xdr:cNvSpPr/>
      </xdr:nvSpPr>
      <xdr:spPr>
        <a:xfrm>
          <a:off x="16573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176ED671-0744-4E1A-BCA2-1C30974EE9E6}"/>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1466850</xdr:colOff>
      <xdr:row>0</xdr:row>
      <xdr:rowOff>19050</xdr:rowOff>
    </xdr:from>
    <xdr:to>
      <xdr:col>7</xdr:col>
      <xdr:colOff>2362200</xdr:colOff>
      <xdr:row>5</xdr:row>
      <xdr:rowOff>22225</xdr:rowOff>
    </xdr:to>
    <xdr:pic>
      <xdr:nvPicPr>
        <xdr:cNvPr id="6" name="図 5">
          <a:hlinkClick xmlns:r="http://schemas.openxmlformats.org/officeDocument/2006/relationships" r:id="rId1"/>
          <a:extLst>
            <a:ext uri="{FF2B5EF4-FFF2-40B4-BE49-F238E27FC236}">
              <a16:creationId xmlns:a16="http://schemas.microsoft.com/office/drawing/2014/main" id="{E1083288-4F30-4AF4-A149-32C1D08F71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5" y="19050"/>
          <a:ext cx="895350" cy="1193800"/>
        </a:xfrm>
        <a:prstGeom prst="ellipse">
          <a:avLst/>
        </a:prstGeom>
        <a:ln>
          <a:noFill/>
        </a:ln>
        <a:effectLst>
          <a:softEdge rad="112500"/>
        </a:effectLst>
      </xdr:spPr>
    </xdr:pic>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A879B52F-9EEF-4FD7-9A50-7D7534FE4CF2}"/>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304801</xdr:colOff>
      <xdr:row>6</xdr:row>
      <xdr:rowOff>0</xdr:rowOff>
    </xdr:from>
    <xdr:to>
      <xdr:col>4</xdr:col>
      <xdr:colOff>1066801</xdr:colOff>
      <xdr:row>7</xdr:row>
      <xdr:rowOff>9525</xdr:rowOff>
    </xdr:to>
    <xdr:sp macro="" textlink="">
      <xdr:nvSpPr>
        <xdr:cNvPr id="3" name="楕円 2">
          <a:extLst>
            <a:ext uri="{FF2B5EF4-FFF2-40B4-BE49-F238E27FC236}">
              <a16:creationId xmlns:a16="http://schemas.microsoft.com/office/drawing/2014/main" id="{24B1E9E5-9E7B-413C-9ACF-1DDA519D01F8}"/>
            </a:ext>
          </a:extLst>
        </xdr:cNvPr>
        <xdr:cNvSpPr/>
      </xdr:nvSpPr>
      <xdr:spPr>
        <a:xfrm>
          <a:off x="23812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DA52F276-BE59-4DE6-B44F-A68DBCAE0330}"/>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1466851</xdr:colOff>
      <xdr:row>0</xdr:row>
      <xdr:rowOff>19050</xdr:rowOff>
    </xdr:from>
    <xdr:to>
      <xdr:col>7</xdr:col>
      <xdr:colOff>2362201</xdr:colOff>
      <xdr:row>5</xdr:row>
      <xdr:rowOff>22225</xdr:rowOff>
    </xdr:to>
    <xdr:pic>
      <xdr:nvPicPr>
        <xdr:cNvPr id="6" name="図 5">
          <a:hlinkClick xmlns:r="http://schemas.openxmlformats.org/officeDocument/2006/relationships" r:id="rId1"/>
          <a:extLst>
            <a:ext uri="{FF2B5EF4-FFF2-40B4-BE49-F238E27FC236}">
              <a16:creationId xmlns:a16="http://schemas.microsoft.com/office/drawing/2014/main" id="{C44263FF-C37C-4D04-A6D0-A67CD01F2B9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76926" y="19050"/>
          <a:ext cx="895350" cy="1193800"/>
        </a:xfrm>
        <a:prstGeom prst="ellipse">
          <a:avLst/>
        </a:prstGeom>
        <a:ln>
          <a:noFill/>
        </a:ln>
        <a:effectLst>
          <a:softEdge rad="112500"/>
        </a:effectLst>
      </xdr:spPr>
    </xdr:pic>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1</xdr:col>
      <xdr:colOff>352425</xdr:colOff>
      <xdr:row>30</xdr:row>
      <xdr:rowOff>9525</xdr:rowOff>
    </xdr:from>
    <xdr:to>
      <xdr:col>2</xdr:col>
      <xdr:colOff>257175</xdr:colOff>
      <xdr:row>31</xdr:row>
      <xdr:rowOff>19050</xdr:rowOff>
    </xdr:to>
    <xdr:sp macro="" textlink="">
      <xdr:nvSpPr>
        <xdr:cNvPr id="2" name="楕円 1">
          <a:extLst>
            <a:ext uri="{FF2B5EF4-FFF2-40B4-BE49-F238E27FC236}">
              <a16:creationId xmlns:a16="http://schemas.microsoft.com/office/drawing/2014/main" id="{98B899DD-3A39-48AA-A661-DA35214C64B3}"/>
            </a:ext>
          </a:extLst>
        </xdr:cNvPr>
        <xdr:cNvSpPr/>
      </xdr:nvSpPr>
      <xdr:spPr>
        <a:xfrm>
          <a:off x="581025" y="741045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9526</xdr:colOff>
      <xdr:row>6</xdr:row>
      <xdr:rowOff>0</xdr:rowOff>
    </xdr:from>
    <xdr:to>
      <xdr:col>5</xdr:col>
      <xdr:colOff>771526</xdr:colOff>
      <xdr:row>7</xdr:row>
      <xdr:rowOff>9525</xdr:rowOff>
    </xdr:to>
    <xdr:sp macro="" textlink="">
      <xdr:nvSpPr>
        <xdr:cNvPr id="3" name="楕円 2">
          <a:extLst>
            <a:ext uri="{FF2B5EF4-FFF2-40B4-BE49-F238E27FC236}">
              <a16:creationId xmlns:a16="http://schemas.microsoft.com/office/drawing/2014/main" id="{7ACC1D85-BD20-462F-9B29-778F518F3B2F}"/>
            </a:ext>
          </a:extLst>
        </xdr:cNvPr>
        <xdr:cNvSpPr/>
      </xdr:nvSpPr>
      <xdr:spPr>
        <a:xfrm>
          <a:off x="3257551" y="1428750"/>
          <a:ext cx="76200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19</xdr:row>
      <xdr:rowOff>19050</xdr:rowOff>
    </xdr:from>
    <xdr:to>
      <xdr:col>1</xdr:col>
      <xdr:colOff>323850</xdr:colOff>
      <xdr:row>19</xdr:row>
      <xdr:rowOff>266700</xdr:rowOff>
    </xdr:to>
    <xdr:sp macro="" textlink="">
      <xdr:nvSpPr>
        <xdr:cNvPr id="4" name="楕円 3">
          <a:extLst>
            <a:ext uri="{FF2B5EF4-FFF2-40B4-BE49-F238E27FC236}">
              <a16:creationId xmlns:a16="http://schemas.microsoft.com/office/drawing/2014/main" id="{A3DF50C7-B842-45E4-A6EE-8F0C9DA3075F}"/>
            </a:ext>
          </a:extLst>
        </xdr:cNvPr>
        <xdr:cNvSpPr/>
      </xdr:nvSpPr>
      <xdr:spPr>
        <a:xfrm>
          <a:off x="266700" y="4419600"/>
          <a:ext cx="285750" cy="2476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1485900</xdr:colOff>
      <xdr:row>0</xdr:row>
      <xdr:rowOff>0</xdr:rowOff>
    </xdr:from>
    <xdr:to>
      <xdr:col>8</xdr:col>
      <xdr:colOff>0</xdr:colOff>
      <xdr:row>5</xdr:row>
      <xdr:rowOff>3175</xdr:rowOff>
    </xdr:to>
    <xdr:pic>
      <xdr:nvPicPr>
        <xdr:cNvPr id="6" name="図 5">
          <a:hlinkClick xmlns:r="http://schemas.openxmlformats.org/officeDocument/2006/relationships" r:id="rId1"/>
          <a:extLst>
            <a:ext uri="{FF2B5EF4-FFF2-40B4-BE49-F238E27FC236}">
              <a16:creationId xmlns:a16="http://schemas.microsoft.com/office/drawing/2014/main" id="{4F20813D-0C42-4BB8-88D7-23AE7374CF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95975" y="0"/>
          <a:ext cx="895350" cy="1193800"/>
        </a:xfrm>
        <a:prstGeom prst="ellipse">
          <a:avLst/>
        </a:prstGeom>
        <a:ln>
          <a:noFill/>
        </a:ln>
        <a:effectLst>
          <a:softEdge rad="112500"/>
        </a:effectLst>
      </xdr:spPr>
    </xdr:pic>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CareManagementTool\templates\forms\assessment_sheet.xlsx" TargetMode="External"/><Relationship Id="rId1" Type="http://schemas.openxmlformats.org/officeDocument/2006/relationships/externalLinkPath" Target="assessment_she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r007\Desktop\&#21033;&#29992;&#32773;&#65372;&#12501;&#12449;&#12452;&#12523;\&#21407;&#26412;&#12398;&#21407;&#26412;.xlsm" TargetMode="External"/><Relationship Id="rId1" Type="http://schemas.openxmlformats.org/officeDocument/2006/relationships/externalLinkPath" Target="file:///C:\Users\usr007\Desktop\&#21033;&#29992;&#32773;&#65372;&#12501;&#12449;&#12452;&#12523;\&#21407;&#26412;&#12398;&#21407;&#264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編集用｜昭和ろまん"/>
      <sheetName val="データ集約"/>
      <sheetName val="利用者一覧"/>
      <sheetName val="削除禁止"/>
      <sheetName val="原本"/>
    </sheetNames>
    <sheetDataSet>
      <sheetData sheetId="0" refreshError="1"/>
      <sheetData sheetId="1">
        <row r="1">
          <cell r="A1" t="str">
            <v>基本情報</v>
          </cell>
          <cell r="B1" t="str">
            <v>利用者選択---</v>
          </cell>
          <cell r="C1" t="str">
            <v>利用者名</v>
          </cell>
          <cell r="D1" t="str">
            <v>利用者ID（被保険者番号）</v>
          </cell>
          <cell r="E1" t="str">
            <v>絞り込み｜担当ケアマネ</v>
          </cell>
          <cell r="F1" t="str">
            <v>絞り込み｜頭文字</v>
          </cell>
          <cell r="G1" t="str">
            <v>絞り込み</v>
          </cell>
          <cell r="H1" t="str">
            <v>---利用者選択</v>
          </cell>
          <cell r="I1" t="str">
            <v>作成日</v>
          </cell>
          <cell r="J1" t="str">
            <v>作成者</v>
          </cell>
          <cell r="K1" t="str">
            <v>アセスメントの理由</v>
          </cell>
          <cell r="L1" t="str">
            <v>面談場所</v>
          </cell>
          <cell r="M1" t="str">
            <v>生活歴</v>
          </cell>
          <cell r="N1" t="str">
            <v>本人の希望</v>
          </cell>
          <cell r="O1" t="str">
            <v>家族の希望</v>
          </cell>
          <cell r="P1" t="str">
            <v>基本情報スペース</v>
          </cell>
          <cell r="Q1" t="str">
            <v>▶保険情報</v>
          </cell>
          <cell r="R1" t="str">
            <v>要介護度</v>
          </cell>
          <cell r="S1" t="str">
            <v>認定日</v>
          </cell>
          <cell r="T1" t="str">
            <v>認定期間｜開始</v>
          </cell>
          <cell r="U1" t="str">
            <v>認定期間｜終了</v>
          </cell>
          <cell r="V1" t="str">
            <v>負担割合</v>
          </cell>
          <cell r="W1" t="str">
            <v>医療保険</v>
          </cell>
          <cell r="X1" t="str">
            <v>身体障がい者手帳の有無</v>
          </cell>
          <cell r="Y1" t="str">
            <v>種類</v>
          </cell>
          <cell r="Z1" t="str">
            <v>難病申請</v>
          </cell>
          <cell r="AA1" t="str">
            <v>生活保護</v>
          </cell>
          <cell r="AB1" t="str">
            <v>障がい者日常生活自立度</v>
          </cell>
          <cell r="AC1" t="str">
            <v>認知症日常生活自立度</v>
          </cell>
          <cell r="AD1" t="str">
            <v>←｜保険情報</v>
          </cell>
          <cell r="AE1" t="str">
            <v>▶家族状況</v>
          </cell>
          <cell r="AF1" t="str">
            <v>家族氏名-1</v>
          </cell>
          <cell r="AG1" t="str">
            <v>続柄-1</v>
          </cell>
          <cell r="AH1" t="str">
            <v>住所-1</v>
          </cell>
          <cell r="AI1" t="str">
            <v>同居有無-1</v>
          </cell>
          <cell r="AJ1" t="str">
            <v>介護-1</v>
          </cell>
          <cell r="AK1" t="str">
            <v>就労-1</v>
          </cell>
          <cell r="AL1" t="str">
            <v>連絡先-1</v>
          </cell>
          <cell r="AM1" t="str">
            <v>備考-1</v>
          </cell>
          <cell r="AN1" t="str">
            <v>家族氏名-2</v>
          </cell>
          <cell r="AO1" t="str">
            <v>続柄-2</v>
          </cell>
          <cell r="AP1" t="str">
            <v>住所-2</v>
          </cell>
          <cell r="AQ1" t="str">
            <v>同居有無-2</v>
          </cell>
          <cell r="AR1" t="str">
            <v>介護-2</v>
          </cell>
          <cell r="AS1" t="str">
            <v>就労-2</v>
          </cell>
          <cell r="AT1" t="str">
            <v>連絡先-2</v>
          </cell>
          <cell r="AU1" t="str">
            <v>備考-2</v>
          </cell>
          <cell r="AV1" t="str">
            <v>←｜家族状況</v>
          </cell>
          <cell r="AW1" t="str">
            <v>▶居住状況</v>
          </cell>
          <cell r="AX1" t="str">
            <v>家庭環境</v>
          </cell>
          <cell r="AY1" t="str">
            <v>住宅形態</v>
          </cell>
          <cell r="AZ1" t="str">
            <v>住宅形態｜エレベーターの有無</v>
          </cell>
          <cell r="BA1" t="str">
            <v>住宅権利</v>
          </cell>
          <cell r="BB1" t="str">
            <v>専有居室</v>
          </cell>
          <cell r="BC1" t="str">
            <v>冷暖房</v>
          </cell>
          <cell r="BD1" t="str">
            <v>トイレ</v>
          </cell>
          <cell r="BE1" t="str">
            <v>手すりの有無</v>
          </cell>
          <cell r="BF1" t="str">
            <v>段差の有無</v>
          </cell>
          <cell r="BG1" t="str">
            <v>浴室</v>
          </cell>
          <cell r="BH1" t="str">
            <v>浴室内手すり</v>
          </cell>
          <cell r="BI1" t="str">
            <v>就寝</v>
          </cell>
          <cell r="BJ1" t="str">
            <v>居室段差</v>
          </cell>
          <cell r="BK1" t="str">
            <v>住宅改修</v>
          </cell>
          <cell r="BL1" t="str">
            <v>住宅改修の必要性</v>
          </cell>
          <cell r="BM1" t="str">
            <v>特別な状況</v>
          </cell>
          <cell r="BN1" t="str">
            <v>←｜居住状況</v>
          </cell>
          <cell r="BO1" t="str">
            <v>▶利用サービス</v>
          </cell>
          <cell r="BP1" t="str">
            <v>介護サービス</v>
          </cell>
          <cell r="BQ1" t="str">
            <v>福祉用具</v>
          </cell>
          <cell r="BR1" t="str">
            <v>その他</v>
          </cell>
          <cell r="BS1" t="str">
            <v>インフォーマルサービス</v>
          </cell>
          <cell r="BT1" t="str">
            <v>社会との関り</v>
          </cell>
          <cell r="BU1" t="str">
            <v>←｜利用サービス</v>
          </cell>
          <cell r="BV1" t="str">
            <v>身体の状況</v>
          </cell>
          <cell r="BW1" t="str">
            <v>▶健康状態</v>
          </cell>
          <cell r="BX1" t="str">
            <v>疾患名-1</v>
          </cell>
          <cell r="BY1" t="str">
            <v>発症日-1</v>
          </cell>
          <cell r="BZ1" t="str">
            <v>疾患名-2</v>
          </cell>
          <cell r="CA1" t="str">
            <v>発症日-2</v>
          </cell>
          <cell r="CB1" t="str">
            <v>疾患名-3</v>
          </cell>
          <cell r="CC1" t="str">
            <v>発症日-3</v>
          </cell>
          <cell r="CD1" t="str">
            <v>疾患名-4</v>
          </cell>
          <cell r="CE1" t="str">
            <v>発症日-4</v>
          </cell>
          <cell r="CF1" t="str">
            <v>疾患名-5</v>
          </cell>
          <cell r="CG1" t="str">
            <v>発症日-5</v>
          </cell>
          <cell r="CH1" t="str">
            <v>疾患名-6</v>
          </cell>
          <cell r="CI1" t="str">
            <v>発症日-6</v>
          </cell>
          <cell r="CJ1" t="str">
            <v>通院</v>
          </cell>
          <cell r="CK1" t="str">
            <v>主治医※安濃津ろまん入居後（中）｜病院・医院</v>
          </cell>
          <cell r="CL1" t="str">
            <v>主治医※安濃津ろまん入居後（中）｜氏名</v>
          </cell>
          <cell r="CM1" t="str">
            <v>往診医｜病院・医院</v>
          </cell>
          <cell r="CN1" t="str">
            <v>往診医｜氏名</v>
          </cell>
          <cell r="CO1" t="str">
            <v>かかりつけ医①</v>
          </cell>
          <cell r="CP1" t="str">
            <v>かかりつけ医②</v>
          </cell>
          <cell r="CQ1" t="str">
            <v>かかりつけ医③</v>
          </cell>
          <cell r="CR1" t="str">
            <v>かかりつけ医④</v>
          </cell>
          <cell r="CS1" t="str">
            <v>既往歴</v>
          </cell>
          <cell r="CT1" t="str">
            <v>服薬</v>
          </cell>
          <cell r="CU1" t="str">
            <v>アレルギー｜有無</v>
          </cell>
          <cell r="CV1" t="str">
            <v>アレルギー｜特記</v>
          </cell>
          <cell r="CW1" t="str">
            <v>←｜健康状態</v>
          </cell>
          <cell r="CX1" t="str">
            <v>▶身体状況</v>
          </cell>
          <cell r="CY1" t="str">
            <v>皮膚疾患</v>
          </cell>
          <cell r="CZ1" t="str">
            <v>感染症</v>
          </cell>
          <cell r="DA1" t="str">
            <v>特別な医療処置</v>
          </cell>
          <cell r="DB1" t="str">
            <v>麻痺</v>
          </cell>
          <cell r="DC1" t="str">
            <v>痛み</v>
          </cell>
          <cell r="DD1" t="str">
            <v>身長</v>
          </cell>
          <cell r="DE1" t="str">
            <v>体重</v>
          </cell>
          <cell r="DF1" t="str">
            <v>視力</v>
          </cell>
          <cell r="DG1" t="str">
            <v>眼鏡等</v>
          </cell>
          <cell r="DH1" t="str">
            <v>聴力</v>
          </cell>
          <cell r="DI1" t="str">
            <v>補聴器等</v>
          </cell>
          <cell r="DJ1" t="str">
            <v>身体状況｜特記事項</v>
          </cell>
          <cell r="DK1" t="str">
            <v>←｜身体状況</v>
          </cell>
          <cell r="DL1" t="str">
            <v>▶認知機能</v>
          </cell>
          <cell r="DM1" t="str">
            <v>認知症の有無</v>
          </cell>
          <cell r="DN1" t="str">
            <v>認知症の程度</v>
          </cell>
          <cell r="DO1" t="str">
            <v>BPSD</v>
          </cell>
          <cell r="DP1" t="str">
            <v>会話</v>
          </cell>
          <cell r="DQ1" t="str">
            <v>意思疎通</v>
          </cell>
          <cell r="DR1" t="str">
            <v>認知機能｜特記事項</v>
          </cell>
          <cell r="DS1" t="str">
            <v>←｜認知機能</v>
          </cell>
          <cell r="DT1" t="str">
            <v>日常生活動作</v>
          </cell>
          <cell r="DU1" t="str">
            <v>▶基本動作</v>
          </cell>
          <cell r="DV1" t="str">
            <v>寝返り</v>
          </cell>
          <cell r="DW1" t="str">
            <v>起き上がり</v>
          </cell>
          <cell r="DX1" t="str">
            <v>座位</v>
          </cell>
          <cell r="DY1" t="str">
            <v>立ち上がり</v>
          </cell>
          <cell r="DZ1" t="str">
            <v>立位</v>
          </cell>
          <cell r="EA1" t="str">
            <v>移乗</v>
          </cell>
          <cell r="EB1" t="str">
            <v>屋内移動</v>
          </cell>
          <cell r="EC1" t="str">
            <v>屋内移動｜使用用具</v>
          </cell>
          <cell r="ED1" t="str">
            <v>屋外移動</v>
          </cell>
          <cell r="EE1" t="str">
            <v>屋外移動｜使用用具</v>
          </cell>
          <cell r="EF1" t="str">
            <v>基本動作｜特記事項</v>
          </cell>
          <cell r="EG1" t="str">
            <v>←｜基本動作</v>
          </cell>
          <cell r="EH1" t="str">
            <v>▶ADL</v>
          </cell>
          <cell r="EI1" t="str">
            <v>＞食事</v>
          </cell>
          <cell r="EJ1" t="str">
            <v>食事方法</v>
          </cell>
          <cell r="EK1" t="str">
            <v>食事動作</v>
          </cell>
          <cell r="EL1" t="str">
            <v>嚥下</v>
          </cell>
          <cell r="EM1" t="str">
            <v>食事形態｜主食</v>
          </cell>
          <cell r="EN1" t="str">
            <v>食事形態｜副食</v>
          </cell>
          <cell r="EO1" t="str">
            <v>水分とろみ</v>
          </cell>
          <cell r="EP1" t="str">
            <v>食事制限</v>
          </cell>
          <cell r="EQ1" t="str">
            <v>道具・用具</v>
          </cell>
          <cell r="ER1" t="str">
            <v>食事｜特記事項</v>
          </cell>
          <cell r="ES1" t="str">
            <v>←｜食事</v>
          </cell>
          <cell r="ET1" t="str">
            <v>＞口腔</v>
          </cell>
          <cell r="EU1" t="str">
            <v>口腔衛生</v>
          </cell>
          <cell r="EV1" t="str">
            <v>自歯の有無</v>
          </cell>
          <cell r="EW1" t="str">
            <v>義歯の有無</v>
          </cell>
          <cell r="EX1" t="str">
            <v>義歯の種類</v>
          </cell>
          <cell r="EY1" t="str">
            <v>義歯の場所</v>
          </cell>
          <cell r="EZ1" t="str">
            <v>口腔｜特記事項</v>
          </cell>
          <cell r="FA1" t="str">
            <v>←｜口腔</v>
          </cell>
          <cell r="FB1" t="str">
            <v>＞入浴・更衣</v>
          </cell>
          <cell r="FC1" t="str">
            <v>入浴動作</v>
          </cell>
          <cell r="FD1" t="str">
            <v>形態</v>
          </cell>
          <cell r="FE1" t="str">
            <v>入浴の制限</v>
          </cell>
          <cell r="FF1" t="str">
            <v>←｜入浴</v>
          </cell>
          <cell r="FG1" t="str">
            <v>上衣</v>
          </cell>
          <cell r="FH1" t="str">
            <v>下衣</v>
          </cell>
          <cell r="FI1" t="str">
            <v>入浴・更衣｜特記事項</v>
          </cell>
          <cell r="FJ1" t="str">
            <v>←｜更衣</v>
          </cell>
          <cell r="FK1" t="str">
            <v>＞排泄</v>
          </cell>
          <cell r="FL1" t="str">
            <v>排泄動作</v>
          </cell>
          <cell r="FM1" t="str">
            <v>尿意</v>
          </cell>
          <cell r="FN1" t="str">
            <v>尿失禁</v>
          </cell>
          <cell r="FO1" t="str">
            <v>便意</v>
          </cell>
          <cell r="FP1" t="str">
            <v>便失禁</v>
          </cell>
          <cell r="FQ1" t="str">
            <v>状況</v>
          </cell>
          <cell r="FR1" t="str">
            <v>場所｜日中</v>
          </cell>
          <cell r="FS1" t="str">
            <v>場所｜夜間</v>
          </cell>
          <cell r="FT1" t="str">
            <v>排泄用品</v>
          </cell>
          <cell r="FU1" t="str">
            <v>排泄｜特記事項</v>
          </cell>
          <cell r="FV1" t="str">
            <v>←｜排泄</v>
          </cell>
          <cell r="FW1" t="str">
            <v>←｜ADL</v>
          </cell>
          <cell r="FX1" t="str">
            <v>▶IADL</v>
          </cell>
          <cell r="FY1" t="str">
            <v>調理</v>
          </cell>
          <cell r="FZ1" t="str">
            <v>掃除</v>
          </cell>
          <cell r="GA1" t="str">
            <v>洗濯</v>
          </cell>
          <cell r="GB1" t="str">
            <v>買い物</v>
          </cell>
          <cell r="GC1" t="str">
            <v>金銭管理</v>
          </cell>
          <cell r="GD1" t="str">
            <v>IADL｜特記事項</v>
          </cell>
          <cell r="GE1" t="str">
            <v>←｜IADL</v>
          </cell>
          <cell r="GF1" t="str">
            <v>特記・備考</v>
          </cell>
          <cell r="GG1" t="str">
            <v>その他、特記事項</v>
          </cell>
          <cell r="GH1" t="str">
            <v>所要時間</v>
          </cell>
          <cell r="GI1" t="str">
            <v/>
          </cell>
        </row>
        <row r="2">
          <cell r="C2" t="str">
            <v>藤村　國造</v>
          </cell>
          <cell r="D2" t="str">
            <v>1231</v>
          </cell>
          <cell r="I2">
            <v>45477</v>
          </cell>
          <cell r="J2" t="str">
            <v>山川　和輝</v>
          </cell>
          <cell r="K2" t="str">
            <v>新規</v>
          </cell>
          <cell r="L2" t="str">
            <v>入院先の病院</v>
          </cell>
          <cell r="M2" t="str">
            <v>自宅で夫婦2人暮らし。2年ほど前から尿汚染が多くなり妻の介護も限界となってきたため、有料老人ホームに入所となったが、入所から2～3ヶ月経つ頃、熱発を度々繰り返すようになり、三重中央医療センターに入院となる。何かしらの原因で腰椎からの細菌感染によるもので抗生剤治療を行う。その後、榊原温泉病院に転院して治療を継続。榊原温泉病院での入院期間は約1年程度あったが、状態が落ち着いてきたこともあり、自宅で生活することは困難なため安濃津ろまんへ入居の申し込みをされた。</v>
          </cell>
          <cell r="N2" t="str">
            <v>眠られており意向の聴取が困難でだった。</v>
          </cell>
          <cell r="Q2" t="str">
            <v>入力</v>
          </cell>
          <cell r="R2" t="str">
            <v>要介護５</v>
          </cell>
          <cell r="AE2" t="str">
            <v>入力</v>
          </cell>
          <cell r="AF2" t="str">
            <v>藤村　高行</v>
          </cell>
          <cell r="AG2" t="str">
            <v>長男</v>
          </cell>
          <cell r="AI2" t="str">
            <v>別居</v>
          </cell>
          <cell r="AJ2" t="str">
            <v>介護する</v>
          </cell>
          <cell r="AK2" t="str">
            <v>有</v>
          </cell>
          <cell r="AL2" t="str">
            <v>090-7693-3788</v>
          </cell>
          <cell r="AM2" t="str">
            <v>KP。津市河芸町在住。</v>
          </cell>
          <cell r="AN2" t="str">
            <v>藤村　聡美</v>
          </cell>
          <cell r="AO2" t="str">
            <v>長男の妻</v>
          </cell>
          <cell r="AQ2" t="str">
            <v>別居</v>
          </cell>
          <cell r="AT2" t="str">
            <v>090-5457-1470</v>
          </cell>
          <cell r="AU2" t="str">
            <v>介護、就労状況は不明。</v>
          </cell>
          <cell r="AW2" t="str">
            <v>入力</v>
          </cell>
          <cell r="AX2" t="str">
            <v>一人暮らし</v>
          </cell>
          <cell r="AY2" t="str">
            <v>集合住宅</v>
          </cell>
          <cell r="AZ2" t="str">
            <v>エレベーター有</v>
          </cell>
          <cell r="BA2" t="str">
            <v>賃貸</v>
          </cell>
          <cell r="BB2" t="str">
            <v>有</v>
          </cell>
          <cell r="BC2" t="str">
            <v>有</v>
          </cell>
          <cell r="BD2" t="str">
            <v>ウォシュレット</v>
          </cell>
          <cell r="BG2" t="str">
            <v>無</v>
          </cell>
          <cell r="BI2" t="str">
            <v>リクライニングベッド</v>
          </cell>
          <cell r="BJ2" t="str">
            <v>無</v>
          </cell>
          <cell r="BK2" t="str">
            <v>無</v>
          </cell>
          <cell r="BL2" t="str">
            <v>無</v>
          </cell>
          <cell r="BW2" t="str">
            <v>入力</v>
          </cell>
          <cell r="BX2" t="str">
            <v>MRSA感染性心内膜炎</v>
          </cell>
          <cell r="BY2" t="str">
            <v>2022/12/16</v>
          </cell>
          <cell r="BZ2" t="str">
            <v>COVID19感染</v>
          </cell>
          <cell r="CA2" t="str">
            <v>2023/01/26</v>
          </cell>
          <cell r="CB2" t="str">
            <v>誤嚥性肺炎</v>
          </cell>
          <cell r="CC2" t="str">
            <v>2023/02/07</v>
          </cell>
          <cell r="CD2" t="str">
            <v>神経因性膀胱</v>
          </cell>
          <cell r="CE2" t="str">
            <v>2023/08/12</v>
          </cell>
          <cell r="CF2" t="str">
            <v>化膿性脊髄炎</v>
          </cell>
          <cell r="CG2" t="str">
            <v>2023/08/12</v>
          </cell>
          <cell r="CJ2" t="str">
            <v>現在入院中。
退院後、化膿性脊髄炎による発熱が予見され、発熱された場合は整形外科を受診。（武内病院へ受診予定）
バルーンカテーテルを使用されており、武内病院で月1回の頻度で交換が必要。</v>
          </cell>
          <cell r="CT2" t="str">
            <v>［薬情報］
カロナール錠200
トラゼンタ錠5ｍｇ
カンデサルタンOD錠8ｍｇ
ミノサイクリン塩酸塩カプセル100ｍｇ
アゾセミド錠30ｍｇ</v>
          </cell>
          <cell r="CX2" t="str">
            <v>入力</v>
          </cell>
          <cell r="CY2" t="str">
            <v>無</v>
          </cell>
          <cell r="CZ2" t="str">
            <v>無</v>
          </cell>
          <cell r="DA2" t="str">
            <v>カテーテル</v>
          </cell>
          <cell r="DB2" t="str">
            <v>なし</v>
          </cell>
          <cell r="DC2" t="str">
            <v>左股関節に拘縮があり他動で痛みあり。</v>
          </cell>
          <cell r="DD2">
            <v>149</v>
          </cell>
          <cell r="DE2">
            <v>42</v>
          </cell>
          <cell r="DF2" t="str">
            <v>大きい字は可</v>
          </cell>
          <cell r="DG2" t="str">
            <v>有</v>
          </cell>
          <cell r="DH2" t="str">
            <v>大きい声は可</v>
          </cell>
          <cell r="DI2" t="str">
            <v>無</v>
          </cell>
          <cell r="DJ2" t="str">
            <v>MRSAの既往があるものの、現在は特に問題なし。
左股関節に拘縮があり、他動で動かすことで痛みを生じる。
難聴があり、大きな声で話す必要があるが、声が大きすぎると時折「うるさい。」と言われることもある。
インシュリンは必要ないが、現在は血糖測定を月木の朝昼晩で行っているが、退院時はなしになる予定。</v>
          </cell>
          <cell r="DL2" t="str">
            <v>入力</v>
          </cell>
          <cell r="DM2" t="str">
            <v>有</v>
          </cell>
          <cell r="DO2" t="str">
            <v>無</v>
          </cell>
          <cell r="DP2" t="str">
            <v>不明瞭</v>
          </cell>
          <cell r="DQ2" t="str">
            <v>その場のみ可</v>
          </cell>
          <cell r="DR2" t="str">
            <v>認知機能の低下はあるものの、精査が困難。問題行動や介護抵抗等は見られない。</v>
          </cell>
          <cell r="DU2" t="str">
            <v>入力</v>
          </cell>
          <cell r="DV2" t="str">
            <v>できない</v>
          </cell>
          <cell r="DW2" t="str">
            <v>できない</v>
          </cell>
          <cell r="DX2" t="str">
            <v>支えてもらえればできる</v>
          </cell>
          <cell r="DY2" t="str">
            <v>できない</v>
          </cell>
          <cell r="DZ2" t="str">
            <v>できない</v>
          </cell>
          <cell r="EA2" t="str">
            <v>全介助</v>
          </cell>
          <cell r="EB2" t="str">
            <v>全介助</v>
          </cell>
          <cell r="EC2" t="str">
            <v>車椅子</v>
          </cell>
          <cell r="ED2" t="str">
            <v>全介助</v>
          </cell>
          <cell r="EE2" t="str">
            <v>車椅子</v>
          </cell>
          <cell r="EF2" t="str">
            <v>移動はリクライニング車椅子が必要。リクライニング車椅子に座れば1～
2時間程度は座り続けることができる。
基本動作は全介助となっている。
寝返りが自身で行うことができず、3～4時間に一度体位交換を行う必要がある。</v>
          </cell>
          <cell r="EH2" t="str">
            <v>入力</v>
          </cell>
          <cell r="EI2" t="str">
            <v>入力</v>
          </cell>
          <cell r="EJ2" t="str">
            <v>経口摂取</v>
          </cell>
          <cell r="EK2" t="str">
            <v>一部介助</v>
          </cell>
          <cell r="EL2" t="str">
            <v>見守り等が必要</v>
          </cell>
          <cell r="EM2" t="str">
            <v>全粥</v>
          </cell>
          <cell r="EN2" t="str">
            <v>ペースト</v>
          </cell>
          <cell r="EO2" t="str">
            <v>有</v>
          </cell>
          <cell r="EP2" t="str">
            <v>有</v>
          </cell>
          <cell r="EQ2" t="str">
            <v>スプーン , エプロン</v>
          </cell>
          <cell r="ER2" t="str">
            <v>食事はベッド上ギャッジアップ座位で自己摂取可能。しかし疲労により手が止まるため、その後は介助を行っている。食事中、姿勢が崩れることはないが、食事の支援が必要。食事摂取量は介助すれば8割程度は摂取可能。栄養補助食品のメイバランスと、朝にヨーグルトを食べている。
塩分制限食を食べられており、アレルギーはない。</v>
          </cell>
          <cell r="ET2" t="str">
            <v>入力</v>
          </cell>
          <cell r="EU2" t="str">
            <v>全介助</v>
          </cell>
          <cell r="EW2" t="str">
            <v>無</v>
          </cell>
          <cell r="EZ2" t="str">
            <v>歯はすべてないものの、義歯は使用されていない。口腔ケアは口腔スポンジでふき取りを介助している。</v>
          </cell>
          <cell r="FB2" t="str">
            <v>入力</v>
          </cell>
          <cell r="FC2" t="str">
            <v>全介助</v>
          </cell>
          <cell r="FD2" t="str">
            <v>寝台浴</v>
          </cell>
          <cell r="FE2" t="str">
            <v>無</v>
          </cell>
          <cell r="FG2" t="str">
            <v>全介助</v>
          </cell>
          <cell r="FH2" t="str">
            <v>全介助</v>
          </cell>
          <cell r="FI2" t="str">
            <v>入浴、更衣は全介助となっている。</v>
          </cell>
          <cell r="FK2" t="str">
            <v>入力</v>
          </cell>
          <cell r="FL2" t="str">
            <v>全介助</v>
          </cell>
          <cell r="FM2" t="str">
            <v>無</v>
          </cell>
          <cell r="FN2" t="str">
            <v>無</v>
          </cell>
          <cell r="FO2" t="str">
            <v>無</v>
          </cell>
          <cell r="FP2" t="str">
            <v>無</v>
          </cell>
          <cell r="FR2" t="str">
            <v>オムツ , カテーテル</v>
          </cell>
          <cell r="FS2" t="str">
            <v>オムツ , カテーテル</v>
          </cell>
          <cell r="FT2" t="str">
            <v>紙おむつ , 大パット</v>
          </cell>
          <cell r="FU2" t="str">
            <v>排尿はバルーンカテーテルを使用している。
排便はオムツ内に行うため、オムツ交換が必要。</v>
          </cell>
          <cell r="FX2" t="str">
            <v>入力</v>
          </cell>
          <cell r="FY2" t="str">
            <v>全介助</v>
          </cell>
          <cell r="FZ2" t="str">
            <v>全介助</v>
          </cell>
          <cell r="GA2" t="str">
            <v>全介助</v>
          </cell>
          <cell r="GB2" t="str">
            <v>全介助</v>
          </cell>
          <cell r="GC2" t="str">
            <v>全介助</v>
          </cell>
          <cell r="GD2" t="str">
            <v>すべて介助が必要。</v>
          </cell>
          <cell r="GG2" t="str">
            <v>【榊原温泉病院に入院前から現在までの経過】
元々要介護3で施設に入所していた。
2022年12月16日に発熱があり、三重中央医療センターへ救急搬送。MRSA感染性心内膜炎で抗生剤加療。その後2023年1月26日にCOVID19に感染、低ナトリウム血症等併発したが、2月6日に退院。しかし、翌日2月7日に再度発熱があり三重中央医療センターへ救急搬送。COVID19再感染疑いで再入院。誤嚥性肺炎併発あり抗生剤等で加療。2月18日～再度発熱あり、MRSA菌血症再燃、胆石胆嚢炎疑いで、絶食・抗生剤加療。その後食事再開し介助で摂取可能も低アルブミン血症を認め、また入院の長期化に伴い廃用症候群と発熱を繰り返しており退院は困難な状況。継続加療・療養目的にて2023年4月4日に榊原温泉病院に転院。
6月24日血培やMRSA菌血症が判明しVCM投与で治療し一旦は落ち着いたが、腰痛が持続し8月5日から発熱あり、両側股関節痛や、胸腰椎移行部叩打痛あり、CPR24台で、CTの結果L5椎体内に多房性の低吸収域があり、化膿性脊髄炎や椎体腫瘍の可能性を指摘され8月12日に武内病院へ転院となる。精査の結果、ドレナージ適応無、手術も不可と判断。全身浮腫、低栄養、胸水ありBa挿入8月14日Hb低下あり輸血施行。抗生剤投与での治療継続。8月17日に榊原温泉病院へ戻られた。
榊原温泉病院に戻られた後から現在にかけて状態は落ち着いている。</v>
          </cell>
          <cell r="GH2">
            <v>40</v>
          </cell>
        </row>
        <row r="3">
          <cell r="C3" t="str">
            <v>山岡　義夫</v>
          </cell>
          <cell r="D3" t="str">
            <v>98cbe691</v>
          </cell>
          <cell r="E3" t="str">
            <v>山川　和輝</v>
          </cell>
          <cell r="F3" t="str">
            <v>や</v>
          </cell>
          <cell r="G3" t="str">
            <v>利用者選択｜絞り込み</v>
          </cell>
          <cell r="I3">
            <v>45569</v>
          </cell>
          <cell r="J3" t="str">
            <v>山川　和輝</v>
          </cell>
          <cell r="K3" t="str">
            <v>新規</v>
          </cell>
          <cell r="L3" t="str">
            <v>本人の居室</v>
          </cell>
          <cell r="M3" t="str">
            <v>自宅で自立生活を送り仕事にも通っていたが、令和5年11月に脳リンパ腫により三重大学病院に入院。令和6年5月末に退院し、3日間だけ自宅に戻ったが、歩行能力の低下と認知症が見られたため、リハビリ目的にて津生協病院に入院。約1ヶ月入院したところで、肺炎となり再び三重大学病院に入院。主治医より在宅復帰は困難と判断され、令和6年7月20日に安濃津ろまんへ入居となった。</v>
          </cell>
          <cell r="O3" t="str">
            <v>もう家で介護はできないので、施設でリハビリを受けて前のように楽に動けるようになってほしいと思っています。</v>
          </cell>
          <cell r="Q3" t="str">
            <v>入力</v>
          </cell>
          <cell r="R3" t="str">
            <v>要介護３</v>
          </cell>
          <cell r="S3" t="str">
            <v>令和6年9月3日</v>
          </cell>
          <cell r="T3" t="str">
            <v>令和6年8月1日</v>
          </cell>
          <cell r="U3" t="str">
            <v>令和7年7月31日</v>
          </cell>
          <cell r="V3" t="str">
            <v>１割負担</v>
          </cell>
          <cell r="W3" t="str">
            <v>国民健康保険</v>
          </cell>
          <cell r="X3" t="str">
            <v>無</v>
          </cell>
          <cell r="Z3" t="str">
            <v>無</v>
          </cell>
          <cell r="AA3" t="str">
            <v>無</v>
          </cell>
          <cell r="AE3" t="str">
            <v>入力</v>
          </cell>
          <cell r="AF3" t="str">
            <v>山岡　陽子様</v>
          </cell>
          <cell r="AG3" t="str">
            <v>妻</v>
          </cell>
          <cell r="AI3" t="str">
            <v>別居</v>
          </cell>
          <cell r="AJ3" t="str">
            <v>介護する</v>
          </cell>
          <cell r="AK3" t="str">
            <v>有</v>
          </cell>
          <cell r="AL3" t="str">
            <v>090-7679-9851</v>
          </cell>
          <cell r="AM3" t="str">
            <v>KP</v>
          </cell>
          <cell r="AW3" t="str">
            <v>入力</v>
          </cell>
          <cell r="AX3" t="str">
            <v>家族同居</v>
          </cell>
          <cell r="AY3" t="str">
            <v>一戸建て</v>
          </cell>
          <cell r="AZ3" t="str">
            <v>エレベーター有</v>
          </cell>
          <cell r="BA3" t="str">
            <v>所有</v>
          </cell>
          <cell r="BB3" t="str">
            <v>有</v>
          </cell>
          <cell r="BC3" t="str">
            <v>有</v>
          </cell>
          <cell r="BD3" t="str">
            <v>洋式</v>
          </cell>
          <cell r="BG3" t="str">
            <v>有</v>
          </cell>
          <cell r="BH3" t="str">
            <v>手すり無</v>
          </cell>
          <cell r="BI3" t="str">
            <v>ベッド</v>
          </cell>
          <cell r="BJ3" t="str">
            <v>無</v>
          </cell>
          <cell r="BK3" t="str">
            <v>無</v>
          </cell>
          <cell r="BL3" t="str">
            <v>無</v>
          </cell>
          <cell r="BO3" t="str">
            <v>入力</v>
          </cell>
          <cell r="BP3" t="str">
            <v>訪問介護 , 訪問看護 , 通所介護</v>
          </cell>
          <cell r="BQ3" t="str">
            <v>車いす , 特殊寝台 , 特殊寝台付属品 , 手すり</v>
          </cell>
          <cell r="BS3" t="str">
            <v>食事支援 , 排泄支援 , リネンリース , 洗濯 , 喀痰吸引</v>
          </cell>
          <cell r="BT3" t="str">
            <v>デイサービス等大人数のところは積極的にはいかない。</v>
          </cell>
          <cell r="BW3" t="str">
            <v>入力</v>
          </cell>
          <cell r="BX3" t="str">
            <v>誤嚥性肺炎</v>
          </cell>
          <cell r="BY3" t="str">
            <v>令和6年7月5日</v>
          </cell>
          <cell r="BZ3" t="str">
            <v>脳リンパ腫</v>
          </cell>
          <cell r="CA3" t="str">
            <v>令和5年11月頃</v>
          </cell>
          <cell r="CJ3" t="str">
            <v>発熱があれば武内病院を受診することとなっている。武内病院　血液内科　塚田先生</v>
          </cell>
          <cell r="CS3" t="str">
            <v>既往にリウマチや腸閉塞（手術済み）があるが現在は特に問題なし。</v>
          </cell>
          <cell r="CT3" t="str">
            <v>服薬管理は看護師が行っている。
退院後は、ローレル薬局を契約。
袋を手渡しすることで、ご自身で袋を開封して内服できる。</v>
          </cell>
          <cell r="CX3" t="str">
            <v>入力</v>
          </cell>
          <cell r="CY3" t="str">
            <v>無</v>
          </cell>
          <cell r="CZ3" t="str">
            <v>無</v>
          </cell>
          <cell r="DA3" t="str">
            <v>無</v>
          </cell>
          <cell r="DB3" t="str">
            <v>右上肢、右下肢</v>
          </cell>
          <cell r="DC3" t="str">
            <v>無</v>
          </cell>
          <cell r="DD3">
            <v>0</v>
          </cell>
          <cell r="DE3">
            <v>0</v>
          </cell>
          <cell r="DF3" t="str">
            <v>大きい字は可</v>
          </cell>
          <cell r="DG3" t="str">
            <v>有</v>
          </cell>
          <cell r="DH3" t="str">
            <v>大きい声は可</v>
          </cell>
          <cell r="DI3" t="str">
            <v>有</v>
          </cell>
          <cell r="DJ3" t="str">
            <v>脳リンパ腫の影響で右半身麻痺及び軽度の失語症が見られる。視力は大きな問題はないものの、難聴があり大きな声で話す必要がある。
痰が多く、常にゴロゴロしている状況であり、ご自身で排痰を行うことができないものの、吸引はやや拒否がある。
ここ最近、痰の量が増えており、吸引の拒否も少なくなっている。</v>
          </cell>
          <cell r="DL3" t="str">
            <v>入力</v>
          </cell>
          <cell r="DM3" t="str">
            <v>有</v>
          </cell>
          <cell r="DN3" t="str">
            <v>軽度</v>
          </cell>
          <cell r="DO3" t="str">
            <v>無</v>
          </cell>
          <cell r="DP3" t="str">
            <v>やや不自由</v>
          </cell>
          <cell r="DQ3" t="str">
            <v>やや不自由</v>
          </cell>
          <cell r="DR3" t="str">
            <v>失語症があり認知機能の精査は困難。</v>
          </cell>
          <cell r="DU3" t="str">
            <v>入力</v>
          </cell>
          <cell r="DV3" t="str">
            <v>何かにつかまればできる</v>
          </cell>
          <cell r="DW3" t="str">
            <v>何かにつかまればできる</v>
          </cell>
          <cell r="DX3" t="str">
            <v>自分の手で支えればできる</v>
          </cell>
          <cell r="DY3" t="str">
            <v>何かにつかまればできる</v>
          </cell>
          <cell r="DZ3" t="str">
            <v>何か支えがあればできる</v>
          </cell>
          <cell r="EA3" t="str">
            <v>見守り</v>
          </cell>
          <cell r="EB3" t="str">
            <v>見守り</v>
          </cell>
          <cell r="EC3" t="str">
            <v>独歩</v>
          </cell>
          <cell r="ED3" t="str">
            <v>一部介助</v>
          </cell>
          <cell r="EE3" t="str">
            <v>車椅子</v>
          </cell>
          <cell r="EF3" t="str">
            <v>基本動作はご自身で行うことが可能。ベッドからトイレまでは手すりを設置しており、不安定ではあるもののご自身で移動できている。
長距離の移動は車いすを使用。現在訪問リハビリを受けており歩行器での歩行訓練を行っている。</v>
          </cell>
          <cell r="EH3" t="str">
            <v>入力</v>
          </cell>
          <cell r="EI3" t="str">
            <v>入力</v>
          </cell>
          <cell r="EJ3" t="str">
            <v>経口摂取</v>
          </cell>
          <cell r="EK3" t="str">
            <v>自立</v>
          </cell>
          <cell r="EL3" t="str">
            <v>見守り等が必要</v>
          </cell>
          <cell r="EM3" t="str">
            <v>ペースト</v>
          </cell>
          <cell r="EN3" t="str">
            <v>ペースト</v>
          </cell>
          <cell r="EO3" t="str">
            <v>有</v>
          </cell>
          <cell r="EP3" t="str">
            <v>有</v>
          </cell>
          <cell r="EQ3" t="str">
            <v>スプーン</v>
          </cell>
          <cell r="ER3" t="str">
            <v>食事制限があり、ナッツ類とブルーチーズは禁止。
ここ最近は、痰量の増加に伴い嚥下機能の低下があり食事の前後で痰の吸引を行う必要がある。ご自身で摂取することは可能。
加藤先生から絶食の指示が出たが、ご家族様の強い希望で食事を食べてほしいという理由から、食事形態を落として食事して頂いている。</v>
          </cell>
          <cell r="ET3" t="str">
            <v>入力</v>
          </cell>
          <cell r="EU3" t="str">
            <v>見守り</v>
          </cell>
          <cell r="EW3" t="str">
            <v>無</v>
          </cell>
          <cell r="EZ3" t="str">
            <v>促しが必要であるが、洗面所で口腔ケアが可能。
訪問リハビリSTより、誤嚥性肺炎を防ぐためにも口腔ケアはきちんと行ったほうがよいと助言有。</v>
          </cell>
          <cell r="FB3" t="str">
            <v>入力</v>
          </cell>
          <cell r="FC3" t="str">
            <v>一部介助</v>
          </cell>
          <cell r="FD3" t="str">
            <v>一般浴</v>
          </cell>
          <cell r="FE3" t="str">
            <v>無</v>
          </cell>
          <cell r="FG3" t="str">
            <v>一部介助</v>
          </cell>
          <cell r="FH3" t="str">
            <v>一部介助</v>
          </cell>
          <cell r="FI3" t="str">
            <v>入浴の拒否があり、現在はご家族様が入浴時間に付き添って促して頂いている。</v>
          </cell>
          <cell r="FK3" t="str">
            <v>入力</v>
          </cell>
          <cell r="FL3" t="str">
            <v>自立</v>
          </cell>
          <cell r="FM3" t="str">
            <v>有</v>
          </cell>
          <cell r="FN3" t="str">
            <v>有</v>
          </cell>
          <cell r="FO3" t="str">
            <v>有</v>
          </cell>
          <cell r="FP3" t="str">
            <v>有</v>
          </cell>
          <cell r="FQ3" t="str">
            <v>軟便</v>
          </cell>
          <cell r="FR3" t="str">
            <v>トイレ</v>
          </cell>
          <cell r="FS3" t="str">
            <v>トイレ</v>
          </cell>
          <cell r="FT3" t="str">
            <v>リハビリパンツ , 小パット</v>
          </cell>
          <cell r="FU3" t="str">
            <v>排泄はご自身で可能。失禁があるがご自身で交換は可能だが、汚物処理は不可能。</v>
          </cell>
          <cell r="FX3" t="str">
            <v>入力</v>
          </cell>
          <cell r="FY3" t="str">
            <v>全介助</v>
          </cell>
          <cell r="FZ3" t="str">
            <v>全介助</v>
          </cell>
          <cell r="GA3" t="str">
            <v>全介助</v>
          </cell>
          <cell r="GB3" t="str">
            <v>全介助</v>
          </cell>
          <cell r="GC3" t="str">
            <v>全介助</v>
          </cell>
          <cell r="GD3" t="str">
            <v>施設内のサービスを利用。</v>
          </cell>
          <cell r="GG3" t="str">
            <v>食事前後の痰吸引のため毎食訪問看護の支援が必要な状況であるが、自己負担額が高額になることに不安があるものの、３食ご飯を食べてほしい。等矛盾な発言も見られる。ご家族様は全く悪い方ではありませんが、特に料金面で細かい性格をしているため、都度説明を要す場面も多い。</v>
          </cell>
          <cell r="GH3">
            <v>30</v>
          </cell>
        </row>
        <row r="4">
          <cell r="C4" t="str">
            <v>樋口　智子</v>
          </cell>
          <cell r="D4" t="str">
            <v>2010031305</v>
          </cell>
          <cell r="I4">
            <v>45474</v>
          </cell>
          <cell r="J4" t="str">
            <v>山川　和輝</v>
          </cell>
          <cell r="K4" t="str">
            <v>更新</v>
          </cell>
          <cell r="L4" t="str">
            <v>本人の居室</v>
          </cell>
          <cell r="M4" t="str">
            <v>平成28年8月28日にサービス付き高齢者向け住宅　安濃津ろまんに入居される。</v>
          </cell>
          <cell r="N4" t="str">
            <v>ここで安定した生活を送らせてもらってます。動けるようになってきたので嬉しいです。</v>
          </cell>
          <cell r="O4" t="str">
            <v>転倒や怪我をしないように気をつけて、安全に生活を続けてほしいと思っています。</v>
          </cell>
          <cell r="Q4" t="str">
            <v>入力</v>
          </cell>
          <cell r="R4" t="str">
            <v>要介護１</v>
          </cell>
          <cell r="S4" t="str">
            <v>令和6年7月16日</v>
          </cell>
          <cell r="T4" t="str">
            <v>令和6年8月1日</v>
          </cell>
          <cell r="U4" t="str">
            <v>令和9年7月31日</v>
          </cell>
          <cell r="V4" t="str">
            <v>１割負担</v>
          </cell>
          <cell r="W4" t="str">
            <v>後期高齢者医療保険</v>
          </cell>
          <cell r="X4" t="str">
            <v>無</v>
          </cell>
          <cell r="Z4" t="str">
            <v>無</v>
          </cell>
          <cell r="AA4" t="str">
            <v>無</v>
          </cell>
          <cell r="AB4" t="str">
            <v>A2</v>
          </cell>
          <cell r="AC4" t="str">
            <v>Ⅱa</v>
          </cell>
          <cell r="AE4" t="str">
            <v>入力</v>
          </cell>
          <cell r="AF4" t="str">
            <v>山川　康子</v>
          </cell>
          <cell r="AG4" t="str">
            <v>長女</v>
          </cell>
          <cell r="AI4" t="str">
            <v>別居</v>
          </cell>
          <cell r="AJ4" t="str">
            <v>介護する</v>
          </cell>
          <cell r="AL4" t="str">
            <v>090-8866-0346</v>
          </cell>
          <cell r="AM4" t="str">
            <v>KP</v>
          </cell>
          <cell r="AN4" t="str">
            <v>樋口　徹</v>
          </cell>
          <cell r="AO4" t="str">
            <v>長男</v>
          </cell>
          <cell r="AQ4" t="str">
            <v>別居</v>
          </cell>
          <cell r="AR4" t="str">
            <v>介護しない</v>
          </cell>
          <cell r="AT4" t="str">
            <v>059-246-8900</v>
          </cell>
          <cell r="AW4" t="str">
            <v>入力</v>
          </cell>
          <cell r="AX4" t="str">
            <v>一人暮らし</v>
          </cell>
          <cell r="AY4" t="str">
            <v>集合住宅</v>
          </cell>
          <cell r="AZ4" t="str">
            <v>エレベーター有</v>
          </cell>
          <cell r="BA4" t="str">
            <v>賃貸</v>
          </cell>
          <cell r="BB4" t="str">
            <v>有</v>
          </cell>
          <cell r="BC4" t="str">
            <v>有</v>
          </cell>
          <cell r="BD4" t="str">
            <v>ウォシュレット</v>
          </cell>
          <cell r="BG4" t="str">
            <v>無</v>
          </cell>
          <cell r="BI4" t="str">
            <v>リクライニングベッド</v>
          </cell>
          <cell r="BJ4" t="str">
            <v>無</v>
          </cell>
          <cell r="BK4" t="str">
            <v>無</v>
          </cell>
          <cell r="BL4" t="str">
            <v>無</v>
          </cell>
          <cell r="BO4" t="str">
            <v>入力</v>
          </cell>
          <cell r="BP4" t="str">
            <v>訪問介護 , 訪問看護</v>
          </cell>
          <cell r="BQ4" t="str">
            <v>車いす</v>
          </cell>
          <cell r="BR4" t="str">
            <v>福祉用具（特殊寝台）自費貸与</v>
          </cell>
          <cell r="BS4" t="str">
            <v>食事支援 , リネンリース , 洗濯</v>
          </cell>
          <cell r="BT4" t="str">
            <v>食事中にホールにて他の利用者とお話しされている様子はあるが、基本居室に引きこもった生活となっている。</v>
          </cell>
          <cell r="BW4" t="str">
            <v>入力</v>
          </cell>
          <cell r="BX4" t="str">
            <v>逆流性食道炎</v>
          </cell>
          <cell r="BY4" t="str">
            <v>平成22年2月5日</v>
          </cell>
          <cell r="BZ4" t="str">
            <v>慢性胃炎</v>
          </cell>
          <cell r="CA4" t="str">
            <v>平成22年2月5日</v>
          </cell>
          <cell r="CB4" t="str">
            <v>抑うつ神経症</v>
          </cell>
          <cell r="CC4" t="str">
            <v>平成19年6月25日</v>
          </cell>
          <cell r="CD4" t="str">
            <v>高血圧症</v>
          </cell>
          <cell r="CE4" t="str">
            <v>平成14年2月19日</v>
          </cell>
          <cell r="CJ4" t="str">
            <v>現在は往診を受けており、通院は行っていない。</v>
          </cell>
          <cell r="CS4" t="str">
            <v>特に大きな病気は見られていない。</v>
          </cell>
          <cell r="CT4" t="str">
            <v>高血圧症等を服薬されている。ローレル薬局と看護師で服薬を管理して毎食時に袋を提供すると自身で開けて飲まれる。</v>
          </cell>
          <cell r="CX4" t="str">
            <v>入力</v>
          </cell>
          <cell r="CY4" t="str">
            <v>無</v>
          </cell>
          <cell r="CZ4" t="str">
            <v>無</v>
          </cell>
          <cell r="DA4" t="str">
            <v>無</v>
          </cell>
          <cell r="DB4" t="str">
            <v>無</v>
          </cell>
          <cell r="DC4" t="str">
            <v>無</v>
          </cell>
          <cell r="DF4" t="str">
            <v>正常</v>
          </cell>
          <cell r="DH4" t="str">
            <v>正常</v>
          </cell>
          <cell r="DJ4" t="str">
            <v>特に大きな問題はなし。</v>
          </cell>
          <cell r="DL4" t="str">
            <v>入力</v>
          </cell>
          <cell r="DM4" t="str">
            <v>無</v>
          </cell>
          <cell r="DO4" t="str">
            <v>無</v>
          </cell>
          <cell r="DP4" t="str">
            <v>可能</v>
          </cell>
          <cell r="DQ4" t="str">
            <v>可能</v>
          </cell>
          <cell r="DR4" t="str">
            <v>年相応の物忘れはあるものの、特に日常生活に支障が出るほどではない。</v>
          </cell>
          <cell r="DU4" t="str">
            <v>入力</v>
          </cell>
          <cell r="DV4" t="str">
            <v>何かにつかまればできる</v>
          </cell>
          <cell r="DW4" t="str">
            <v>何かにつかまればできる</v>
          </cell>
          <cell r="DX4" t="str">
            <v>自分の手で支えればできる</v>
          </cell>
          <cell r="DY4" t="str">
            <v>何かにつかまればできる</v>
          </cell>
          <cell r="DZ4" t="str">
            <v>何か支えがあればできる</v>
          </cell>
          <cell r="EA4" t="str">
            <v>自立</v>
          </cell>
          <cell r="EB4" t="str">
            <v>自立</v>
          </cell>
          <cell r="EC4" t="str">
            <v>独歩</v>
          </cell>
          <cell r="ED4" t="str">
            <v>全介助</v>
          </cell>
          <cell r="EE4" t="str">
            <v>車椅子</v>
          </cell>
          <cell r="EF4" t="str">
            <v>居室内の移動は独歩、伝い歩行で移動。円背が強くあり転倒のリスクはある。居室外は車いすを使用している。</v>
          </cell>
          <cell r="EH4" t="str">
            <v>入力</v>
          </cell>
          <cell r="EI4" t="str">
            <v>入力</v>
          </cell>
          <cell r="EJ4" t="str">
            <v>経口摂取</v>
          </cell>
          <cell r="EK4" t="str">
            <v>自立</v>
          </cell>
          <cell r="EL4" t="str">
            <v>できる</v>
          </cell>
          <cell r="EM4" t="str">
            <v>普通</v>
          </cell>
          <cell r="EN4" t="str">
            <v>普通</v>
          </cell>
          <cell r="EO4" t="str">
            <v>無</v>
          </cell>
          <cell r="EP4" t="str">
            <v>無</v>
          </cell>
          <cell r="EQ4" t="str">
            <v>箸 , スプーン</v>
          </cell>
          <cell r="ER4" t="str">
            <v>特に問題なし。</v>
          </cell>
          <cell r="ET4" t="str">
            <v>入力</v>
          </cell>
          <cell r="EU4" t="str">
            <v>自立</v>
          </cell>
          <cell r="EW4" t="str">
            <v>有</v>
          </cell>
          <cell r="EZ4" t="str">
            <v>義歯は不明。</v>
          </cell>
          <cell r="FB4" t="str">
            <v>入力</v>
          </cell>
          <cell r="FC4" t="str">
            <v>一部介助</v>
          </cell>
          <cell r="FD4" t="str">
            <v>一般浴</v>
          </cell>
          <cell r="FE4" t="str">
            <v>無</v>
          </cell>
          <cell r="FG4" t="str">
            <v>見守り</v>
          </cell>
          <cell r="FH4" t="str">
            <v>見守り</v>
          </cell>
          <cell r="FI4" t="str">
            <v>入浴はヘルパーステーションで行っている。</v>
          </cell>
          <cell r="FK4" t="str">
            <v>入力</v>
          </cell>
          <cell r="FL4" t="str">
            <v>自立</v>
          </cell>
          <cell r="FM4" t="str">
            <v>有</v>
          </cell>
          <cell r="FN4" t="str">
            <v>無</v>
          </cell>
          <cell r="FO4" t="str">
            <v>有</v>
          </cell>
          <cell r="FP4" t="str">
            <v>無</v>
          </cell>
          <cell r="FQ4" t="str">
            <v>普通便</v>
          </cell>
          <cell r="FR4" t="str">
            <v>トイレ</v>
          </cell>
          <cell r="FS4" t="str">
            <v>トイレ</v>
          </cell>
          <cell r="FT4" t="str">
            <v>リハビリパンツ , 小パット</v>
          </cell>
          <cell r="FU4" t="str">
            <v>排泄は失禁なくご自身で行えている。</v>
          </cell>
          <cell r="FX4" t="str">
            <v>入力</v>
          </cell>
          <cell r="FY4" t="str">
            <v>全介助</v>
          </cell>
          <cell r="FZ4" t="str">
            <v>全介助</v>
          </cell>
          <cell r="GA4" t="str">
            <v>全介助</v>
          </cell>
          <cell r="GB4" t="str">
            <v>全介助</v>
          </cell>
          <cell r="GC4" t="str">
            <v>全介助</v>
          </cell>
          <cell r="GG4" t="str">
            <v>特になし。</v>
          </cell>
          <cell r="GH4">
            <v>40</v>
          </cell>
        </row>
        <row r="5">
          <cell r="C5" t="str">
            <v>宮畑　廣仁</v>
          </cell>
          <cell r="D5" t="str">
            <v>123123</v>
          </cell>
          <cell r="I5">
            <v>45528</v>
          </cell>
          <cell r="J5" t="str">
            <v>山川　和輝</v>
          </cell>
          <cell r="K5" t="str">
            <v>新規</v>
          </cell>
          <cell r="L5" t="str">
            <v>本人の居室</v>
          </cell>
          <cell r="M5" t="str">
            <v>沖縄県生まれ。航空自衛隊に所属していた。青山レーダー基地に勤務していたころ、妻と結婚。転勤したくなったので自衛隊を辞め、様々な職に従事。同敷地内に店舗（焼肉ハウスたくみ）があり、妻と娘が経営している。</v>
          </cell>
          <cell r="O5" t="str">
            <v>自宅介護は困難。今後も施設で安心して生活してほしいと思っています。</v>
          </cell>
          <cell r="Q5" t="str">
            <v>入力</v>
          </cell>
          <cell r="R5" t="str">
            <v>要介護４</v>
          </cell>
          <cell r="S5" t="str">
            <v>令和6年7月11日</v>
          </cell>
          <cell r="T5" t="str">
            <v>令和6年5月30日</v>
          </cell>
          <cell r="U5" t="str">
            <v>令和7年5月31日</v>
          </cell>
          <cell r="V5" t="str">
            <v>１割負担</v>
          </cell>
          <cell r="W5" t="str">
            <v>後期高齢者医療保険</v>
          </cell>
          <cell r="X5" t="str">
            <v>無</v>
          </cell>
          <cell r="Z5" t="str">
            <v>無</v>
          </cell>
          <cell r="AA5" t="str">
            <v>無</v>
          </cell>
          <cell r="AE5" t="str">
            <v>入力</v>
          </cell>
          <cell r="AF5" t="str">
            <v>宮畑　恵子</v>
          </cell>
          <cell r="AG5" t="str">
            <v>妻</v>
          </cell>
          <cell r="AI5" t="str">
            <v>別居</v>
          </cell>
          <cell r="AJ5" t="str">
            <v>介護する</v>
          </cell>
          <cell r="AK5" t="str">
            <v>有</v>
          </cell>
          <cell r="AL5" t="str">
            <v>090-4113-3080</v>
          </cell>
          <cell r="AM5" t="str">
            <v>KP。連絡先順位　妻→娘→お店（059-268-3910）</v>
          </cell>
          <cell r="AN5" t="str">
            <v>元嶋　あかり</v>
          </cell>
          <cell r="AO5" t="str">
            <v>長女</v>
          </cell>
          <cell r="AQ5" t="str">
            <v>別居</v>
          </cell>
          <cell r="AR5" t="str">
            <v>介護する</v>
          </cell>
          <cell r="AS5" t="str">
            <v>有</v>
          </cell>
          <cell r="AT5" t="str">
            <v>090-6071-8730</v>
          </cell>
          <cell r="AU5" t="str">
            <v>連絡先順位　妻→娘→お店（059-268-3910）</v>
          </cell>
          <cell r="AW5" t="str">
            <v>入力</v>
          </cell>
          <cell r="AX5" t="str">
            <v>一人暮らし</v>
          </cell>
          <cell r="AY5" t="str">
            <v>集合住宅</v>
          </cell>
          <cell r="AZ5" t="str">
            <v>エレベーター有</v>
          </cell>
          <cell r="BA5" t="str">
            <v>賃貸</v>
          </cell>
          <cell r="BB5" t="str">
            <v>有</v>
          </cell>
          <cell r="BC5" t="str">
            <v>有</v>
          </cell>
          <cell r="BD5" t="str">
            <v>ウォシュレット</v>
          </cell>
          <cell r="BG5" t="str">
            <v>無</v>
          </cell>
          <cell r="BI5" t="str">
            <v>リクライニングベッド</v>
          </cell>
          <cell r="BJ5" t="str">
            <v>無</v>
          </cell>
          <cell r="BK5" t="str">
            <v>無</v>
          </cell>
          <cell r="BL5" t="str">
            <v>無</v>
          </cell>
          <cell r="BO5" t="str">
            <v>入力</v>
          </cell>
          <cell r="BW5" t="str">
            <v>入力</v>
          </cell>
          <cell r="BX5" t="str">
            <v>右大腿骨転子部骨折（手術済み）</v>
          </cell>
          <cell r="BY5" t="str">
            <v>令和6年4月7日</v>
          </cell>
          <cell r="BZ5" t="str">
            <v>頻脈、閉塞性肥大型心筋症</v>
          </cell>
          <cell r="CA5" t="str">
            <v>令和6年5月10日</v>
          </cell>
          <cell r="CB5" t="str">
            <v>間質性肺炎</v>
          </cell>
          <cell r="CC5" t="str">
            <v>不詳</v>
          </cell>
          <cell r="CD5" t="str">
            <v>第1腰椎椎体骨折（保存療法）</v>
          </cell>
          <cell r="CE5" t="str">
            <v>令和6年2月20日</v>
          </cell>
          <cell r="CF5" t="str">
            <v>鉄欠乏性貧血</v>
          </cell>
          <cell r="CG5" t="str">
            <v>不詳</v>
          </cell>
          <cell r="CJ5" t="str">
            <v>令和6年6月26日までは、永井病院に受診を行っていたが現在は通院は行っていない。</v>
          </cell>
          <cell r="CT5" t="str">
            <v>内服は袋を開封して口まで運んでいる。
服薬管理は老健ロマンの看護師が行っている。
週1回、起床時に「アレンドロン」を内服する。</v>
          </cell>
          <cell r="CX5" t="str">
            <v>入力</v>
          </cell>
          <cell r="CY5" t="str">
            <v>無</v>
          </cell>
          <cell r="CZ5" t="str">
            <v>無</v>
          </cell>
          <cell r="DA5" t="str">
            <v>無</v>
          </cell>
          <cell r="DB5" t="str">
            <v>無</v>
          </cell>
          <cell r="DC5" t="str">
            <v>無</v>
          </cell>
          <cell r="DF5" t="str">
            <v>正常</v>
          </cell>
          <cell r="DG5" t="str">
            <v>無</v>
          </cell>
          <cell r="DH5" t="str">
            <v>正常</v>
          </cell>
          <cell r="DI5" t="str">
            <v>無</v>
          </cell>
          <cell r="DJ5" t="str">
            <v>普段の血圧は70～100mmHgとやや低値で、ベッド上の生活が続いており起立性低血圧も見られる。
老健ロマンでは、起立性低血圧で意識消失や何らかの症状が出たことはないとのこと。</v>
          </cell>
          <cell r="DL5" t="str">
            <v>入力</v>
          </cell>
          <cell r="DM5" t="str">
            <v>有</v>
          </cell>
          <cell r="DN5" t="str">
            <v>中等度</v>
          </cell>
          <cell r="DO5" t="str">
            <v>無</v>
          </cell>
          <cell r="DP5" t="str">
            <v>不明瞭</v>
          </cell>
          <cell r="DQ5" t="str">
            <v>その場のみ可</v>
          </cell>
          <cell r="DR5" t="str">
            <v>指示入力は入るものの、物忘れや記銘力に低下あり。長谷川式12点と低値。病識もない。</v>
          </cell>
          <cell r="DU5" t="str">
            <v>入力</v>
          </cell>
          <cell r="DW5" t="str">
            <v>できない</v>
          </cell>
          <cell r="DX5" t="str">
            <v>自分の手で支えればできる</v>
          </cell>
          <cell r="DY5" t="str">
            <v>できない</v>
          </cell>
          <cell r="DZ5" t="str">
            <v>できない</v>
          </cell>
          <cell r="EA5" t="str">
            <v>全介助</v>
          </cell>
          <cell r="EB5" t="str">
            <v>全介助</v>
          </cell>
          <cell r="EC5" t="str">
            <v>車椅子</v>
          </cell>
          <cell r="ED5" t="str">
            <v>全介助</v>
          </cell>
          <cell r="EE5" t="str">
            <v>車椅子</v>
          </cell>
          <cell r="EF5" t="str">
            <v>移動はリクライニング車椅子を使用。
永井病院に入院中は歩行器で歩く練習をされていたが、老健ロマンに退院後は積極的に歩行訓練は行っていない。
血圧70～100mmHgで起立性低血圧の危険性もあり終日ベッドで臥床。
基本的に寝たきりの生活をされており、すべての動作において協力動作はあるものの介助を要す。</v>
          </cell>
          <cell r="EH5" t="str">
            <v>入力</v>
          </cell>
          <cell r="EI5" t="str">
            <v>入力</v>
          </cell>
          <cell r="EJ5" t="str">
            <v>経口摂取</v>
          </cell>
          <cell r="EK5" t="str">
            <v>一部介助</v>
          </cell>
          <cell r="EL5" t="str">
            <v>できる</v>
          </cell>
          <cell r="EM5" t="str">
            <v>軟飯</v>
          </cell>
          <cell r="EN5" t="str">
            <v>一口大</v>
          </cell>
          <cell r="EO5" t="str">
            <v>無</v>
          </cell>
          <cell r="EP5" t="str">
            <v>有</v>
          </cell>
          <cell r="EQ5" t="str">
            <v>スプーン</v>
          </cell>
          <cell r="ER5" t="str">
            <v>食事制限：塩分6g未満、低残渣食
現在はリクライニング車椅子で食事をされている。ご自身で食べることも可能だが、手がとまったりで食事が進まないときは介助を行っている。</v>
          </cell>
          <cell r="ET5" t="str">
            <v>入力</v>
          </cell>
          <cell r="EU5" t="str">
            <v>全介助</v>
          </cell>
          <cell r="EW5" t="str">
            <v>有</v>
          </cell>
          <cell r="EX5" t="str">
            <v>総義歯</v>
          </cell>
          <cell r="EY5" t="str">
            <v>上下</v>
          </cell>
          <cell r="EZ5" t="str">
            <v>口腔ケアはベッド上で介助している。
うがいはガーグルベースを使用することで可能。</v>
          </cell>
          <cell r="FB5" t="str">
            <v>入力</v>
          </cell>
          <cell r="FC5" t="str">
            <v>一部介助</v>
          </cell>
          <cell r="FD5" t="str">
            <v>シャワー浴</v>
          </cell>
          <cell r="FE5" t="str">
            <v>無</v>
          </cell>
          <cell r="FG5" t="str">
            <v>一部介助</v>
          </cell>
          <cell r="FH5" t="str">
            <v>一部介助</v>
          </cell>
          <cell r="FK5" t="str">
            <v>入力</v>
          </cell>
          <cell r="FL5" t="str">
            <v>全介助</v>
          </cell>
          <cell r="FM5" t="str">
            <v>有</v>
          </cell>
          <cell r="FN5" t="str">
            <v>有</v>
          </cell>
          <cell r="FO5" t="str">
            <v>有</v>
          </cell>
          <cell r="FP5" t="str">
            <v>有</v>
          </cell>
          <cell r="FQ5" t="str">
            <v>普通便</v>
          </cell>
          <cell r="FR5" t="str">
            <v>オムツ</v>
          </cell>
          <cell r="FS5" t="str">
            <v>オムツ</v>
          </cell>
          <cell r="FT5" t="str">
            <v>紙おむつ , 小パット</v>
          </cell>
          <cell r="FU5" t="str">
            <v>医師からトイレの許可は出ているが、長期臥床により起立性低血圧のリスクがありオムツ対応。
今後もオムツ対応とする。</v>
          </cell>
          <cell r="FX5" t="str">
            <v>入力</v>
          </cell>
          <cell r="FY5" t="str">
            <v>全介助</v>
          </cell>
          <cell r="FZ5" t="str">
            <v>全介助</v>
          </cell>
          <cell r="GA5" t="str">
            <v>全介助</v>
          </cell>
          <cell r="GB5" t="str">
            <v>全介助</v>
          </cell>
          <cell r="GC5" t="str">
            <v>全介助</v>
          </cell>
          <cell r="GD5" t="str">
            <v>すべて全介助。</v>
          </cell>
          <cell r="GH5">
            <v>30</v>
          </cell>
        </row>
        <row r="6">
          <cell r="C6" t="str">
            <v>鬼頭　孝子</v>
          </cell>
          <cell r="D6" t="str">
            <v>db4c110d</v>
          </cell>
          <cell r="I6">
            <v>45793</v>
          </cell>
          <cell r="J6" t="str">
            <v>山川　和輝</v>
          </cell>
          <cell r="K6" t="str">
            <v>新規</v>
          </cell>
          <cell r="L6" t="str">
            <v>本人の居室</v>
          </cell>
          <cell r="M6" t="str">
            <v>元々パーマ屋を営んでおり、夫が平成15年にご逝去されてから近所の顔馴染みの友人も施設入所等でいなくなり、デイサービスと訪問介護を利用しながら在宅生活をしていた。
網膜静脈閉鎖と緑内障から視力の低下があり、令和4年6月13日にサービス付き高齢者向け住宅ケアスイートに入居となった。
令和6年8月8日、現在住まれているケアスイートが経営破綻となり急遽転居が必要となり、安濃津ろまんの申し込みがあった。安濃津ろまんのお部屋があくまでの間、昭和ろまんショートステイを一時利用することとなった。</v>
          </cell>
          <cell r="N6" t="str">
            <v>目が見えないので一人でいろんなことができないので、できないことは手伝って欲しい。</v>
          </cell>
          <cell r="O6" t="str">
            <v>家で見ることはできないので、施設で幸せに過ごしてほしい。</v>
          </cell>
          <cell r="Q6" t="str">
            <v>入力</v>
          </cell>
          <cell r="R6" t="str">
            <v>要介護３</v>
          </cell>
          <cell r="S6" t="str">
            <v>令和5年11月1日</v>
          </cell>
          <cell r="T6" t="str">
            <v>令和5年11月1日</v>
          </cell>
          <cell r="U6" t="str">
            <v>令和6年10月31日</v>
          </cell>
          <cell r="V6" t="str">
            <v>１割負担</v>
          </cell>
          <cell r="W6" t="str">
            <v>後期高齢者医療保険</v>
          </cell>
          <cell r="X6" t="str">
            <v>有</v>
          </cell>
          <cell r="Z6" t="str">
            <v>無</v>
          </cell>
          <cell r="AA6" t="str">
            <v>無</v>
          </cell>
          <cell r="AE6" t="str">
            <v>入力</v>
          </cell>
          <cell r="AF6" t="str">
            <v>鬼頭　正幸</v>
          </cell>
          <cell r="AG6" t="str">
            <v>長男</v>
          </cell>
          <cell r="AI6" t="str">
            <v>別居</v>
          </cell>
          <cell r="AJ6" t="str">
            <v>介護しない</v>
          </cell>
          <cell r="AK6" t="str">
            <v>有</v>
          </cell>
          <cell r="AL6" t="str">
            <v>090-7952-6699</v>
          </cell>
          <cell r="AM6" t="str">
            <v>KP</v>
          </cell>
          <cell r="BW6" t="str">
            <v>入力</v>
          </cell>
          <cell r="BX6" t="str">
            <v>高血圧症</v>
          </cell>
          <cell r="BY6" t="str">
            <v>不詳</v>
          </cell>
          <cell r="BZ6" t="str">
            <v>便秘症</v>
          </cell>
          <cell r="CA6" t="str">
            <v>不詳</v>
          </cell>
          <cell r="CB6" t="str">
            <v>変形性膝関節症</v>
          </cell>
          <cell r="CC6" t="str">
            <v>不詳</v>
          </cell>
          <cell r="CD6" t="str">
            <v>認知症</v>
          </cell>
          <cell r="CE6" t="str">
            <v>不詳</v>
          </cell>
          <cell r="CF6" t="str">
            <v>網膜静脈閉鎖、緑内障</v>
          </cell>
          <cell r="CG6" t="str">
            <v>不詳</v>
          </cell>
          <cell r="CJ6" t="str">
            <v>1ヶ月に1度、まつなが眼科を受診している。最終受診日は8/6。
毎朝7：00ごろにザラカム点眼液を両眼に介助にて行っている。</v>
          </cell>
          <cell r="CK6" t="str">
            <v>テスト</v>
          </cell>
          <cell r="CL6" t="str">
            <v>テスト</v>
          </cell>
          <cell r="CM6" t="str">
            <v>テスト</v>
          </cell>
          <cell r="CN6" t="str">
            <v>テスト</v>
          </cell>
          <cell r="CO6" t="str">
            <v>あ</v>
          </cell>
          <cell r="CP6" t="str">
            <v>あ</v>
          </cell>
          <cell r="CQ6" t="str">
            <v>ｓ</v>
          </cell>
          <cell r="CR6" t="str">
            <v>ｄ</v>
          </cell>
          <cell r="CS6" t="str">
            <v>腹部症状等で、平成25年6月後より加藤医院へ通院されており、その際に総合病院を紹介市、大腸ファイバー等で精査を行った結果、特に異常はなく便秘症と診断があった。
網膜静脈閉鎖と緑内障があり、左目がほとんど見えない状況で右目の視力のみで生活されている。</v>
          </cell>
          <cell r="CT6" t="str">
            <v>服薬管理は施設が行っている。</v>
          </cell>
          <cell r="CU6" t="str">
            <v>有</v>
          </cell>
          <cell r="CV6" t="str">
            <v>ｆｆｆ</v>
          </cell>
          <cell r="CX6" t="str">
            <v>入力</v>
          </cell>
          <cell r="CY6" t="str">
            <v>無</v>
          </cell>
          <cell r="CZ6" t="str">
            <v>無</v>
          </cell>
          <cell r="DA6" t="str">
            <v>無</v>
          </cell>
          <cell r="DB6" t="str">
            <v>無</v>
          </cell>
          <cell r="DC6" t="str">
            <v>無</v>
          </cell>
          <cell r="DD6">
            <v>0</v>
          </cell>
          <cell r="DE6">
            <v>0</v>
          </cell>
          <cell r="DF6" t="str">
            <v>ほぼ見えない</v>
          </cell>
          <cell r="DG6" t="str">
            <v>無</v>
          </cell>
          <cell r="DH6" t="str">
            <v>正常</v>
          </cell>
          <cell r="DI6" t="str">
            <v>無</v>
          </cell>
          <cell r="DJ6" t="str">
            <v>左目はほとんど見えていないが、右目は問題なし。</v>
          </cell>
          <cell r="DL6" t="str">
            <v>入力</v>
          </cell>
          <cell r="DM6" t="str">
            <v>有</v>
          </cell>
          <cell r="DN6" t="str">
            <v>軽度</v>
          </cell>
          <cell r="DO6" t="str">
            <v>被害妄想</v>
          </cell>
          <cell r="DP6" t="str">
            <v>可能</v>
          </cell>
          <cell r="DQ6" t="str">
            <v>可能</v>
          </cell>
          <cell r="DR6" t="str">
            <v>年相応の物忘れは見られるものの、日常生活に支障が出ることは少ない。
被害妄想や、隣の部屋の物音、食事内容や職員の態度等で施設管理者に苦情を入れることが多い。ご家族様とよく携帯で連絡を取っているが、ご家族様は苦情を把握されていなかった。
ご家族様からは「知らなかったですが、クレーマーなんですね。」と笑いながら言われていた。</v>
          </cell>
          <cell r="DU6" t="str">
            <v>入力</v>
          </cell>
          <cell r="DV6" t="str">
            <v>何かにつかまればできる</v>
          </cell>
          <cell r="DW6" t="str">
            <v>何かにつかまればできる</v>
          </cell>
          <cell r="DX6" t="str">
            <v>自分の手で支えればできる</v>
          </cell>
          <cell r="DY6" t="str">
            <v>何かにつかまればできる</v>
          </cell>
          <cell r="DZ6" t="str">
            <v>何か支えがあればできる</v>
          </cell>
          <cell r="EA6" t="str">
            <v>自立</v>
          </cell>
          <cell r="EB6" t="str">
            <v>自立</v>
          </cell>
          <cell r="EC6" t="str">
            <v>歩行器</v>
          </cell>
          <cell r="ED6" t="str">
            <v>自立</v>
          </cell>
          <cell r="EE6" t="str">
            <v>歩行器</v>
          </cell>
          <cell r="EF6" t="str">
            <v>移動はシルバーカーを使用されており、転倒歴はあるものの比較的しっかり歩行できている。屋外もシルバーカーで歩行可能だが、転倒リスクが高いため、見守りは必要な状況。</v>
          </cell>
          <cell r="EH6" t="str">
            <v>入力</v>
          </cell>
          <cell r="EI6" t="str">
            <v>入力</v>
          </cell>
          <cell r="EJ6" t="str">
            <v>経口摂取</v>
          </cell>
          <cell r="EK6" t="str">
            <v>自立</v>
          </cell>
          <cell r="EL6" t="str">
            <v>できる</v>
          </cell>
          <cell r="EM6" t="str">
            <v>普通</v>
          </cell>
          <cell r="EN6" t="str">
            <v>キザミ</v>
          </cell>
          <cell r="EO6" t="str">
            <v>無</v>
          </cell>
          <cell r="EP6" t="str">
            <v>無</v>
          </cell>
          <cell r="EQ6" t="str">
            <v>箸 , スプーン</v>
          </cell>
          <cell r="ER6" t="str">
            <v>好き嫌いが多く、メニューによってはほとんど残されることも多々ある。入れ歯の調子が悪く、副食は刻み食となっている。</v>
          </cell>
          <cell r="ET6" t="str">
            <v>入力</v>
          </cell>
          <cell r="EU6" t="str">
            <v>自立</v>
          </cell>
          <cell r="EW6" t="str">
            <v>有</v>
          </cell>
          <cell r="EX6" t="str">
            <v>部分義歯</v>
          </cell>
          <cell r="EY6" t="str">
            <v>上下</v>
          </cell>
          <cell r="EZ6" t="str">
            <v>義歯は上下部分入れ歯を使用されている。
義歯の洗浄や口腔ケアはご自身で行うことができている。</v>
          </cell>
          <cell r="FB6" t="str">
            <v>入力</v>
          </cell>
          <cell r="FC6" t="str">
            <v>見守り</v>
          </cell>
          <cell r="FD6" t="str">
            <v>一般浴</v>
          </cell>
          <cell r="FE6" t="str">
            <v>無</v>
          </cell>
          <cell r="FG6" t="str">
            <v>自立</v>
          </cell>
          <cell r="FH6" t="str">
            <v>自立</v>
          </cell>
          <cell r="FI6" t="str">
            <v>入浴は浴槽を跨ぐ際に不安定となるため、見守りや介助が必要。
更衣は普段朝と夜に着替えを行っている。</v>
          </cell>
          <cell r="FK6" t="str">
            <v>入力</v>
          </cell>
          <cell r="FL6" t="str">
            <v>自立</v>
          </cell>
          <cell r="FM6" t="str">
            <v>有</v>
          </cell>
          <cell r="FN6" t="str">
            <v>有</v>
          </cell>
          <cell r="FO6" t="str">
            <v>有</v>
          </cell>
          <cell r="FP6" t="str">
            <v>無</v>
          </cell>
          <cell r="FR6" t="str">
            <v>トイレ</v>
          </cell>
          <cell r="FS6" t="str">
            <v>トイレ</v>
          </cell>
          <cell r="FT6" t="str">
            <v>リハビリパンツ , 小パット</v>
          </cell>
          <cell r="FU6" t="str">
            <v>普段リハビリパンツと小パットを使用しており、失禁はあるもののご自身でトイレに行きパットの処理等、自立されている。
ただ、パットの交換頻度が高く、少し尿漏れした程度で交換を行っているため、パットの使用量が多い。ご家族様はこの状況を理解されていなかったが、パットの請求額が多いことは気になっていたと言われていた。
便に対して固執傾向で、毎日排便がないと不安になるが、最近は順調に出ている。</v>
          </cell>
          <cell r="GG6" t="str">
            <v>便に対して固執傾向にあり、最近は順調に出ているものの、便が出やすくするために、毎日コーヒーとバナナを朝の4時に飲食されている。
現施設では、バナナとコーヒーは買い物サービスを利用して購入して頂いている。今後も継続できるかは不安に思われていた。</v>
          </cell>
          <cell r="GH6">
            <v>30</v>
          </cell>
        </row>
        <row r="7">
          <cell r="C7" t="str">
            <v>岡部　玲子</v>
          </cell>
          <cell r="D7" t="str">
            <v>a5b08413</v>
          </cell>
          <cell r="I7">
            <v>45609</v>
          </cell>
          <cell r="J7" t="str">
            <v>山川　和輝</v>
          </cell>
          <cell r="K7" t="str">
            <v>新規</v>
          </cell>
          <cell r="L7" t="str">
            <v>本人の居室</v>
          </cell>
          <cell r="M7" t="str">
            <v>子供3人が独立し夫と二人暮らしをしていた。長男、次女宅は徒歩10分の所に在住。長女は大阪在住。夫が認知症となり介護が必要となったため、令和1年10月にサービス付き高齢者向け住宅ケアスイートに夫婦で入居する。入居時は要介護1で夫の面倒も見ていた。夫が亡くなり令和3年11月から要介護2となり、デイサービスや訪問介護、施設サービスを利用しながら生活を送っていた。令和6年8月に現施設の経営破綻により急遽転居が必要となったため、サービス付き高齢者向け住宅　安濃津ろまんへ転居予定となったが、部屋が空くまでの間、昭和ろまんのショートステイを利用することとなった。その後、令和6年9月8日にサービス付き高齢者向け住宅安濃津ろまんへ入居となった。</v>
          </cell>
          <cell r="N7" t="str">
            <v>ご迷惑をかけない程度で元気に生活していきたいと思います。</v>
          </cell>
          <cell r="O7" t="str">
            <v>施設で安心して生活してもらいたいです。</v>
          </cell>
          <cell r="Q7" t="str">
            <v>入力</v>
          </cell>
          <cell r="R7" t="str">
            <v>要介護１</v>
          </cell>
          <cell r="S7" t="str">
            <v>令和6年11月7日</v>
          </cell>
          <cell r="T7" t="str">
            <v>令和6年11月1日</v>
          </cell>
          <cell r="U7" t="str">
            <v>令和7年10月31日</v>
          </cell>
          <cell r="V7" t="str">
            <v>１割負担</v>
          </cell>
          <cell r="W7" t="str">
            <v>後期高齢者医療保険</v>
          </cell>
          <cell r="X7" t="str">
            <v>無</v>
          </cell>
          <cell r="Z7" t="str">
            <v>無</v>
          </cell>
          <cell r="AA7" t="str">
            <v>無</v>
          </cell>
          <cell r="AB7" t="str">
            <v>B1</v>
          </cell>
          <cell r="AC7" t="str">
            <v>Ⅲa</v>
          </cell>
          <cell r="AE7" t="str">
            <v>入力</v>
          </cell>
          <cell r="AF7" t="str">
            <v>岡部　宏司</v>
          </cell>
          <cell r="AG7" t="str">
            <v>長男</v>
          </cell>
          <cell r="AI7" t="str">
            <v>別居</v>
          </cell>
          <cell r="AJ7" t="str">
            <v>介護しない</v>
          </cell>
          <cell r="AK7" t="str">
            <v>有</v>
          </cell>
          <cell r="AL7" t="str">
            <v>090-3939-7431</v>
          </cell>
          <cell r="AM7" t="str">
            <v>KP</v>
          </cell>
          <cell r="AW7" t="str">
            <v>入力</v>
          </cell>
          <cell r="AX7" t="str">
            <v>一人暮らし</v>
          </cell>
          <cell r="AY7" t="str">
            <v>集合住宅</v>
          </cell>
          <cell r="AZ7" t="str">
            <v>エレベーター有</v>
          </cell>
          <cell r="BA7" t="str">
            <v>賃貸</v>
          </cell>
          <cell r="BB7" t="str">
            <v>有</v>
          </cell>
          <cell r="BC7" t="str">
            <v>有</v>
          </cell>
          <cell r="BD7" t="str">
            <v>洋式</v>
          </cell>
          <cell r="BE7" t="str">
            <v>手すり有</v>
          </cell>
          <cell r="BF7" t="str">
            <v>段差無</v>
          </cell>
          <cell r="BG7" t="str">
            <v>有</v>
          </cell>
          <cell r="BH7" t="str">
            <v>手すり有</v>
          </cell>
          <cell r="BI7" t="str">
            <v>リクライニングベッド</v>
          </cell>
          <cell r="BJ7" t="str">
            <v>無</v>
          </cell>
          <cell r="BK7" t="str">
            <v>無</v>
          </cell>
          <cell r="BL7" t="str">
            <v>無</v>
          </cell>
          <cell r="BM7" t="str">
            <v>無</v>
          </cell>
          <cell r="BO7" t="str">
            <v>入力</v>
          </cell>
          <cell r="BP7" t="str">
            <v>訪問介護 , 訪問看護 , 通所介護</v>
          </cell>
          <cell r="BQ7" t="str">
            <v>車いす , 特殊寝台 , 特殊寝台付属品 , 手すり</v>
          </cell>
          <cell r="BR7" t="str">
            <v>特になし</v>
          </cell>
          <cell r="BS7" t="str">
            <v>食事支援 , 排泄支援 , リネンリース , 洗濯</v>
          </cell>
          <cell r="BT7" t="str">
            <v>集団への不適応は見られない。</v>
          </cell>
          <cell r="BW7" t="str">
            <v>入力</v>
          </cell>
          <cell r="BX7" t="str">
            <v>脳梗塞</v>
          </cell>
          <cell r="BY7" t="str">
            <v>令和6年6月16日</v>
          </cell>
          <cell r="BZ7" t="str">
            <v>頭痛</v>
          </cell>
          <cell r="CA7" t="str">
            <v>不詳</v>
          </cell>
          <cell r="CB7" t="str">
            <v>右大腿骨頸部骨折</v>
          </cell>
          <cell r="CC7" t="str">
            <v>令和5年3月25日</v>
          </cell>
          <cell r="CD7" t="str">
            <v>洞不全症候群</v>
          </cell>
          <cell r="CE7" t="str">
            <v>不詳</v>
          </cell>
          <cell r="CF7" t="str">
            <v>Th7椎体骨折</v>
          </cell>
          <cell r="CG7" t="str">
            <v>令和3年10月頃</v>
          </cell>
          <cell r="CH7" t="str">
            <v>慢性心不全</v>
          </cell>
          <cell r="CI7" t="str">
            <v>不詳</v>
          </cell>
          <cell r="CJ7" t="str">
            <v>加藤医院による往診を受けている。</v>
          </cell>
          <cell r="CS7" t="str">
            <v>疾患名で列挙した以外にも、ラクナ梗塞や両変形性膝関節症（術後）、頸椎ヘルニアが既往となっている。
脳梗塞を発症したものの、ご本人、ご家族様ともに入院の希望はなく保存療法となった。</v>
          </cell>
          <cell r="CT7" t="str">
            <v>服薬管理は施設で管理されている。頓服の頭痛薬があり、必要時にNsコールで職員へ伝える。</v>
          </cell>
          <cell r="CX7" t="str">
            <v>入力</v>
          </cell>
          <cell r="CY7" t="str">
            <v>かゆみ</v>
          </cell>
          <cell r="CZ7" t="str">
            <v>無</v>
          </cell>
          <cell r="DA7" t="str">
            <v>無</v>
          </cell>
          <cell r="DB7" t="str">
            <v>特になし。</v>
          </cell>
          <cell r="DC7" t="str">
            <v>頭痛あり</v>
          </cell>
          <cell r="DD7">
            <v>0</v>
          </cell>
          <cell r="DE7">
            <v>0</v>
          </cell>
          <cell r="DF7" t="str">
            <v>正常</v>
          </cell>
          <cell r="DG7" t="str">
            <v>有</v>
          </cell>
          <cell r="DH7" t="str">
            <v>正常</v>
          </cell>
          <cell r="DI7" t="str">
            <v>無</v>
          </cell>
          <cell r="DJ7" t="str">
            <v>・心拍数は低め（徐脈）で、測定値は46～52回/分。ただし、不整脈や胸部の不快感はなく、他のバイタルサインも安定しているため、心臓機能に大きな異常はみられない。
・背部や腹部にかゆみがあり、リンデロン塗布にて改善を図っているが、かゆみが持続している。
・足趾や踵に乾燥やガサつきが見られ、定期的な保湿ケアが必要。趾間のジクつきはなく、清潔保持されている。</v>
          </cell>
          <cell r="DL7" t="str">
            <v>入力</v>
          </cell>
          <cell r="DM7" t="str">
            <v>有</v>
          </cell>
          <cell r="DN7" t="str">
            <v>軽度</v>
          </cell>
          <cell r="DO7" t="str">
            <v>無</v>
          </cell>
          <cell r="DP7" t="str">
            <v>可能</v>
          </cell>
          <cell r="DQ7" t="str">
            <v>可能</v>
          </cell>
          <cell r="DR7" t="str">
            <v>年相応の見当識や、記銘力の低下がある。
ただ危険認識力は性格的なものなのか不明だが低下しており、何度も転倒を繰り返されている。
認知機能の低下に加え、遠慮もありNsコールをほとんど押すことはない。</v>
          </cell>
          <cell r="DU7" t="str">
            <v>入力</v>
          </cell>
          <cell r="DV7" t="str">
            <v>何かにつかまればできる</v>
          </cell>
          <cell r="DW7" t="str">
            <v>何かにつかまればできる</v>
          </cell>
          <cell r="DX7" t="str">
            <v>自分の手で支えればできる</v>
          </cell>
          <cell r="DY7" t="str">
            <v>何かにつかまればできる</v>
          </cell>
          <cell r="DZ7" t="str">
            <v>何か支えがあればできる</v>
          </cell>
          <cell r="EA7" t="str">
            <v>自立</v>
          </cell>
          <cell r="EB7" t="str">
            <v>自立</v>
          </cell>
          <cell r="EC7" t="str">
            <v>車椅子</v>
          </cell>
          <cell r="ED7" t="str">
            <v>全介助</v>
          </cell>
          <cell r="EE7" t="str">
            <v>車椅子</v>
          </cell>
          <cell r="EF7" t="str">
            <v>基本動作はご自身で可能。
起立や立位保持、移乗もご自身で行われているものの、ふらつきもある。車いすの移動はご自身で操作され移動されており、居室内は転倒も少なくご自身で生活されている。
元々は独歩、伝い歩きで移動されていたが、転倒後から車いす生活となっている。</v>
          </cell>
          <cell r="EH7" t="str">
            <v>入力</v>
          </cell>
          <cell r="EI7" t="str">
            <v>入力</v>
          </cell>
          <cell r="EJ7" t="str">
            <v>経口摂取</v>
          </cell>
          <cell r="EK7" t="str">
            <v>自立</v>
          </cell>
          <cell r="EL7" t="str">
            <v>できる</v>
          </cell>
          <cell r="EM7" t="str">
            <v>普通</v>
          </cell>
          <cell r="EN7" t="str">
            <v>普通</v>
          </cell>
          <cell r="EO7" t="str">
            <v>無</v>
          </cell>
          <cell r="EP7" t="str">
            <v>無</v>
          </cell>
          <cell r="EQ7" t="str">
            <v>箸 , スプーン</v>
          </cell>
          <cell r="ER7" t="str">
            <v>特に問題は見られない。</v>
          </cell>
          <cell r="ET7" t="str">
            <v>入力</v>
          </cell>
          <cell r="EZ7" t="str">
            <v>今後確認を行う。</v>
          </cell>
          <cell r="FB7" t="str">
            <v>入力</v>
          </cell>
          <cell r="FC7" t="str">
            <v>一部介助</v>
          </cell>
          <cell r="FD7" t="str">
            <v>チェアー浴</v>
          </cell>
          <cell r="FE7" t="str">
            <v>無</v>
          </cell>
          <cell r="FG7" t="str">
            <v>自立</v>
          </cell>
          <cell r="FH7" t="str">
            <v>自立</v>
          </cell>
          <cell r="FI7" t="str">
            <v>入浴はデイサービス利用時に職員の介助のもと大浴場にて入浴されている。
更衣に関してはご自身で着替えており、毎朝晩に洋服、パジャマに着替えを行っている。</v>
          </cell>
          <cell r="FK7" t="str">
            <v>入力</v>
          </cell>
          <cell r="FL7" t="str">
            <v>自立</v>
          </cell>
          <cell r="FM7" t="str">
            <v>有</v>
          </cell>
          <cell r="FN7" t="str">
            <v>無</v>
          </cell>
          <cell r="FO7" t="str">
            <v>有</v>
          </cell>
          <cell r="FP7" t="str">
            <v>無</v>
          </cell>
          <cell r="FR7" t="str">
            <v>トイレ</v>
          </cell>
          <cell r="FS7" t="str">
            <v>トイレ</v>
          </cell>
          <cell r="FU7" t="str">
            <v>布パンツを使用されており、失禁は見られない。
ただおひとりでトイレで排泄されるため、転倒リスクは高い。</v>
          </cell>
          <cell r="FX7" t="str">
            <v>入力</v>
          </cell>
          <cell r="FY7" t="str">
            <v>全介助</v>
          </cell>
          <cell r="FZ7" t="str">
            <v>全介助</v>
          </cell>
          <cell r="GA7" t="str">
            <v>全介助</v>
          </cell>
          <cell r="GB7" t="str">
            <v>全介助</v>
          </cell>
          <cell r="GC7" t="str">
            <v>全介助</v>
          </cell>
          <cell r="GD7" t="str">
            <v>すべて施設サービスを受けている。</v>
          </cell>
          <cell r="GG7" t="str">
            <v>現在デイサービスを利用されており、集団への不適応は見られていないものの、頭痛の訴え等、何かしらの理由を付けてデイサービスを休みがち。</v>
          </cell>
          <cell r="GH7">
            <v>30</v>
          </cell>
        </row>
        <row r="8">
          <cell r="C8" t="str">
            <v>河合　義子</v>
          </cell>
          <cell r="D8" t="str">
            <v>a78f7be4</v>
          </cell>
          <cell r="I8">
            <v>45529</v>
          </cell>
          <cell r="J8" t="str">
            <v>山川　和輝</v>
          </cell>
          <cell r="K8" t="str">
            <v>ケアマネ変更</v>
          </cell>
          <cell r="L8" t="str">
            <v>本人の居室</v>
          </cell>
          <cell r="Q8" t="str">
            <v>入力</v>
          </cell>
          <cell r="R8" t="str">
            <v>要介護３</v>
          </cell>
          <cell r="S8" t="str">
            <v>令和6年6月27日</v>
          </cell>
          <cell r="T8" t="str">
            <v>令和6年4月1日</v>
          </cell>
          <cell r="U8" t="str">
            <v>令和7年3月31日</v>
          </cell>
          <cell r="V8" t="str">
            <v>１割負担</v>
          </cell>
          <cell r="W8" t="str">
            <v>後期高齢者医療保険</v>
          </cell>
          <cell r="X8" t="str">
            <v>無</v>
          </cell>
          <cell r="Z8" t="str">
            <v>無</v>
          </cell>
          <cell r="AA8" t="str">
            <v>無</v>
          </cell>
          <cell r="AB8" t="str">
            <v>J2</v>
          </cell>
          <cell r="AC8" t="str">
            <v>Ⅲb</v>
          </cell>
          <cell r="AE8" t="str">
            <v>入力</v>
          </cell>
          <cell r="AF8" t="str">
            <v>河合　紀子</v>
          </cell>
          <cell r="AG8" t="str">
            <v>長男の嫁</v>
          </cell>
          <cell r="AI8" t="str">
            <v>同居</v>
          </cell>
          <cell r="AJ8" t="str">
            <v>介護する</v>
          </cell>
          <cell r="AK8" t="str">
            <v>無</v>
          </cell>
          <cell r="AL8" t="str">
            <v>090-2260-4999</v>
          </cell>
          <cell r="AM8" t="str">
            <v>KP。最近リウマチを発症</v>
          </cell>
          <cell r="AN8" t="str">
            <v>河合　才和</v>
          </cell>
          <cell r="AO8" t="str">
            <v>長男</v>
          </cell>
          <cell r="AQ8" t="str">
            <v>同居</v>
          </cell>
          <cell r="AR8" t="str">
            <v>介護しない</v>
          </cell>
          <cell r="AS8" t="str">
            <v>有</v>
          </cell>
          <cell r="AT8" t="str">
            <v>090-3389-7915</v>
          </cell>
          <cell r="AU8" t="str">
            <v>本人と関わりを持たない。</v>
          </cell>
          <cell r="AW8" t="str">
            <v>入力</v>
          </cell>
          <cell r="AX8" t="str">
            <v>家族同居</v>
          </cell>
          <cell r="AY8" t="str">
            <v>一戸建て</v>
          </cell>
          <cell r="BA8" t="str">
            <v>所有</v>
          </cell>
          <cell r="BB8" t="str">
            <v>有</v>
          </cell>
          <cell r="BC8" t="str">
            <v>有</v>
          </cell>
          <cell r="BD8" t="str">
            <v>補高便座</v>
          </cell>
          <cell r="BG8" t="str">
            <v>有</v>
          </cell>
          <cell r="BH8" t="str">
            <v>手すり無</v>
          </cell>
          <cell r="BI8" t="str">
            <v>ベッド</v>
          </cell>
          <cell r="BJ8" t="str">
            <v>無</v>
          </cell>
          <cell r="BK8" t="str">
            <v>有</v>
          </cell>
          <cell r="BL8" t="str">
            <v>有</v>
          </cell>
          <cell r="BO8" t="str">
            <v>入力</v>
          </cell>
          <cell r="BP8" t="str">
            <v>通所介護</v>
          </cell>
          <cell r="BR8" t="str">
            <v>住宅改修9/6着工</v>
          </cell>
          <cell r="BT8" t="str">
            <v>デイサービスを利用し他者との交流あり。トラブル等はなし。</v>
          </cell>
          <cell r="BW8" t="str">
            <v>入力</v>
          </cell>
          <cell r="BX8" t="str">
            <v>高血圧症</v>
          </cell>
          <cell r="BY8" t="str">
            <v>不詳</v>
          </cell>
          <cell r="BZ8" t="str">
            <v>蓄膿症</v>
          </cell>
          <cell r="CA8" t="str">
            <v>不詳</v>
          </cell>
          <cell r="CB8" t="str">
            <v>手足のしびれ、痛み</v>
          </cell>
          <cell r="CC8" t="str">
            <v>不詳</v>
          </cell>
          <cell r="CJ8" t="str">
            <v>主治医は寺田医院。何か体調に変化があればお嫁様の付き添いで受診。しのぎ耳鼻科と新町整形外科は服薬がなくなりそうなときに受診を行っている。</v>
          </cell>
          <cell r="CS8" t="str">
            <v>特になし。</v>
          </cell>
          <cell r="CT8" t="str">
            <v>服薬管理はもともとご自身で行っていたが、飲み忘れが増えたことで、鳥羽に住む娘様が2週間に1度自宅へ来られて管理している。</v>
          </cell>
          <cell r="CX8" t="str">
            <v>入力</v>
          </cell>
          <cell r="CY8" t="str">
            <v>無</v>
          </cell>
          <cell r="CZ8" t="str">
            <v>無</v>
          </cell>
          <cell r="DA8" t="str">
            <v>無</v>
          </cell>
          <cell r="DB8" t="str">
            <v>特になし</v>
          </cell>
          <cell r="DC8" t="str">
            <v>右手足の痛み、しびれあり</v>
          </cell>
          <cell r="DF8" t="str">
            <v>大きい字は可</v>
          </cell>
          <cell r="DG8" t="str">
            <v>有</v>
          </cell>
          <cell r="DH8" t="str">
            <v>大きい声は可</v>
          </cell>
          <cell r="DI8" t="str">
            <v>無</v>
          </cell>
          <cell r="DJ8" t="str">
            <v>原因不明の右手足のしびれや痛みがある。高血圧症があり降圧剤が処方されているが、時折血圧が低値になることがある。
難聴があり大きなことでお話しする必要がある。</v>
          </cell>
          <cell r="DL8" t="str">
            <v>入力</v>
          </cell>
          <cell r="DM8" t="str">
            <v>有</v>
          </cell>
          <cell r="DN8" t="str">
            <v>中等度</v>
          </cell>
          <cell r="DO8" t="str">
            <v>無</v>
          </cell>
          <cell r="DP8" t="str">
            <v>可能</v>
          </cell>
          <cell r="DQ8" t="str">
            <v>その場のみ可</v>
          </cell>
          <cell r="DR8" t="str">
            <v>記憶力の低下や記銘力が年相応かそれ以上に低下がみられる。</v>
          </cell>
          <cell r="DU8" t="str">
            <v>入力</v>
          </cell>
          <cell r="DV8" t="str">
            <v>何かにつかまればできる</v>
          </cell>
          <cell r="DW8" t="str">
            <v>何かにつかまればできる</v>
          </cell>
          <cell r="DX8" t="str">
            <v>自分の手で支えればできる</v>
          </cell>
          <cell r="DY8" t="str">
            <v>何かにつかまればできる</v>
          </cell>
          <cell r="DZ8" t="str">
            <v>何か支えがあればできる</v>
          </cell>
          <cell r="EA8" t="str">
            <v>自立</v>
          </cell>
          <cell r="EB8" t="str">
            <v>自立</v>
          </cell>
          <cell r="EC8" t="str">
            <v>独歩</v>
          </cell>
          <cell r="ED8" t="str">
            <v>一部介助</v>
          </cell>
          <cell r="EE8" t="str">
            <v>歩行器</v>
          </cell>
          <cell r="EF8" t="str">
            <v>室内移動は、床を這って移動。伝い歩きも可能だが転倒リスクが高く、また本人曰く這って移動したほうが早い。と言われている。屋外はシルバーカーを使用して何とかご自身で歩けているものの、長距離の移動は介助を要す。</v>
          </cell>
          <cell r="EH8" t="str">
            <v>入力</v>
          </cell>
          <cell r="EI8" t="str">
            <v>入力</v>
          </cell>
          <cell r="EJ8" t="str">
            <v>経口摂取</v>
          </cell>
          <cell r="EK8" t="str">
            <v>自立</v>
          </cell>
          <cell r="EL8" t="str">
            <v>できる</v>
          </cell>
          <cell r="EM8" t="str">
            <v>普通</v>
          </cell>
          <cell r="EN8" t="str">
            <v>普通</v>
          </cell>
          <cell r="EO8" t="str">
            <v>無</v>
          </cell>
          <cell r="EP8" t="str">
            <v>無</v>
          </cell>
          <cell r="EQ8" t="str">
            <v>箸 , スプーン</v>
          </cell>
          <cell r="ER8" t="str">
            <v>食事は長男の妻が準備している。
ご自身で問題なく食べることができる。</v>
          </cell>
          <cell r="ET8" t="str">
            <v>入力</v>
          </cell>
          <cell r="EU8" t="str">
            <v>自立</v>
          </cell>
          <cell r="EZ8" t="str">
            <v>ご自身で行えていると言われているが、詳細は不明。</v>
          </cell>
          <cell r="FB8" t="str">
            <v>入力</v>
          </cell>
          <cell r="FC8" t="str">
            <v>一部介助</v>
          </cell>
          <cell r="FD8" t="str">
            <v>チェアー浴</v>
          </cell>
          <cell r="FE8" t="str">
            <v>無</v>
          </cell>
          <cell r="FG8" t="str">
            <v>一部介助</v>
          </cell>
          <cell r="FH8" t="str">
            <v>一部介助</v>
          </cell>
          <cell r="FI8" t="str">
            <v>入浴は安濃津デイを利用した際に、介助を受けながら入浴している。更衣もご自身で行うことは困難なため介助を受けている。</v>
          </cell>
          <cell r="FK8" t="str">
            <v>入力</v>
          </cell>
          <cell r="FL8" t="str">
            <v>一部介助</v>
          </cell>
          <cell r="FM8" t="str">
            <v>有</v>
          </cell>
          <cell r="FN8" t="str">
            <v>有</v>
          </cell>
          <cell r="FO8" t="str">
            <v>有</v>
          </cell>
          <cell r="FP8" t="str">
            <v>有</v>
          </cell>
          <cell r="FR8" t="str">
            <v>トイレ</v>
          </cell>
          <cell r="FS8" t="str">
            <v>トイレ</v>
          </cell>
          <cell r="FT8" t="str">
            <v>リハビリパンツ</v>
          </cell>
          <cell r="FU8" t="str">
            <v>トイレは屋外にあり、今までは失禁はあったもののトイレで排泄を行っていたが、最近では間に合わないことが失禁し床や畳が汚れてしまうことが多々あった。お嫁様がお掃除を行っていたが介護負担が多かった。最近はトイレまで行くことはできず、リハビリパンツ内に失禁されている。ご自身でパンツの交換は行えている。</v>
          </cell>
          <cell r="FX8" t="str">
            <v>入力</v>
          </cell>
          <cell r="FY8" t="str">
            <v>全介助</v>
          </cell>
          <cell r="FZ8" t="str">
            <v>全介助</v>
          </cell>
          <cell r="GA8" t="str">
            <v>全介助</v>
          </cell>
          <cell r="GB8" t="str">
            <v>全介助</v>
          </cell>
          <cell r="GC8" t="str">
            <v>全介助</v>
          </cell>
          <cell r="GD8" t="str">
            <v>すべて長男のお嫁様が行っている。</v>
          </cell>
          <cell r="GG8" t="str">
            <v>KPは長男のお嫁様だが、最近リウマチを発症して、それ以降治療等で疲労され介護を行うことが困難となった。同時期にこれ以上自宅で生活することが難しい状況となられたため特養の申し込みを行った。
特養に入るまでの間、ロングショートステイの希望があるため、現在調整を行っている。
お嫁様の性格が少し特殊で、慣れるまでは気難しく感じることが多々あった。</v>
          </cell>
          <cell r="GH8">
            <v>30</v>
          </cell>
        </row>
        <row r="9">
          <cell r="C9" t="str">
            <v>市瀬　八須子</v>
          </cell>
          <cell r="D9" t="str">
            <v>33d6d0a1</v>
          </cell>
          <cell r="I9">
            <v>45544</v>
          </cell>
          <cell r="J9" t="str">
            <v>山川　和輝</v>
          </cell>
          <cell r="K9" t="str">
            <v>新規</v>
          </cell>
          <cell r="L9" t="str">
            <v>入院先の病院</v>
          </cell>
          <cell r="M9" t="str">
            <v>令和6年5月26日、自宅にて転倒し三重中央医療センターへ搬送。左大腿骨転子部骨折、左橈骨遠位端骨折、左踵骨骨折の診断にて手術を施行。7月3日にリハビリ目的で大門病院へ転院となる。今後自宅で生活することは困難であり、安濃津ろまんを申し込まれた。</v>
          </cell>
          <cell r="N9" t="str">
            <v>施設で転ばずに安全に生活したいと思っています。</v>
          </cell>
          <cell r="Q9" t="str">
            <v>入力</v>
          </cell>
          <cell r="R9" t="str">
            <v>要介護２</v>
          </cell>
          <cell r="S9" t="str">
            <v>令和6年8月20日</v>
          </cell>
          <cell r="T9" t="str">
            <v>令和6年7月1日</v>
          </cell>
          <cell r="U9" t="str">
            <v>令和7年7月31日</v>
          </cell>
          <cell r="V9" t="str">
            <v>１割負担</v>
          </cell>
          <cell r="W9" t="str">
            <v>後期高齢者医療保険</v>
          </cell>
          <cell r="X9" t="str">
            <v>無</v>
          </cell>
          <cell r="Z9" t="str">
            <v>無</v>
          </cell>
          <cell r="AA9" t="str">
            <v>無</v>
          </cell>
          <cell r="AE9" t="str">
            <v>入力</v>
          </cell>
          <cell r="AF9" t="str">
            <v>市瀬　久照</v>
          </cell>
          <cell r="AG9" t="str">
            <v>子</v>
          </cell>
          <cell r="AI9" t="str">
            <v>別居</v>
          </cell>
          <cell r="AJ9" t="str">
            <v>介護する</v>
          </cell>
          <cell r="AL9" t="str">
            <v>090-8959-8652</v>
          </cell>
          <cell r="AM9" t="str">
            <v>KP。津市在住</v>
          </cell>
          <cell r="AN9" t="str">
            <v>前川　由美子</v>
          </cell>
          <cell r="AO9" t="str">
            <v>子</v>
          </cell>
          <cell r="AQ9" t="str">
            <v>別居</v>
          </cell>
          <cell r="AR9" t="str">
            <v>介護する</v>
          </cell>
          <cell r="AT9" t="str">
            <v>090-2773-6461</v>
          </cell>
          <cell r="AU9" t="str">
            <v>松阪市在住</v>
          </cell>
          <cell r="AW9" t="str">
            <v>入力</v>
          </cell>
          <cell r="AX9" t="str">
            <v>一人暮らし</v>
          </cell>
          <cell r="AY9" t="str">
            <v>集合住宅</v>
          </cell>
          <cell r="AZ9" t="str">
            <v>エレベーター有</v>
          </cell>
          <cell r="BA9" t="str">
            <v>賃貸</v>
          </cell>
          <cell r="BB9" t="str">
            <v>有</v>
          </cell>
          <cell r="BC9" t="str">
            <v>有</v>
          </cell>
          <cell r="BD9" t="str">
            <v>ウォシュレット</v>
          </cell>
          <cell r="BG9" t="str">
            <v>有</v>
          </cell>
          <cell r="BH9" t="str">
            <v>手すり有</v>
          </cell>
          <cell r="BI9" t="str">
            <v>リクライニングベッド</v>
          </cell>
          <cell r="BJ9" t="str">
            <v>無</v>
          </cell>
          <cell r="BK9" t="str">
            <v>無</v>
          </cell>
          <cell r="BL9" t="str">
            <v>無</v>
          </cell>
          <cell r="BO9" t="str">
            <v>入力</v>
          </cell>
          <cell r="BW9" t="str">
            <v>入力</v>
          </cell>
          <cell r="BX9" t="str">
            <v>左大腿骨転子部骨折（OPE)</v>
          </cell>
          <cell r="BY9" t="str">
            <v>令和6年5月26日</v>
          </cell>
          <cell r="BZ9" t="str">
            <v>左橈骨遠位端骨折</v>
          </cell>
          <cell r="CA9" t="str">
            <v>令和6年5月26日</v>
          </cell>
          <cell r="CB9" t="str">
            <v>左踵骨骨折（保存療法）</v>
          </cell>
          <cell r="CC9" t="str">
            <v>令和6年5月26日</v>
          </cell>
          <cell r="CJ9" t="str">
            <v>主治医は遠山病院。退院後は、骨折の経過を見て頂くために三重中央医療センターを受診予定。
今後主治医は加藤医院に変更。</v>
          </cell>
          <cell r="CS9" t="str">
            <v>乳がん（平成24年　遠山病院）、硬膜動静脈瘻（平成28年　三重大学病院）、骨粗鬆症、高血圧症、不眠症、頻尿</v>
          </cell>
          <cell r="CT9" t="str">
            <v>高血圧の内服等を内服している。</v>
          </cell>
          <cell r="CX9" t="str">
            <v>入力</v>
          </cell>
          <cell r="CY9" t="str">
            <v>無</v>
          </cell>
          <cell r="CZ9" t="str">
            <v>無</v>
          </cell>
          <cell r="DA9" t="str">
            <v>無</v>
          </cell>
          <cell r="DB9" t="str">
            <v>なし</v>
          </cell>
          <cell r="DC9" t="str">
            <v>なし</v>
          </cell>
          <cell r="DF9" t="str">
            <v>正常</v>
          </cell>
          <cell r="DG9" t="str">
            <v>無</v>
          </cell>
          <cell r="DH9" t="str">
            <v>正常</v>
          </cell>
          <cell r="DI9" t="str">
            <v>無</v>
          </cell>
          <cell r="DJ9" t="str">
            <v>左大腿骨は術後経過良好。現在全荷重が許可されている。
左手は可動域制限や、禁忌（プッシュアップ）があり、補助手レベルでしか使用できない。
痛みの訴えはなし。</v>
          </cell>
          <cell r="DL9" t="str">
            <v>入力</v>
          </cell>
          <cell r="DM9" t="str">
            <v>無</v>
          </cell>
          <cell r="DN9" t="str">
            <v>軽度</v>
          </cell>
          <cell r="DO9" t="str">
            <v>無</v>
          </cell>
          <cell r="DP9" t="str">
            <v>可能</v>
          </cell>
          <cell r="DQ9" t="str">
            <v>可能</v>
          </cell>
          <cell r="DR9" t="str">
            <v>年相応の認知機能の低下はあるものの、日常生活に支障が出るほどではない。</v>
          </cell>
          <cell r="DU9" t="str">
            <v>入力</v>
          </cell>
          <cell r="DV9" t="str">
            <v>何かにつかまればできる</v>
          </cell>
          <cell r="DW9" t="str">
            <v>何かにつかまればできる</v>
          </cell>
          <cell r="DX9" t="str">
            <v>自分の手で支えればできる</v>
          </cell>
          <cell r="DY9" t="str">
            <v>何かにつかまればできる</v>
          </cell>
          <cell r="DZ9" t="str">
            <v>何か支えがあればできる</v>
          </cell>
          <cell r="EA9" t="str">
            <v>見守り</v>
          </cell>
          <cell r="EB9" t="str">
            <v>見守り</v>
          </cell>
          <cell r="EC9" t="str">
            <v>歩行器</v>
          </cell>
          <cell r="ED9" t="str">
            <v>全介助</v>
          </cell>
          <cell r="EE9" t="str">
            <v>車椅子</v>
          </cell>
          <cell r="EF9" t="str">
            <v>基本動作はご自身で可能だが、左手を使用することが難しいため動作は緩慢。移動は歩行器を使用して自立レベル。
病院では安全性を取って見守りを行っている。
歩行は小刻みで、すり足傾向。時折つまずきや自身の靴を踏んでしまうこと見られる。方向転換の際に身体が後方に傾くことがあり注意が必要。
動作は全体的に緩慢であるが比較的安定している。</v>
          </cell>
          <cell r="EH9" t="str">
            <v>入力</v>
          </cell>
          <cell r="EI9" t="str">
            <v>入力</v>
          </cell>
          <cell r="EJ9" t="str">
            <v>経口摂取</v>
          </cell>
          <cell r="EK9" t="str">
            <v>自立</v>
          </cell>
          <cell r="EL9" t="str">
            <v>できる</v>
          </cell>
          <cell r="EM9" t="str">
            <v>普通</v>
          </cell>
          <cell r="EN9" t="str">
            <v>普通</v>
          </cell>
          <cell r="EO9" t="str">
            <v>無</v>
          </cell>
          <cell r="EP9" t="str">
            <v>無</v>
          </cell>
          <cell r="EQ9" t="str">
            <v>箸 , スプーン</v>
          </cell>
          <cell r="ER9" t="str">
            <v>食事は問題なし。</v>
          </cell>
          <cell r="ET9" t="str">
            <v>入力</v>
          </cell>
          <cell r="EU9" t="str">
            <v>見守り</v>
          </cell>
          <cell r="EW9" t="str">
            <v>有</v>
          </cell>
          <cell r="EX9" t="str">
            <v>部分義歯</v>
          </cell>
          <cell r="EY9" t="str">
            <v>上下</v>
          </cell>
          <cell r="EZ9" t="str">
            <v>部分義歯があるが、現在は合っておらず使用していない。
退院後は新しく作成を希望されている。</v>
          </cell>
          <cell r="FB9" t="str">
            <v>入力</v>
          </cell>
          <cell r="FC9" t="str">
            <v>一部介助</v>
          </cell>
          <cell r="FD9" t="str">
            <v>シャワー浴</v>
          </cell>
          <cell r="FE9" t="str">
            <v>無</v>
          </cell>
          <cell r="FG9" t="str">
            <v>見守り</v>
          </cell>
          <cell r="FH9" t="str">
            <v>一部介助</v>
          </cell>
          <cell r="FI9" t="str">
            <v>現在入浴はシャワーのみとなっているが、退院後は湯舟に入れるなら入りたいと希望あり。
洗身動作や更衣は一部介助が必要。</v>
          </cell>
          <cell r="FK9" t="str">
            <v>入力</v>
          </cell>
          <cell r="FL9" t="str">
            <v>見守り</v>
          </cell>
          <cell r="FM9" t="str">
            <v>有</v>
          </cell>
          <cell r="FN9" t="str">
            <v>無</v>
          </cell>
          <cell r="FO9" t="str">
            <v>有</v>
          </cell>
          <cell r="FP9" t="str">
            <v>無</v>
          </cell>
          <cell r="FQ9" t="str">
            <v>普通便</v>
          </cell>
          <cell r="FR9" t="str">
            <v>トイレ</v>
          </cell>
          <cell r="FS9" t="str">
            <v>トイレ</v>
          </cell>
          <cell r="FU9" t="str">
            <v>失禁はないため布パンツを使用。
Nsコールをしっかり押すことができるため、病院では見守りで行っているものの、トイレ動作は自立されている。
毎日酸化マグネシウム錠を飲んでおり、便は3日以上でないことはない。</v>
          </cell>
          <cell r="FX9" t="str">
            <v>入力</v>
          </cell>
          <cell r="FY9" t="str">
            <v>全介助</v>
          </cell>
          <cell r="FZ9" t="str">
            <v>全介助</v>
          </cell>
          <cell r="GA9" t="str">
            <v>全介助</v>
          </cell>
          <cell r="GB9" t="str">
            <v>全介助</v>
          </cell>
          <cell r="GC9" t="str">
            <v>全介助</v>
          </cell>
          <cell r="GD9" t="str">
            <v>IADLは全介助となっている。</v>
          </cell>
          <cell r="GG9" t="str">
            <v>危険行動はなくリハビリで練習した動作の習得も可能。</v>
          </cell>
          <cell r="GH9">
            <v>30</v>
          </cell>
        </row>
        <row r="10">
          <cell r="C10" t="str">
            <v>向井　郁恵</v>
          </cell>
          <cell r="D10" t="str">
            <v>eb7b6514</v>
          </cell>
          <cell r="I10">
            <v>45895</v>
          </cell>
          <cell r="J10" t="str">
            <v>山川　和輝</v>
          </cell>
          <cell r="K10" t="str">
            <v>情報提供</v>
          </cell>
          <cell r="L10" t="str">
            <v>居室</v>
          </cell>
          <cell r="M10" t="str">
            <v>夫婦2人暮らし。令和6年2月白内障の手術施行。令和6年3月11日に永井病院にて間質性肺炎と診断。その後三重中央医療センターへ入院し在宅酸素療法が開始となった。また令和6年の年始頃から生活リズムが変わり始め、これまでできていた家事をしなくなり記憶力低下が著明になったためおがわ脳神経外科にて令和6年3月5日アルツハイマー型認知症の診断を受け内服治療が始まった。
令和6年4月1日より介護保険サービスが利用開始となるが、同年5月に三重中央医療センターへ入院。在宅酸素療法が開始となった。
その後、デイサービスやリハビリを受け、旦那様の手助けもあり生活されていたが、令和7年5月頃より疲労感や息切れが著明となり通院が困難となってきたため、同年6月25日より丸の内クリニックによる往診と、訪問看護ステーションを利用することとなった。
そのころから、時折熱発を繰り返すようになり、徐々に身体面の低下がありデイサービスの利用も困難となってきたため、訪問入浴の支援を利用することとなった。</v>
          </cell>
          <cell r="N10" t="str">
            <v>家では一人になってしまうので、サービスを利用しながら在宅生活を継続していきたい。</v>
          </cell>
          <cell r="O10" t="str">
            <v>自宅で最後までみたい。</v>
          </cell>
          <cell r="Q10" t="str">
            <v>入力</v>
          </cell>
          <cell r="R10" t="str">
            <v>要介護３</v>
          </cell>
          <cell r="S10" t="str">
            <v>令和7年6月5日</v>
          </cell>
          <cell r="T10" t="str">
            <v>令和7年5月1日</v>
          </cell>
          <cell r="U10" t="str">
            <v>令和8年4月30日</v>
          </cell>
          <cell r="V10" t="str">
            <v>１割負担</v>
          </cell>
          <cell r="W10" t="str">
            <v>後期高齢者医療保険</v>
          </cell>
          <cell r="X10" t="str">
            <v>無</v>
          </cell>
          <cell r="Z10" t="str">
            <v>無</v>
          </cell>
          <cell r="AA10" t="str">
            <v>無</v>
          </cell>
          <cell r="AB10" t="str">
            <v>A2</v>
          </cell>
          <cell r="AC10" t="str">
            <v>Ⅱb</v>
          </cell>
          <cell r="AE10" t="str">
            <v>入力</v>
          </cell>
          <cell r="AF10" t="str">
            <v>向井　佳子</v>
          </cell>
          <cell r="AG10" t="str">
            <v>長女</v>
          </cell>
          <cell r="AH10" t="str">
            <v>津市半田2226-312</v>
          </cell>
          <cell r="AI10" t="str">
            <v>別居</v>
          </cell>
          <cell r="AJ10" t="str">
            <v>介護する</v>
          </cell>
          <cell r="AL10" t="str">
            <v>080-6926-8072</v>
          </cell>
          <cell r="AM10" t="str">
            <v>KP。近くに住まれている。</v>
          </cell>
          <cell r="AN10" t="str">
            <v>向井　正明</v>
          </cell>
          <cell r="AO10" t="str">
            <v>夫</v>
          </cell>
          <cell r="AP10" t="str">
            <v>津市半田2226-58</v>
          </cell>
          <cell r="AQ10" t="str">
            <v>同居</v>
          </cell>
          <cell r="AR10" t="str">
            <v>介護する</v>
          </cell>
          <cell r="AS10" t="str">
            <v>無</v>
          </cell>
          <cell r="AT10" t="str">
            <v>090-1470-1304</v>
          </cell>
          <cell r="AU10" t="str">
            <v>家事全般を行う</v>
          </cell>
          <cell r="AW10" t="str">
            <v>入力</v>
          </cell>
          <cell r="AX10" t="str">
            <v>家族同居</v>
          </cell>
          <cell r="AY10" t="str">
            <v>一戸建て</v>
          </cell>
          <cell r="BA10" t="str">
            <v>所有</v>
          </cell>
          <cell r="BB10" t="str">
            <v>有</v>
          </cell>
          <cell r="BC10" t="str">
            <v>有</v>
          </cell>
          <cell r="BD10" t="str">
            <v>洋式</v>
          </cell>
          <cell r="BE10" t="str">
            <v>手すり有</v>
          </cell>
          <cell r="BF10" t="str">
            <v>段差有</v>
          </cell>
          <cell r="BG10" t="str">
            <v>有</v>
          </cell>
          <cell r="BH10" t="str">
            <v>手すり有</v>
          </cell>
          <cell r="BI10" t="str">
            <v>リクライニングベッド</v>
          </cell>
          <cell r="BJ10" t="str">
            <v>無</v>
          </cell>
          <cell r="BK10" t="str">
            <v>有</v>
          </cell>
          <cell r="BL10" t="str">
            <v>無</v>
          </cell>
          <cell r="BM10" t="str">
            <v>無</v>
          </cell>
          <cell r="BO10" t="str">
            <v>入力</v>
          </cell>
          <cell r="BP10" t="str">
            <v>訪問介護 , 訪問入浴 , 訪問看護 , 訪問リハ</v>
          </cell>
          <cell r="BQ10" t="str">
            <v>車いす , 手すり</v>
          </cell>
          <cell r="BR10" t="str">
            <v>なし。</v>
          </cell>
          <cell r="BT10" t="str">
            <v>デイサービスでは他の利用者様とも交流を行っていた。</v>
          </cell>
          <cell r="BW10" t="str">
            <v>入力</v>
          </cell>
          <cell r="BX10" t="str">
            <v>間質性肺炎</v>
          </cell>
          <cell r="BY10" t="str">
            <v>令和6年3月11日</v>
          </cell>
          <cell r="BZ10" t="str">
            <v>アルツハイマー型認知症</v>
          </cell>
          <cell r="CA10" t="str">
            <v>令和6年3月5日</v>
          </cell>
          <cell r="CB10" t="str">
            <v>甲状腺機能障害</v>
          </cell>
          <cell r="CC10" t="str">
            <v>令和6年3月頃</v>
          </cell>
          <cell r="CD10" t="str">
            <v>白内障（術後）</v>
          </cell>
          <cell r="CE10" t="str">
            <v>令和6年2月</v>
          </cell>
          <cell r="CJ10" t="str">
            <v>令和7年6月25日より主治医はあらき内科クリニック→丸の内クリニックの往診に変更となっている。間質性肺炎で三重中央医療センターへ定期受診やその他、おがわ脳神経外科と今野眼科に受診を行っていたが、現在は丸の内クリニックで総括的に診て頂いている。</v>
          </cell>
          <cell r="CM10" t="str">
            <v>丸の内クリニック</v>
          </cell>
          <cell r="CO10" t="str">
            <v>三重中央医療センター</v>
          </cell>
          <cell r="CS10" t="str">
            <v>現病歴に記載した通り</v>
          </cell>
          <cell r="CT10" t="str">
            <v>アリセプトD錠、チラージンS錠、フェブキソスタット錠、トラセミド錠等</v>
          </cell>
          <cell r="CX10" t="str">
            <v>入力</v>
          </cell>
          <cell r="CY10" t="str">
            <v>無</v>
          </cell>
          <cell r="CZ10" t="str">
            <v>無</v>
          </cell>
          <cell r="DA10" t="str">
            <v>酸素療法</v>
          </cell>
          <cell r="DB10" t="str">
            <v>なし</v>
          </cell>
          <cell r="DD10">
            <v>0</v>
          </cell>
          <cell r="DE10">
            <v>0</v>
          </cell>
          <cell r="DF10" t="str">
            <v>正常</v>
          </cell>
          <cell r="DG10" t="str">
            <v>無</v>
          </cell>
          <cell r="DH10" t="str">
            <v>大きい声は可</v>
          </cell>
          <cell r="DI10" t="str">
            <v>無</v>
          </cell>
          <cell r="DJ10" t="str">
            <v>やや難聴があるもののコミュニケーションは可能。</v>
          </cell>
          <cell r="DL10" t="str">
            <v>入力</v>
          </cell>
          <cell r="DM10" t="str">
            <v>有</v>
          </cell>
          <cell r="DN10" t="str">
            <v>軽度</v>
          </cell>
          <cell r="DO10" t="str">
            <v>無</v>
          </cell>
          <cell r="DP10" t="str">
            <v>可能</v>
          </cell>
          <cell r="DQ10" t="str">
            <v>可能</v>
          </cell>
          <cell r="DR10" t="str">
            <v>アルツハイマー型認知症の診断を受けており、やや認知機能の低下が見られている。</v>
          </cell>
          <cell r="DU10" t="str">
            <v>入力</v>
          </cell>
          <cell r="DV10" t="str">
            <v>できない</v>
          </cell>
          <cell r="DW10" t="str">
            <v>できない</v>
          </cell>
          <cell r="DX10" t="str">
            <v>支えてもらえればできる</v>
          </cell>
          <cell r="DY10" t="str">
            <v>できない</v>
          </cell>
          <cell r="DZ10" t="str">
            <v>できない</v>
          </cell>
          <cell r="EA10" t="str">
            <v>全介助</v>
          </cell>
          <cell r="EB10" t="str">
            <v>全介助</v>
          </cell>
          <cell r="EC10" t="str">
            <v>車椅子</v>
          </cell>
          <cell r="ED10" t="str">
            <v>全介助</v>
          </cell>
          <cell r="EE10" t="str">
            <v>車椅子</v>
          </cell>
          <cell r="EF10" t="str">
            <v>もともと独歩でトイレや食堂まで行くことができていたが、現在は身体能力の低下から移動は車いすを使用。
旦那様の手伝いのもとベッドから車いすへ移っている。依存的でほぼ全介助を要す。</v>
          </cell>
          <cell r="EH10" t="str">
            <v>入力</v>
          </cell>
          <cell r="EI10" t="str">
            <v>入力</v>
          </cell>
          <cell r="EJ10" t="str">
            <v>経口摂取</v>
          </cell>
          <cell r="EK10" t="str">
            <v>自立</v>
          </cell>
          <cell r="EL10" t="str">
            <v>できる</v>
          </cell>
          <cell r="EM10" t="str">
            <v>普通</v>
          </cell>
          <cell r="EN10" t="str">
            <v>普通</v>
          </cell>
          <cell r="EO10" t="str">
            <v>無</v>
          </cell>
          <cell r="EP10" t="str">
            <v>無</v>
          </cell>
          <cell r="EQ10" t="str">
            <v>箸 , スプーン</v>
          </cell>
          <cell r="ER10" t="str">
            <v>特になし。</v>
          </cell>
          <cell r="ET10" t="str">
            <v>入力</v>
          </cell>
          <cell r="EU10" t="str">
            <v>一部介助</v>
          </cell>
          <cell r="EW10" t="str">
            <v>無</v>
          </cell>
          <cell r="EZ10" t="str">
            <v>元々、促しがあればご自身で行えていたものの現在どのように行っているかは今後確認が必要。</v>
          </cell>
          <cell r="FB10" t="str">
            <v>入力</v>
          </cell>
          <cell r="FC10" t="str">
            <v>全介助</v>
          </cell>
          <cell r="FD10" t="str">
            <v>寝台浴</v>
          </cell>
          <cell r="FE10" t="str">
            <v>無</v>
          </cell>
          <cell r="FG10" t="str">
            <v>全介助</v>
          </cell>
          <cell r="FH10" t="str">
            <v>全介助</v>
          </cell>
          <cell r="FI10" t="str">
            <v>今まで入浴はデイサービスで行っていたが、デイサービスへの移動も身体的に大変になってきたため、今後は訪問入浴に切り替えることとなった。</v>
          </cell>
          <cell r="FK10" t="str">
            <v>入力</v>
          </cell>
          <cell r="FL10" t="str">
            <v>全介助</v>
          </cell>
          <cell r="FM10" t="str">
            <v>有</v>
          </cell>
          <cell r="FN10" t="str">
            <v>有</v>
          </cell>
          <cell r="FO10" t="str">
            <v>有</v>
          </cell>
          <cell r="FP10" t="str">
            <v>有</v>
          </cell>
          <cell r="FQ10" t="str">
            <v>普通便</v>
          </cell>
          <cell r="FR10" t="str">
            <v>トイレ , オムツ</v>
          </cell>
          <cell r="FS10" t="str">
            <v>トイレ , オムツ</v>
          </cell>
          <cell r="FT10" t="str">
            <v>紙おむつ , 大パット</v>
          </cell>
          <cell r="FU10" t="str">
            <v>基本的には紙おむつ、大パットを使用して訪問介護や旦那様が交換を行っている。ただ尿意もあり時折トイレに行きたいと希望があるためその際は旦那様がトイレへ連れていくこともある。</v>
          </cell>
          <cell r="FX10" t="str">
            <v>入力</v>
          </cell>
          <cell r="FY10" t="str">
            <v>全介助</v>
          </cell>
          <cell r="FZ10" t="str">
            <v>全介助</v>
          </cell>
          <cell r="GA10" t="str">
            <v>全介助</v>
          </cell>
          <cell r="GB10" t="str">
            <v>全介助</v>
          </cell>
          <cell r="GC10" t="str">
            <v>全介助</v>
          </cell>
          <cell r="GD10" t="str">
            <v>旦那様や娘様が行っている。</v>
          </cell>
          <cell r="GG10" t="str">
            <v>令和7年6月～8月にかけて体重が約10ｋｇ程度低下。熱発も時折繰り返し体調を崩される頻度が増えて来ている。
8/21にDrより現状と今後について軽く話があり、ご家族様としては、治療して治るのであれば入院など治療してほしいが、老衰で弱っていくのであれば自宅で最後まで自宅でみたい。と希望がある。</v>
          </cell>
          <cell r="GH10">
            <v>30</v>
          </cell>
        </row>
        <row r="11">
          <cell r="C11" t="str">
            <v>田端　彦三</v>
          </cell>
          <cell r="D11" t="str">
            <v>2f3af2b2</v>
          </cell>
          <cell r="I11">
            <v>45554</v>
          </cell>
          <cell r="J11" t="str">
            <v>山川　和輝</v>
          </cell>
          <cell r="K11" t="str">
            <v>ケアマネ変更</v>
          </cell>
          <cell r="L11" t="str">
            <v>本人の居室</v>
          </cell>
          <cell r="M11" t="str">
            <v>定年まで県職員（学校事務）をしていた。25歳で結婚し2女を出生。子供が嫁いでからは夫婦で2人暮らし。H26.3にサ高住に夫婦で入居。かねてから長女の住む津市に移りたいと希望していた。妻が介護状態となったため夫婦で生活出来る安濃津ろまんにH27.8.6に妻と一緒に入居。</v>
          </cell>
          <cell r="N11" t="str">
            <v>痛みが強くて歩くことができなくなりました。この痛みがなくなればよいのですが。</v>
          </cell>
          <cell r="O11" t="str">
            <v>物忘れがひどくなって来ているので、これ以上悪化しないようにしてほしい。</v>
          </cell>
          <cell r="Q11" t="str">
            <v>入力</v>
          </cell>
          <cell r="R11" t="str">
            <v>要介護４</v>
          </cell>
          <cell r="S11" t="str">
            <v>令和6年4月4日</v>
          </cell>
          <cell r="T11" t="str">
            <v>令和6年3月1日</v>
          </cell>
          <cell r="U11" t="str">
            <v>令和8年2月28日</v>
          </cell>
          <cell r="V11" t="str">
            <v>１割負担</v>
          </cell>
          <cell r="W11" t="str">
            <v>後期高齢者医療保険</v>
          </cell>
          <cell r="X11" t="str">
            <v>無</v>
          </cell>
          <cell r="Z11" t="str">
            <v>無</v>
          </cell>
          <cell r="AA11" t="str">
            <v>無</v>
          </cell>
          <cell r="AE11" t="str">
            <v>入力</v>
          </cell>
          <cell r="AF11" t="str">
            <v>上野　ひと美</v>
          </cell>
          <cell r="AG11" t="str">
            <v>長女</v>
          </cell>
          <cell r="AI11" t="str">
            <v>別居</v>
          </cell>
          <cell r="AJ11" t="str">
            <v>介護する</v>
          </cell>
          <cell r="AK11" t="str">
            <v>無</v>
          </cell>
          <cell r="AL11" t="str">
            <v>080-4522-3418</v>
          </cell>
          <cell r="AM11" t="str">
            <v>KP</v>
          </cell>
          <cell r="AN11" t="str">
            <v>中山　由美</v>
          </cell>
          <cell r="AO11" t="str">
            <v>次女</v>
          </cell>
          <cell r="AQ11" t="str">
            <v>別居</v>
          </cell>
          <cell r="AT11" t="str">
            <v>090-9183-3054</v>
          </cell>
          <cell r="AW11" t="str">
            <v>入力</v>
          </cell>
          <cell r="AX11" t="str">
            <v>一人暮らし</v>
          </cell>
          <cell r="AY11" t="str">
            <v>集合住宅</v>
          </cell>
          <cell r="AZ11" t="str">
            <v>エレベーター有</v>
          </cell>
          <cell r="BA11" t="str">
            <v>賃貸</v>
          </cell>
          <cell r="BB11" t="str">
            <v>有</v>
          </cell>
          <cell r="BC11" t="str">
            <v>有</v>
          </cell>
          <cell r="BD11" t="str">
            <v>ウォシュレット</v>
          </cell>
          <cell r="BG11" t="str">
            <v>有</v>
          </cell>
          <cell r="BH11" t="str">
            <v>手すり有</v>
          </cell>
          <cell r="BI11" t="str">
            <v>リクライニングベッド</v>
          </cell>
          <cell r="BJ11" t="str">
            <v>無</v>
          </cell>
          <cell r="BK11" t="str">
            <v>無</v>
          </cell>
          <cell r="BL11" t="str">
            <v>無</v>
          </cell>
          <cell r="BO11" t="str">
            <v>入力</v>
          </cell>
          <cell r="BP11" t="str">
            <v>訪問介護 , 訪問看護 , 訪問リハ , 通所介護</v>
          </cell>
          <cell r="BQ11" t="str">
            <v>特殊寝台 , 特殊寝台付属品 , 手すり , 歩行器</v>
          </cell>
          <cell r="BS11" t="str">
            <v>食事支援 , リネンリース , 洗濯 , 居室清掃</v>
          </cell>
          <cell r="BT11" t="str">
            <v>デイサービスを利用され、他者との交流もある。</v>
          </cell>
          <cell r="BW11" t="str">
            <v>入力</v>
          </cell>
          <cell r="CX11" t="str">
            <v>入力</v>
          </cell>
          <cell r="CY11" t="str">
            <v>無</v>
          </cell>
          <cell r="CZ11" t="str">
            <v>無</v>
          </cell>
          <cell r="DA11" t="str">
            <v>無</v>
          </cell>
          <cell r="DB11" t="str">
            <v>なし</v>
          </cell>
          <cell r="DC11" t="str">
            <v>両下肢</v>
          </cell>
          <cell r="DF11" t="str">
            <v>大きい字は可</v>
          </cell>
          <cell r="DG11" t="str">
            <v>有</v>
          </cell>
          <cell r="DH11" t="str">
            <v>正常</v>
          </cell>
          <cell r="DI11" t="str">
            <v>無</v>
          </cell>
          <cell r="DJ11" t="str">
            <v>坐骨神経痛の影響により両下肢に痛みがある。改善と悪化を繰り返しているが、現在はひどかった時期と比較して痛みは少ない。</v>
          </cell>
          <cell r="DL11" t="str">
            <v>入力</v>
          </cell>
          <cell r="DM11" t="str">
            <v>有</v>
          </cell>
          <cell r="DN11" t="str">
            <v>中等度</v>
          </cell>
          <cell r="DO11" t="str">
            <v>被害妄想 , 作話 , 感情の不安定 , ひどい物忘れ</v>
          </cell>
          <cell r="DP11" t="str">
            <v>不明瞭</v>
          </cell>
          <cell r="DQ11" t="str">
            <v>可能</v>
          </cell>
          <cell r="DR11" t="str">
            <v>認知機能は中等度の低下があり、特に見当識が落ちている。精神症状として、物盗られ妄想や、作話がある。また髭剃りや部屋の鍵を置いた場所が分からなくなることが度々あり。物忘れは自覚しており、それにより感情が不安定になることもある。</v>
          </cell>
          <cell r="DU11" t="str">
            <v>入力</v>
          </cell>
          <cell r="DV11" t="str">
            <v>何かにつかまればできる</v>
          </cell>
          <cell r="DW11" t="str">
            <v>何かにつかまればできる</v>
          </cell>
          <cell r="DX11" t="str">
            <v>自分の手で支えればできる</v>
          </cell>
          <cell r="DY11" t="str">
            <v>何かにつかまればできる</v>
          </cell>
          <cell r="DZ11" t="str">
            <v>何か支えがあればできる</v>
          </cell>
          <cell r="EA11" t="str">
            <v>自立</v>
          </cell>
          <cell r="EB11" t="str">
            <v>自立</v>
          </cell>
          <cell r="EC11" t="str">
            <v>歩行器</v>
          </cell>
          <cell r="ED11" t="str">
            <v>全介助</v>
          </cell>
          <cell r="EE11" t="str">
            <v>車椅子</v>
          </cell>
          <cell r="EF11" t="str">
            <v>起居動作は、手すり等を把持することでご自身で可能。移動も歩行器を使用することで比較的安全に移動できているものの、居室内で歩行器を使用せず伝い歩きで歩くこともあり、転倒も多く見られている。
また、坐骨神経痛の影響により、歩行器で移動ができなくなることがあり、その場合は車いすを使用されていた。</v>
          </cell>
          <cell r="EH11" t="str">
            <v>入力</v>
          </cell>
          <cell r="EI11" t="str">
            <v>入力</v>
          </cell>
          <cell r="EJ11" t="str">
            <v>経口摂取</v>
          </cell>
          <cell r="EK11" t="str">
            <v>自立</v>
          </cell>
          <cell r="EL11" t="str">
            <v>できる</v>
          </cell>
          <cell r="EM11" t="str">
            <v>普通</v>
          </cell>
          <cell r="EN11" t="str">
            <v>普通</v>
          </cell>
          <cell r="EO11" t="str">
            <v>無</v>
          </cell>
          <cell r="EP11" t="str">
            <v>無</v>
          </cell>
          <cell r="EQ11" t="str">
            <v>箸 , スプーン</v>
          </cell>
          <cell r="ER11" t="str">
            <v>特になし。</v>
          </cell>
          <cell r="ET11" t="str">
            <v>入力</v>
          </cell>
          <cell r="EU11" t="str">
            <v>自立</v>
          </cell>
          <cell r="EW11" t="str">
            <v>有</v>
          </cell>
          <cell r="EX11" t="str">
            <v>部分義歯</v>
          </cell>
          <cell r="EY11" t="str">
            <v>上下</v>
          </cell>
          <cell r="EZ11" t="str">
            <v>義歯の洗浄は毎日は行われていないものの、ご自身で気になった際に行うことができている。</v>
          </cell>
          <cell r="FB11" t="str">
            <v>入力</v>
          </cell>
          <cell r="FC11" t="str">
            <v>自立</v>
          </cell>
          <cell r="FD11" t="str">
            <v>チェアー浴</v>
          </cell>
          <cell r="FE11" t="str">
            <v>無</v>
          </cell>
          <cell r="FG11" t="str">
            <v>自立</v>
          </cell>
          <cell r="FH11" t="str">
            <v>自立</v>
          </cell>
          <cell r="FI11" t="str">
            <v>入浴はデイサービスを利用時に入浴されている。大浴場を利用。</v>
          </cell>
          <cell r="FK11" t="str">
            <v>入力</v>
          </cell>
          <cell r="FL11" t="str">
            <v>自立</v>
          </cell>
          <cell r="FM11" t="str">
            <v>有</v>
          </cell>
          <cell r="FN11" t="str">
            <v>有</v>
          </cell>
          <cell r="FO11" t="str">
            <v>有</v>
          </cell>
          <cell r="FP11" t="str">
            <v>無</v>
          </cell>
          <cell r="FR11" t="str">
            <v>トイレ</v>
          </cell>
          <cell r="FS11" t="str">
            <v>トイレ</v>
          </cell>
          <cell r="FT11" t="str">
            <v>リハビリパンツ</v>
          </cell>
          <cell r="FU11" t="str">
            <v>排泄はご自身で行っているものの、リハビリパンツ内に失禁が見られる。ご自身で交換は可能。</v>
          </cell>
          <cell r="FX11" t="str">
            <v>入力</v>
          </cell>
          <cell r="FY11" t="str">
            <v>全介助</v>
          </cell>
          <cell r="FZ11" t="str">
            <v>全介助</v>
          </cell>
          <cell r="GA11" t="str">
            <v>全介助</v>
          </cell>
          <cell r="GB11" t="str">
            <v>全介助</v>
          </cell>
          <cell r="GC11" t="str">
            <v>全介助</v>
          </cell>
          <cell r="GD11" t="str">
            <v>すべて介助が必要な状況。</v>
          </cell>
          <cell r="GG11" t="str">
            <v>徐々に認知機能の低下があり。何かに固執するとそれが離れなくなり、被害妄想や作話に繋がる。
施設内で実際にあった事は、財布や髭剃りを自分で置いた場所を忘れ、その後に居室清掃に入った際に、「その職員が持って行った。もう来ないでもらいたい。」等の発言あり。
また、物忘れが著明でケアマネが訪問したこともすぐ忘れ、入居してから一度も来てもらったことがない。ケアマネを変えてほしい。」等の発言も多い。</v>
          </cell>
          <cell r="GH11">
            <v>30</v>
          </cell>
        </row>
        <row r="12">
          <cell r="C12" t="str">
            <v>嶋方　照子</v>
          </cell>
          <cell r="D12" t="str">
            <v>3789cda7</v>
          </cell>
          <cell r="I12">
            <v>45575</v>
          </cell>
          <cell r="J12" t="str">
            <v>山川　和輝</v>
          </cell>
          <cell r="K12" t="str">
            <v>退院</v>
          </cell>
          <cell r="L12" t="str">
            <v>入院先の病院</v>
          </cell>
          <cell r="M12" t="str">
            <v>・令和5年3月2日｜介護予防サービス利用開始
・令和5年10月｜アルツハイマー型認知症と診断
・令和5年11月1日｜介護保険被保険者証の有効期間満了に伴う更新
・令和5年11月22日｜介護認定更新の結果、要支援1→要介護1
・令和6年8月1日｜みどり津デイサービス週1回→週2回へ変更
・令和6年8月2日｜自宅で転倒し右大腿骨頸部骨折と診断
・令和6年8月13日｜人口骨頭置換術を施行</v>
          </cell>
          <cell r="N12" t="str">
            <v>出来るだけ頑張って生活していきたい。</v>
          </cell>
          <cell r="O12" t="str">
            <v>退院後の生活に不安を感じています。サービスを利用して今まで通りの生活を送ってもらいたいと思っています。</v>
          </cell>
          <cell r="Q12" t="str">
            <v>入力</v>
          </cell>
          <cell r="R12" t="str">
            <v>要介護１ , 区分変更</v>
          </cell>
          <cell r="V12" t="str">
            <v>１割負担</v>
          </cell>
          <cell r="W12" t="str">
            <v>後期高齢者医療保険</v>
          </cell>
          <cell r="X12" t="str">
            <v>無</v>
          </cell>
          <cell r="Z12" t="str">
            <v>無</v>
          </cell>
          <cell r="AA12" t="str">
            <v>無</v>
          </cell>
          <cell r="AE12" t="str">
            <v>入力</v>
          </cell>
          <cell r="AF12" t="str">
            <v>薄田　勝美様</v>
          </cell>
          <cell r="AG12" t="str">
            <v>長女</v>
          </cell>
          <cell r="AI12" t="str">
            <v>同居</v>
          </cell>
          <cell r="AJ12" t="str">
            <v>介護する</v>
          </cell>
          <cell r="AK12" t="str">
            <v>無</v>
          </cell>
          <cell r="AL12" t="str">
            <v>090-4238-2620</v>
          </cell>
          <cell r="AM12" t="str">
            <v>KP</v>
          </cell>
          <cell r="AN12" t="str">
            <v>薄田　健二様</v>
          </cell>
          <cell r="AO12" t="str">
            <v>長女の夫</v>
          </cell>
          <cell r="AQ12" t="str">
            <v>同居</v>
          </cell>
          <cell r="AR12" t="str">
            <v>介護しない</v>
          </cell>
          <cell r="AT12" t="str">
            <v>090-4238-2620</v>
          </cell>
          <cell r="AW12" t="str">
            <v>入力</v>
          </cell>
          <cell r="AX12" t="str">
            <v>家族同居</v>
          </cell>
          <cell r="AY12" t="str">
            <v>一戸建て</v>
          </cell>
          <cell r="BA12" t="str">
            <v>所有</v>
          </cell>
          <cell r="BB12" t="str">
            <v>有</v>
          </cell>
          <cell r="BC12" t="str">
            <v>有</v>
          </cell>
          <cell r="BD12" t="str">
            <v>洋式</v>
          </cell>
          <cell r="BG12" t="str">
            <v>有</v>
          </cell>
          <cell r="BH12" t="str">
            <v>手すり無</v>
          </cell>
          <cell r="BI12" t="str">
            <v>畳・床</v>
          </cell>
          <cell r="BJ12" t="str">
            <v>無</v>
          </cell>
          <cell r="BK12" t="str">
            <v>無</v>
          </cell>
          <cell r="BL12" t="str">
            <v>無</v>
          </cell>
          <cell r="BO12" t="str">
            <v>入力</v>
          </cell>
          <cell r="BP12" t="str">
            <v>通所介護</v>
          </cell>
          <cell r="BQ12" t="str">
            <v>歩行補助つえ</v>
          </cell>
          <cell r="BR12" t="str">
            <v>特になし</v>
          </cell>
          <cell r="BT12" t="str">
            <v>デイサービスを利用して他の方と交流はできているものの、本人は三重県になじめないと言われている。</v>
          </cell>
          <cell r="BW12" t="str">
            <v>入力</v>
          </cell>
          <cell r="BX12" t="str">
            <v>右大腿骨頸部骨折（8/13人工骨頭置換術施行）</v>
          </cell>
          <cell r="BY12" t="str">
            <v>令和6年8月2日</v>
          </cell>
          <cell r="CX12" t="str">
            <v>入力</v>
          </cell>
          <cell r="CY12" t="str">
            <v>無</v>
          </cell>
          <cell r="CZ12" t="str">
            <v>無</v>
          </cell>
          <cell r="DA12" t="str">
            <v>無</v>
          </cell>
          <cell r="DB12" t="str">
            <v>特になし</v>
          </cell>
          <cell r="DC12" t="str">
            <v>右足軽度痛みあり</v>
          </cell>
          <cell r="DD12">
            <v>0</v>
          </cell>
          <cell r="DE12">
            <v>0</v>
          </cell>
          <cell r="DF12" t="str">
            <v>大きい字は可</v>
          </cell>
          <cell r="DG12" t="str">
            <v>無</v>
          </cell>
          <cell r="DH12" t="str">
            <v>大きい声は可</v>
          </cell>
          <cell r="DI12" t="str">
            <v>有</v>
          </cell>
          <cell r="DJ12" t="str">
            <v>術後、痛みは継続しているものの、徐々に落ち着いてきている。</v>
          </cell>
          <cell r="DL12" t="str">
            <v>入力</v>
          </cell>
          <cell r="DM12" t="str">
            <v>有</v>
          </cell>
          <cell r="DN12" t="str">
            <v>中等度</v>
          </cell>
          <cell r="DO12" t="str">
            <v>無</v>
          </cell>
          <cell r="DP12" t="str">
            <v>可能</v>
          </cell>
          <cell r="DQ12" t="str">
            <v>その場のみ可</v>
          </cell>
          <cell r="DR12" t="str">
            <v>認知機能の低下はあるものの、入院中に大きな変化は見られない。</v>
          </cell>
          <cell r="DU12" t="str">
            <v>入力</v>
          </cell>
          <cell r="DV12" t="str">
            <v>できない</v>
          </cell>
          <cell r="DW12" t="str">
            <v>できない</v>
          </cell>
          <cell r="DX12" t="str">
            <v>支えてもらえればできる</v>
          </cell>
          <cell r="DY12" t="str">
            <v>できない</v>
          </cell>
          <cell r="DZ12" t="str">
            <v>何か支えがあればできる</v>
          </cell>
          <cell r="EA12" t="str">
            <v>一部介助</v>
          </cell>
          <cell r="EB12" t="str">
            <v>一部介助</v>
          </cell>
          <cell r="EC12" t="str">
            <v>歩行器</v>
          </cell>
          <cell r="ED12" t="str">
            <v>全介助</v>
          </cell>
          <cell r="EE12" t="str">
            <v>車椅子</v>
          </cell>
          <cell r="EF12" t="str">
            <v>全身の筋力低下があり、起居動作は軽介助が必要。起き上がりの際はギャッジアップを活用。移動は前腕支持型の歩行器を使用することで、見守り～一部介助で歩行可能だが、後方重心で後方への転倒リスクが高いため方向転換や着座時は介助が必要。認知機能の低下から危険認識力が少なく、ご自身でベッドから降りようとされたり突発的な危険行動も多い。</v>
          </cell>
          <cell r="EH12" t="str">
            <v>入力</v>
          </cell>
          <cell r="EI12" t="str">
            <v>入力</v>
          </cell>
          <cell r="EJ12" t="str">
            <v>経口摂取</v>
          </cell>
          <cell r="EK12" t="str">
            <v>自立</v>
          </cell>
          <cell r="EL12" t="str">
            <v>できる</v>
          </cell>
          <cell r="EM12" t="str">
            <v>普通</v>
          </cell>
          <cell r="EN12" t="str">
            <v>普通</v>
          </cell>
          <cell r="EO12" t="str">
            <v>無</v>
          </cell>
          <cell r="EP12" t="str">
            <v>有</v>
          </cell>
          <cell r="EQ12" t="str">
            <v>箸 , スプーン</v>
          </cell>
          <cell r="ER12" t="str">
            <v>食事は減塩食を食べられているが、嚥下や食事動作は問題なし。脱水傾向にあるため水分の摂取を進めていく必要がある。</v>
          </cell>
          <cell r="ET12" t="str">
            <v>入力</v>
          </cell>
          <cell r="EU12" t="str">
            <v>全介助</v>
          </cell>
          <cell r="EW12" t="str">
            <v>有</v>
          </cell>
          <cell r="EZ12" t="str">
            <v>義歯の洗浄は今迄通りご家族様で対応する必要がある。</v>
          </cell>
          <cell r="FB12" t="str">
            <v>入力</v>
          </cell>
          <cell r="FC12" t="str">
            <v>全介助</v>
          </cell>
          <cell r="FD12" t="str">
            <v>シャワー浴</v>
          </cell>
          <cell r="FE12" t="str">
            <v>無</v>
          </cell>
          <cell r="FG12" t="str">
            <v>一部介助</v>
          </cell>
          <cell r="FH12" t="str">
            <v>全介助</v>
          </cell>
          <cell r="FI12" t="str">
            <v>浴槽を跨ぐことで転倒リスクが高く、自宅での入浴は控えたほうがよいとリハビリスタッフから助言有。ただご自宅での入浴も行いたいと希望があることから今後利用予定の訪問リハビリの支援の中で自宅で入浴できるかを判断して頂く。またみどり津デイを週2回→週3回に変更し入浴回数の確保を行う。</v>
          </cell>
          <cell r="FK12" t="str">
            <v>入力</v>
          </cell>
          <cell r="FL12" t="str">
            <v>一部介助</v>
          </cell>
          <cell r="FM12" t="str">
            <v>有</v>
          </cell>
          <cell r="FN12" t="str">
            <v>有</v>
          </cell>
          <cell r="FO12" t="str">
            <v>有</v>
          </cell>
          <cell r="FP12" t="str">
            <v>無</v>
          </cell>
          <cell r="FR12" t="str">
            <v>トイレ</v>
          </cell>
          <cell r="FS12" t="str">
            <v>トイレ</v>
          </cell>
          <cell r="FT12" t="str">
            <v>リハビリパンツ , 小パット</v>
          </cell>
          <cell r="FU12" t="str">
            <v>立位保持は可能なものの、ズボンやリハパンの上げ下ろしに介助を要す。夜間は紙おむつの着用が望ましい。またリハビリの先生から自宅ではPトイレの使用が望ましいと提案があった。ご家族様にもPトイレを提案するが、「なるべくならトイレでしてほしい。」と希望あり。</v>
          </cell>
          <cell r="FX12" t="str">
            <v>入力</v>
          </cell>
          <cell r="FY12" t="str">
            <v>全介助</v>
          </cell>
          <cell r="FZ12" t="str">
            <v>全介助</v>
          </cell>
          <cell r="GA12" t="str">
            <v>全介助</v>
          </cell>
          <cell r="GB12" t="str">
            <v>全介助</v>
          </cell>
          <cell r="GC12" t="str">
            <v>全介助</v>
          </cell>
          <cell r="GD12" t="str">
            <v>ご家族様で対応して頂く。</v>
          </cell>
          <cell r="GG12" t="str">
            <v>現在要介護1のため退院後に区分変更申請を行う。また自宅に退院するに当たり自宅の環境調整が必須。現在ふとんでの生活となっているが、介護ベッドの導入やトイレまでの手すり、またはPトイレの導入等検討していく必要がある。ご家族様はPトイレよりトイレへ行って排泄してほしいと希望あり。</v>
          </cell>
          <cell r="GH12">
            <v>30</v>
          </cell>
        </row>
        <row r="13">
          <cell r="C13" t="str">
            <v>井ノ口　俊明</v>
          </cell>
          <cell r="D13" t="str">
            <v>a4dc121b</v>
          </cell>
          <cell r="I13">
            <v>45568</v>
          </cell>
          <cell r="J13" t="str">
            <v>山川　和輝</v>
          </cell>
          <cell r="K13" t="str">
            <v>新規</v>
          </cell>
          <cell r="L13" t="str">
            <v>本人のご自宅</v>
          </cell>
          <cell r="M13" t="str">
            <v>2年前より徐々に足腰が弱りはじめ、介護保険を申請し要介護2となった。最近では物忘れも多く、デイサービスを多く利用し生活されているが、妻の介助では介助負担も多く、自宅での生活が難しくなってきたため安濃津ろまんへ申込を行った。</v>
          </cell>
          <cell r="N13" t="str">
            <v>なにも悪い所はないので、このまま家で生活し続けたい。</v>
          </cell>
          <cell r="O13" t="str">
            <v>家で介護するのもつかれたため、施設に入居して安心して生活を送ってもらいたい。</v>
          </cell>
          <cell r="AE13" t="str">
            <v>入力</v>
          </cell>
          <cell r="AF13" t="str">
            <v>井ノ口　美枝子様</v>
          </cell>
          <cell r="AG13" t="str">
            <v>妻</v>
          </cell>
          <cell r="AI13" t="str">
            <v>同居</v>
          </cell>
          <cell r="AJ13" t="str">
            <v>介護する</v>
          </cell>
          <cell r="AK13" t="str">
            <v>無</v>
          </cell>
          <cell r="AL13" t="str">
            <v>090-5862-6986</v>
          </cell>
          <cell r="AM13" t="str">
            <v>KP</v>
          </cell>
          <cell r="AW13" t="str">
            <v>入力</v>
          </cell>
          <cell r="AX13" t="str">
            <v>高齢所帯</v>
          </cell>
          <cell r="AY13" t="str">
            <v>一戸建て</v>
          </cell>
          <cell r="BA13" t="str">
            <v>所有</v>
          </cell>
          <cell r="BB13" t="str">
            <v>有</v>
          </cell>
          <cell r="BC13" t="str">
            <v>有</v>
          </cell>
          <cell r="BD13" t="str">
            <v>洋式</v>
          </cell>
          <cell r="BG13" t="str">
            <v>有</v>
          </cell>
          <cell r="BH13" t="str">
            <v>手すり無</v>
          </cell>
          <cell r="BI13" t="str">
            <v>畳・床</v>
          </cell>
          <cell r="BJ13" t="str">
            <v>有</v>
          </cell>
          <cell r="BK13" t="str">
            <v>無</v>
          </cell>
          <cell r="BL13" t="str">
            <v>無</v>
          </cell>
          <cell r="BW13" t="str">
            <v>入力</v>
          </cell>
          <cell r="BX13" t="str">
            <v>前立腺肥大</v>
          </cell>
          <cell r="BY13" t="str">
            <v>不詳</v>
          </cell>
          <cell r="BZ13" t="str">
            <v>高血圧症</v>
          </cell>
          <cell r="CA13" t="str">
            <v>平成6年</v>
          </cell>
          <cell r="CB13" t="str">
            <v>糖尿病</v>
          </cell>
          <cell r="CC13" t="str">
            <v>平成6年</v>
          </cell>
          <cell r="CD13" t="str">
            <v>高脂血症</v>
          </cell>
          <cell r="CE13" t="str">
            <v>平成6年</v>
          </cell>
          <cell r="CJ13" t="str">
            <v>現在は月２回前立腺肥大で武内病院を受診している。また糖尿病や高脂血症、高血圧症にて高野尾クリニックに定期的に受診しており処方を受けている。入居後は加藤医院に変更となる。</v>
          </cell>
          <cell r="CS13" t="str">
            <v>平成22年に脊柱管狭窄症となっており、それ以降下肢のしびれや筋力低下、脱力等の症状がある。</v>
          </cell>
          <cell r="CT13" t="str">
            <v>奥様が袋を開封し手に薬を出して飲んで頂いている。</v>
          </cell>
          <cell r="CX13" t="str">
            <v>入力</v>
          </cell>
          <cell r="CY13" t="str">
            <v>無</v>
          </cell>
          <cell r="CZ13" t="str">
            <v>無</v>
          </cell>
          <cell r="DA13" t="str">
            <v>無</v>
          </cell>
          <cell r="DB13" t="str">
            <v>特になし</v>
          </cell>
          <cell r="DC13" t="str">
            <v>特になし</v>
          </cell>
          <cell r="DF13" t="str">
            <v>正常</v>
          </cell>
          <cell r="DG13" t="str">
            <v>無</v>
          </cell>
          <cell r="DH13" t="str">
            <v>正常</v>
          </cell>
          <cell r="DI13" t="str">
            <v>無</v>
          </cell>
          <cell r="DJ13" t="str">
            <v>大きな病気はなく健康状態は比較的良好だが、前立腺肥大の服薬の副作用によるものが尿が多量となっている。
病名はついていないが、手の震えもある。</v>
          </cell>
          <cell r="DL13" t="str">
            <v>入力</v>
          </cell>
          <cell r="DM13" t="str">
            <v>有</v>
          </cell>
          <cell r="DN13" t="str">
            <v>中等度</v>
          </cell>
          <cell r="DO13" t="str">
            <v>大声・奇声</v>
          </cell>
          <cell r="DP13" t="str">
            <v>可能</v>
          </cell>
          <cell r="DQ13" t="str">
            <v>その場のみ可</v>
          </cell>
          <cell r="DR13" t="str">
            <v>認知機能は低下が見られ、特に見当識が著明。食事を食べた直後でも食べた食事内容を忘れたり、食べていないということもある。
自分の気に入らないことがあると大声で怒ったりする。介護抵抗はないものの、デイサービスや入浴時に拒否的な発言が見られる。
危険認識力の低下により、自分のことは自分でできると言動がある。</v>
          </cell>
          <cell r="DU13" t="str">
            <v>入力</v>
          </cell>
          <cell r="DV13" t="str">
            <v>何かにつかまればできる</v>
          </cell>
          <cell r="DW13" t="str">
            <v>何かにつかまればできる</v>
          </cell>
          <cell r="DX13" t="str">
            <v>支えてもらえればできる</v>
          </cell>
          <cell r="DY13" t="str">
            <v>何かにつかまればできる</v>
          </cell>
          <cell r="DZ13" t="str">
            <v>何か支えがあればできる</v>
          </cell>
          <cell r="EA13" t="str">
            <v>一部介助</v>
          </cell>
          <cell r="EB13" t="str">
            <v>一部介助</v>
          </cell>
          <cell r="EC13" t="str">
            <v>独歩</v>
          </cell>
          <cell r="ED13" t="str">
            <v>一部介助</v>
          </cell>
          <cell r="EE13" t="str">
            <v>独歩</v>
          </cell>
          <cell r="EF13" t="str">
            <v>現在床で寝られており、起き上がりや起立に介助が必要。椅子からの起立は低いと立ち上がりにくさはあったがご自身で可能。移動は現在は常に奥様が付き添って介助を行う。ご自身で歩かれる様子も見られる。
手すりを使用することでお一人でも移動が可能。入居後は歩行器を提案。</v>
          </cell>
          <cell r="EH13" t="str">
            <v>入力</v>
          </cell>
          <cell r="EI13" t="str">
            <v>入力</v>
          </cell>
          <cell r="EJ13" t="str">
            <v>経口摂取</v>
          </cell>
          <cell r="EK13" t="str">
            <v>自立</v>
          </cell>
          <cell r="EL13" t="str">
            <v>できる</v>
          </cell>
          <cell r="EM13" t="str">
            <v>普通</v>
          </cell>
          <cell r="EN13" t="str">
            <v>普通</v>
          </cell>
          <cell r="EO13" t="str">
            <v>無</v>
          </cell>
          <cell r="EP13" t="str">
            <v>無</v>
          </cell>
          <cell r="EQ13" t="str">
            <v>箸 , スプーン</v>
          </cell>
          <cell r="ER13" t="str">
            <v>手の震えがあり、食べこぼしが多いもののご自身で食べることができる。</v>
          </cell>
          <cell r="ET13" t="str">
            <v>入力</v>
          </cell>
          <cell r="EU13" t="str">
            <v>見守り</v>
          </cell>
          <cell r="EW13" t="str">
            <v>無</v>
          </cell>
          <cell r="EZ13" t="str">
            <v>歯みがきは促しやセッティングは必要なものの、手渡しするとご自身で行えている。義歯はなく、すべて自分の歯となっている。</v>
          </cell>
          <cell r="FB13" t="str">
            <v>入力</v>
          </cell>
          <cell r="FC13" t="str">
            <v>一部介助</v>
          </cell>
          <cell r="FD13" t="str">
            <v>シャワー浴</v>
          </cell>
          <cell r="FE13" t="str">
            <v>無</v>
          </cell>
          <cell r="FG13" t="str">
            <v>一部介助</v>
          </cell>
          <cell r="FH13" t="str">
            <v>全介助</v>
          </cell>
          <cell r="FI13" t="str">
            <v>現在入浴は、花紬デイサービスで週４回入浴しており、デイサービスがない日は奥様が自宅のお風呂に介助で入れている。着替えも協力動作はあるものの介助が必要な状況。</v>
          </cell>
          <cell r="FK13" t="str">
            <v>入力</v>
          </cell>
          <cell r="FL13" t="str">
            <v>一部介助</v>
          </cell>
          <cell r="FM13" t="str">
            <v>有</v>
          </cell>
          <cell r="FN13" t="str">
            <v>有</v>
          </cell>
          <cell r="FO13" t="str">
            <v>有</v>
          </cell>
          <cell r="FP13" t="str">
            <v>有</v>
          </cell>
          <cell r="FR13" t="str">
            <v>トイレ</v>
          </cell>
          <cell r="FS13" t="str">
            <v>トイレ</v>
          </cell>
          <cell r="FT13" t="str">
            <v>リハビリパンツ , 大パット</v>
          </cell>
          <cell r="FU13" t="str">
            <v>尿意便意はあるものの曖昧。前立腺肥大の服薬の副作用か、尿量が多量でちょろちょろ出ていることに気づかれておらず毎日失禁が見られる。
ご自身でトイレに行かれる姿はあるものの、すでにリハビリパンツ内に出ていることがほとんど。リハビリパンツの交換は奥様が介助で行っている。夜間やリハビリパンツに大パットを使用している。</v>
          </cell>
          <cell r="FX13" t="str">
            <v>入力</v>
          </cell>
          <cell r="FY13" t="str">
            <v>全介助</v>
          </cell>
          <cell r="FZ13" t="str">
            <v>全介助</v>
          </cell>
          <cell r="GA13" t="str">
            <v>全介助</v>
          </cell>
          <cell r="GB13" t="str">
            <v>全介助</v>
          </cell>
          <cell r="GC13" t="str">
            <v>全介助</v>
          </cell>
          <cell r="GD13" t="str">
            <v>すべて奥様の介助で行っている。</v>
          </cell>
          <cell r="GG13" t="str">
            <v>本人は頑固な性格のため、怒り出してしまうことも度々見られると考えられる。また危険認識力の低下により転倒のリスクもかなり高いためリスク同意書の説明を行う。</v>
          </cell>
          <cell r="GH13">
            <v>30</v>
          </cell>
        </row>
        <row r="14">
          <cell r="C14" t="str">
            <v>近澤　秋男</v>
          </cell>
          <cell r="D14" t="str">
            <v>5dee2753</v>
          </cell>
          <cell r="I14">
            <v>45572</v>
          </cell>
          <cell r="J14" t="str">
            <v>山川　和輝</v>
          </cell>
          <cell r="L14" t="str">
            <v>本人の居室</v>
          </cell>
          <cell r="M14" t="str">
            <v>もともと長男夫婦、奥様と同居していたが、奥様の認知症が悪化し平成28年に妻は施設入所。平成30年2月にご逝去されている。本人も物忘れ等がみられるが介護サービスを受けず生活されていた。令和1年8月21日に自転車運転中に車と接触事故を起こし左足2ヵ所骨折、亀山医療センター入院となる。令和1年8月22日、接合術施行。歩行が出来る程回復したが認知症を発症し自宅で生活が出来なくなり、老健施設に入所となった。
退所後、自宅生活が難しいことから令和3年9月11日に安濃津ろまんへ入居となった。</v>
          </cell>
          <cell r="N14" t="str">
            <v>色々と厄介になりますが、よろしくお願いします。</v>
          </cell>
          <cell r="O14" t="str">
            <v>今の健康状態を維持した生活が送れるようにしたいと思っています。</v>
          </cell>
          <cell r="Q14" t="str">
            <v>入力</v>
          </cell>
          <cell r="R14" t="str">
            <v>要介護２</v>
          </cell>
          <cell r="S14" t="str">
            <v>令和6年8月30日</v>
          </cell>
          <cell r="T14" t="str">
            <v>令和6年9月1日</v>
          </cell>
          <cell r="U14" t="str">
            <v>令和9年8月31日</v>
          </cell>
          <cell r="V14" t="str">
            <v>２割負担</v>
          </cell>
          <cell r="W14" t="str">
            <v>後期高齢者医療保険</v>
          </cell>
          <cell r="X14" t="str">
            <v>無</v>
          </cell>
          <cell r="Z14" t="str">
            <v>無</v>
          </cell>
          <cell r="AA14" t="str">
            <v>無</v>
          </cell>
          <cell r="AE14" t="str">
            <v>入力</v>
          </cell>
          <cell r="AF14" t="str">
            <v>近澤　勝則様</v>
          </cell>
          <cell r="AG14" t="str">
            <v>長男</v>
          </cell>
          <cell r="AI14" t="str">
            <v>別居</v>
          </cell>
          <cell r="AJ14" t="str">
            <v>介護する</v>
          </cell>
          <cell r="AK14" t="str">
            <v>有</v>
          </cell>
          <cell r="AL14" t="str">
            <v>090-7679-0111</v>
          </cell>
          <cell r="AM14" t="str">
            <v>KP　自宅：0595-82-4405</v>
          </cell>
          <cell r="AN14" t="str">
            <v>近澤　正代様</v>
          </cell>
          <cell r="AO14" t="str">
            <v>長男の妻</v>
          </cell>
          <cell r="AQ14" t="str">
            <v>別居</v>
          </cell>
          <cell r="AR14" t="str">
            <v>介護しない</v>
          </cell>
          <cell r="AT14" t="str">
            <v>090-5032-6663</v>
          </cell>
          <cell r="AW14" t="str">
            <v>入力</v>
          </cell>
          <cell r="AX14" t="str">
            <v>一人暮らし</v>
          </cell>
          <cell r="AY14" t="str">
            <v>集合住宅</v>
          </cell>
          <cell r="AZ14" t="str">
            <v>エレベーター有</v>
          </cell>
          <cell r="BA14" t="str">
            <v>賃貸</v>
          </cell>
          <cell r="BB14" t="str">
            <v>有</v>
          </cell>
          <cell r="BC14" t="str">
            <v>有</v>
          </cell>
          <cell r="BD14" t="str">
            <v>ウォシュレット</v>
          </cell>
          <cell r="BG14" t="str">
            <v>有</v>
          </cell>
          <cell r="BH14" t="str">
            <v>手すり有</v>
          </cell>
          <cell r="BI14" t="str">
            <v>リクライニングベッド</v>
          </cell>
          <cell r="BJ14" t="str">
            <v>無</v>
          </cell>
          <cell r="BK14" t="str">
            <v>無</v>
          </cell>
          <cell r="BL14" t="str">
            <v>無</v>
          </cell>
          <cell r="BO14" t="str">
            <v>入力</v>
          </cell>
          <cell r="BP14" t="str">
            <v>訪問介護 , 訪問看護 , 通所介護</v>
          </cell>
          <cell r="BQ14" t="str">
            <v>特殊寝台 , 特殊寝台付属品 , 歩行器</v>
          </cell>
          <cell r="BS14" t="str">
            <v>食事支援 , 排泄支援 , リネンリース , 洗濯</v>
          </cell>
          <cell r="BT14" t="str">
            <v>他の利用者様とのトラブルは見られないが、コミュニケーションを取ることもない。</v>
          </cell>
          <cell r="BW14" t="str">
            <v>入力</v>
          </cell>
          <cell r="BX14" t="str">
            <v>認知症</v>
          </cell>
          <cell r="BZ14" t="str">
            <v>左大腿骨骨折</v>
          </cell>
          <cell r="CA14" t="str">
            <v>令和1年8月21日</v>
          </cell>
          <cell r="CB14" t="str">
            <v>大動脈解離</v>
          </cell>
          <cell r="CC14" t="str">
            <v>不詳</v>
          </cell>
          <cell r="CD14" t="str">
            <v>腎臓片側摘出</v>
          </cell>
          <cell r="CE14" t="str">
            <v>不詳</v>
          </cell>
          <cell r="CJ14" t="str">
            <v>現在通院は行っていない。</v>
          </cell>
          <cell r="CS14" t="str">
            <v>現在、鼠経ヘルニアがあるものの、痛みや違和感もなく主治医より経過観察の指示がある。</v>
          </cell>
          <cell r="CT14" t="str">
            <v>服薬は看護師管理で、袋を開封して手渡ししている。</v>
          </cell>
          <cell r="CX14" t="str">
            <v>入力</v>
          </cell>
          <cell r="CY14" t="str">
            <v>無</v>
          </cell>
          <cell r="CZ14" t="str">
            <v>無</v>
          </cell>
          <cell r="DA14" t="str">
            <v>無</v>
          </cell>
          <cell r="DB14" t="str">
            <v>特になし</v>
          </cell>
          <cell r="DC14" t="str">
            <v>特になし</v>
          </cell>
          <cell r="DF14" t="str">
            <v>大きい字は可</v>
          </cell>
          <cell r="DG14" t="str">
            <v>無</v>
          </cell>
          <cell r="DH14" t="str">
            <v>大きい声は可</v>
          </cell>
          <cell r="DI14" t="str">
            <v>無</v>
          </cell>
          <cell r="DJ14" t="str">
            <v>現在、鼠経ヘルニアがあるものの、痛みや違和感もなく主治医より経過観察の指示がある。痛みや違和感が生じるようなら、手術も適応となるが、ご家族様より今の精神状況が回復しない限り手術は控えたい。と希望あり。</v>
          </cell>
          <cell r="DL14" t="str">
            <v>入力</v>
          </cell>
          <cell r="DM14" t="str">
            <v>有</v>
          </cell>
          <cell r="DN14" t="str">
            <v>中等度</v>
          </cell>
          <cell r="DO14" t="str">
            <v>大声・奇声 , 暴力 , 暴言 , 介護抵抗 , 徘徊 , 不穏</v>
          </cell>
          <cell r="DP14" t="str">
            <v>不明瞭</v>
          </cell>
          <cell r="DQ14" t="str">
            <v>その場のみ可</v>
          </cell>
          <cell r="DR14" t="str">
            <v>介護拒否が多く、気にくわないことがあると、大声を出されたり、暴力行為、唾を吐きかける行為等もある。特に入浴の際にはそのような行動が多発する。</v>
          </cell>
          <cell r="DU14" t="str">
            <v>入力</v>
          </cell>
          <cell r="DV14" t="str">
            <v>何かにつかまればできる</v>
          </cell>
          <cell r="DW14" t="str">
            <v>何かにつかまればできる</v>
          </cell>
          <cell r="DX14" t="str">
            <v>自分の手で支えればできる</v>
          </cell>
          <cell r="DY14" t="str">
            <v>何かにつかまればできる</v>
          </cell>
          <cell r="DZ14" t="str">
            <v>何か支えがあればできる</v>
          </cell>
          <cell r="EA14" t="str">
            <v>自立</v>
          </cell>
          <cell r="EB14" t="str">
            <v>自立</v>
          </cell>
          <cell r="EC14" t="str">
            <v>歩行器</v>
          </cell>
          <cell r="ED14" t="str">
            <v>全介助</v>
          </cell>
          <cell r="EE14" t="str">
            <v>車椅子</v>
          </cell>
          <cell r="EF14" t="str">
            <v>起居動作や移動はご自身で行えている。</v>
          </cell>
          <cell r="EH14" t="str">
            <v>入力</v>
          </cell>
          <cell r="EI14" t="str">
            <v>入力</v>
          </cell>
          <cell r="EJ14" t="str">
            <v>経口摂取</v>
          </cell>
          <cell r="EK14" t="str">
            <v>自立</v>
          </cell>
          <cell r="EL14" t="str">
            <v>できる</v>
          </cell>
          <cell r="EM14" t="str">
            <v>普通</v>
          </cell>
          <cell r="EN14" t="str">
            <v>普通</v>
          </cell>
          <cell r="EO14" t="str">
            <v>無</v>
          </cell>
          <cell r="EP14" t="str">
            <v>有</v>
          </cell>
          <cell r="EQ14" t="str">
            <v>箸 , スプーン</v>
          </cell>
          <cell r="ER14" t="str">
            <v>食事は塩分制限食を摂取されている。また主食は大盛で対応。ご自身で食事摂取は可能。</v>
          </cell>
          <cell r="ET14" t="str">
            <v>入力</v>
          </cell>
          <cell r="EU14" t="str">
            <v>自立</v>
          </cell>
          <cell r="EW14" t="str">
            <v>無</v>
          </cell>
          <cell r="EZ14" t="str">
            <v>口腔ケアはご自身で可能なものの、促しがないと行うことができない。介助を拒むため支援に入ることはできず、ご自身でも磨けていない状況。</v>
          </cell>
          <cell r="FB14" t="str">
            <v>入力</v>
          </cell>
          <cell r="FC14" t="str">
            <v>一部介助</v>
          </cell>
          <cell r="FD14" t="str">
            <v>チェアー浴</v>
          </cell>
          <cell r="FE14" t="str">
            <v>無</v>
          </cell>
          <cell r="FG14" t="str">
            <v>見守り</v>
          </cell>
          <cell r="FH14" t="str">
            <v>見守り</v>
          </cell>
          <cell r="FI14" t="str">
            <v>入浴の拒否が多く、突然怒り出し暴力行為や暴言、唾を吐きかける行動も多い。自分のペースを乱されることを嫌うため、介助はせずご自身で洗身や更衣を行う。</v>
          </cell>
          <cell r="FK14" t="str">
            <v>入力</v>
          </cell>
          <cell r="FL14" t="str">
            <v>自立</v>
          </cell>
          <cell r="FM14" t="str">
            <v>有</v>
          </cell>
          <cell r="FN14" t="str">
            <v>有</v>
          </cell>
          <cell r="FO14" t="str">
            <v>有</v>
          </cell>
          <cell r="FP14" t="str">
            <v>無</v>
          </cell>
          <cell r="FR14" t="str">
            <v>トイレ</v>
          </cell>
          <cell r="FS14" t="str">
            <v>トイレ</v>
          </cell>
          <cell r="FT14" t="str">
            <v>リハビリパンツ</v>
          </cell>
          <cell r="FU14" t="str">
            <v>排泄はトイレで行うものの、常に失禁状態が続いている。リハビリ交換も介助することで怒り出すため支援を入れられていない状況。</v>
          </cell>
          <cell r="FX14" t="str">
            <v>入力</v>
          </cell>
          <cell r="FY14" t="str">
            <v>全介助</v>
          </cell>
          <cell r="FZ14" t="str">
            <v>全介助</v>
          </cell>
          <cell r="GA14" t="str">
            <v>全介助</v>
          </cell>
          <cell r="GB14" t="str">
            <v>全介助</v>
          </cell>
          <cell r="GC14" t="str">
            <v>全介助</v>
          </cell>
          <cell r="GD14" t="str">
            <v>施設サービスを利用</v>
          </cell>
          <cell r="GG14" t="str">
            <v>特になし。</v>
          </cell>
          <cell r="GH14">
            <v>30</v>
          </cell>
        </row>
        <row r="15">
          <cell r="C15" t="str">
            <v>谷村　紀美子</v>
          </cell>
          <cell r="D15" t="str">
            <v>028bec9c</v>
          </cell>
          <cell r="I15">
            <v>45582</v>
          </cell>
          <cell r="J15" t="str">
            <v>山川　和輝</v>
          </cell>
          <cell r="K15" t="str">
            <v>更新</v>
          </cell>
          <cell r="L15" t="str">
            <v>本人の居室</v>
          </cell>
          <cell r="M15" t="str">
            <v>自宅でご夫婦で生活されていたが、夫のアルツハイマー型認知症とご自身のパーキンソン病の悪化により老健鈴の丘を経て安濃津ろまんに入居された。パーキンソン病は40代に発症し平成28年頃より悪化していた。介護サービスを利用しながら生活されていたが、令和1年12月にご主人はご逝去された。その後引き続き安濃津ろまんにご入居されている。身障手帳をお持ちで2種3級、変形性股関節症で平成22年5月に交付されている。医療保険によるサービス利用も行っている。</v>
          </cell>
          <cell r="N15" t="str">
            <v>このまま施設で不自由なく安心して生活したいです。</v>
          </cell>
          <cell r="O15" t="str">
            <v>安濃津ろまんで生活が難しくなってきたら特養への転居も考えています。ただ本人がデイサービスを好んでいるため、しばらくはお世話になります。</v>
          </cell>
          <cell r="Q15" t="str">
            <v>入力</v>
          </cell>
          <cell r="R15" t="str">
            <v>要介護５</v>
          </cell>
          <cell r="S15" t="str">
            <v>令和6年12月1日</v>
          </cell>
          <cell r="T15" t="str">
            <v>令和5年11月1日</v>
          </cell>
          <cell r="U15" t="str">
            <v>令和7年10月31日</v>
          </cell>
          <cell r="V15" t="str">
            <v>１割負担</v>
          </cell>
          <cell r="W15" t="str">
            <v>後期高齢者医療保険</v>
          </cell>
          <cell r="X15" t="str">
            <v>有</v>
          </cell>
          <cell r="Y15" t="str">
            <v>3級2種</v>
          </cell>
          <cell r="Z15" t="str">
            <v>有</v>
          </cell>
          <cell r="AA15" t="str">
            <v>無</v>
          </cell>
          <cell r="AB15" t="str">
            <v>B1</v>
          </cell>
          <cell r="AC15" t="str">
            <v>Ⅰ</v>
          </cell>
          <cell r="AE15" t="str">
            <v>入力</v>
          </cell>
          <cell r="AF15" t="str">
            <v>谷村　宗義</v>
          </cell>
          <cell r="AG15" t="str">
            <v>長男</v>
          </cell>
          <cell r="AI15" t="str">
            <v>別居</v>
          </cell>
          <cell r="AJ15" t="str">
            <v>介護しない</v>
          </cell>
          <cell r="AK15" t="str">
            <v>有</v>
          </cell>
          <cell r="AL15" t="str">
            <v>090-1635-0929</v>
          </cell>
          <cell r="AM15" t="str">
            <v>KP。循環器Dr</v>
          </cell>
          <cell r="AN15" t="str">
            <v>谷村　夏子</v>
          </cell>
          <cell r="AO15" t="str">
            <v>長男の妻</v>
          </cell>
          <cell r="AQ15" t="str">
            <v>別居</v>
          </cell>
          <cell r="AR15" t="str">
            <v>介護しない</v>
          </cell>
          <cell r="AS15" t="str">
            <v>無</v>
          </cell>
          <cell r="AT15" t="str">
            <v>090-2923-3932</v>
          </cell>
          <cell r="AW15" t="str">
            <v>入力</v>
          </cell>
          <cell r="AX15" t="str">
            <v>一人暮らし</v>
          </cell>
          <cell r="AY15" t="str">
            <v>集合住宅</v>
          </cell>
          <cell r="AZ15" t="str">
            <v>エレベーター有</v>
          </cell>
          <cell r="BA15" t="str">
            <v>賃貸</v>
          </cell>
          <cell r="BB15" t="str">
            <v>有</v>
          </cell>
          <cell r="BC15" t="str">
            <v>有</v>
          </cell>
          <cell r="BD15" t="str">
            <v>洋式</v>
          </cell>
          <cell r="BG15" t="str">
            <v>有</v>
          </cell>
          <cell r="BH15" t="str">
            <v>手すり有</v>
          </cell>
          <cell r="BI15" t="str">
            <v>リクライニングベッド</v>
          </cell>
          <cell r="BJ15" t="str">
            <v>無</v>
          </cell>
          <cell r="BK15" t="str">
            <v>無</v>
          </cell>
          <cell r="BL15" t="str">
            <v>無</v>
          </cell>
          <cell r="BO15" t="str">
            <v>入力</v>
          </cell>
          <cell r="BP15" t="str">
            <v>訪問介護 , 訪問リハ , 通所介護</v>
          </cell>
          <cell r="BQ15" t="str">
            <v>車いす , 特殊寝台 , 特殊寝台付属品 , 手すり</v>
          </cell>
          <cell r="BS15" t="str">
            <v>食事支援 , 排泄支援 , リネンリース , 洗濯 , 居室清掃</v>
          </cell>
          <cell r="BT15" t="str">
            <v>デイサービスを利用し他者と交流が図れている。</v>
          </cell>
          <cell r="BW15" t="str">
            <v>入力</v>
          </cell>
          <cell r="BX15" t="str">
            <v>パーキンソン病</v>
          </cell>
          <cell r="BY15" t="str">
            <v>平成4年1月1日</v>
          </cell>
          <cell r="CJ15" t="str">
            <v>主治医は永井病院で定期的に通院を行っている。</v>
          </cell>
          <cell r="CS15" t="str">
            <v>平成22年に右大腿骨頸部骨折により人口骨頭置換術を施行。また変形性膝関節症も既往にある。</v>
          </cell>
          <cell r="CT15" t="str">
            <v>薬局や看護師による管理を行い、服薬はヘルパーが口まで運んで内服している。</v>
          </cell>
          <cell r="CX15" t="str">
            <v>入力</v>
          </cell>
          <cell r="CY15" t="str">
            <v>床ずれ</v>
          </cell>
          <cell r="CZ15" t="str">
            <v>無</v>
          </cell>
          <cell r="DA15" t="str">
            <v>無</v>
          </cell>
          <cell r="DB15" t="str">
            <v>特になし</v>
          </cell>
          <cell r="DC15" t="str">
            <v>胸部～腹部</v>
          </cell>
          <cell r="DF15" t="str">
            <v>大きい字は可</v>
          </cell>
          <cell r="DG15" t="str">
            <v>有</v>
          </cell>
          <cell r="DH15" t="str">
            <v>大きい声は可</v>
          </cell>
          <cell r="DI15" t="str">
            <v>無</v>
          </cell>
          <cell r="DJ15" t="str">
            <v>パーキンソン病が主病であり日内変動もある。　　　　　　　　　　　　　定期的に息子様の送迎で永井病院に受診している。パーキンソン病による症状が強く、服薬にてコントロールしている。息子様が循環器のDrのため、身体やパーキンソン病による不調があれば報告を行い服薬のコントロールを行っている。</v>
          </cell>
          <cell r="DL15" t="str">
            <v>入力</v>
          </cell>
          <cell r="DM15" t="str">
            <v>有</v>
          </cell>
          <cell r="DN15" t="str">
            <v>軽度</v>
          </cell>
          <cell r="DO15" t="str">
            <v>無</v>
          </cell>
          <cell r="DP15" t="str">
            <v>不明瞭</v>
          </cell>
          <cell r="DQ15" t="str">
            <v>その場のみ可</v>
          </cell>
          <cell r="DR15" t="str">
            <v>認知機能の低下はあるものの、年相応。パーキンソン病の影響により声の張りがなく会話は可能だが不明瞭なことが多い。</v>
          </cell>
          <cell r="DU15" t="str">
            <v>入力</v>
          </cell>
          <cell r="DV15" t="str">
            <v>何かにつかまればできる</v>
          </cell>
          <cell r="DW15" t="str">
            <v>何かにつかまればできる</v>
          </cell>
          <cell r="DX15" t="str">
            <v>自分の手で支えればできる</v>
          </cell>
          <cell r="DY15" t="str">
            <v>何かにつかまればできる</v>
          </cell>
          <cell r="DZ15" t="str">
            <v>何か支えがあればできる</v>
          </cell>
          <cell r="EA15" t="str">
            <v>自立</v>
          </cell>
          <cell r="EB15" t="str">
            <v>一部介助</v>
          </cell>
          <cell r="EC15" t="str">
            <v>車椅子</v>
          </cell>
          <cell r="ED15" t="str">
            <v>全介助</v>
          </cell>
          <cell r="EE15" t="str">
            <v>車椅子</v>
          </cell>
          <cell r="EF15" t="str">
            <v>基本動作はなんとかご自身で行うことができるものの、転倒リスクも高い。ご自身で活動したい希望が強いため、転倒リスク同意書を頂いている。</v>
          </cell>
          <cell r="EH15" t="str">
            <v>入力</v>
          </cell>
          <cell r="EI15" t="str">
            <v>入力</v>
          </cell>
          <cell r="EJ15" t="str">
            <v>経口摂取</v>
          </cell>
          <cell r="EK15" t="str">
            <v>見守り</v>
          </cell>
          <cell r="EL15" t="str">
            <v>できる</v>
          </cell>
          <cell r="EM15" t="str">
            <v>軟飯</v>
          </cell>
          <cell r="EN15" t="str">
            <v>普通</v>
          </cell>
          <cell r="EO15" t="str">
            <v>無</v>
          </cell>
          <cell r="EP15" t="str">
            <v>無</v>
          </cell>
          <cell r="EQ15" t="str">
            <v>スプーン</v>
          </cell>
          <cell r="ER15" t="str">
            <v>食事は食べこぼしが多いものの自己にて摂取できている。食事用エプロンを使用。
ご家族様からもお菓子の差し入れが多く、居室でもご自身で食べられている。</v>
          </cell>
          <cell r="ET15" t="str">
            <v>入力</v>
          </cell>
          <cell r="EU15" t="str">
            <v>一部介助</v>
          </cell>
          <cell r="EZ15" t="str">
            <v>口腔ケアは毎日夜にヘルパー支援が入っており介助を受けている。</v>
          </cell>
          <cell r="FB15" t="str">
            <v>入力</v>
          </cell>
          <cell r="FC15" t="str">
            <v>全介助</v>
          </cell>
          <cell r="FD15" t="str">
            <v>寝台浴</v>
          </cell>
          <cell r="FE15" t="str">
            <v>無</v>
          </cell>
          <cell r="FG15" t="str">
            <v>全介助</v>
          </cell>
          <cell r="FH15" t="str">
            <v>全介助</v>
          </cell>
          <cell r="FI15" t="str">
            <v>入浴は看護師による入浴支援を受けており、寝台浴で入浴されている。</v>
          </cell>
          <cell r="FK15" t="str">
            <v>入力</v>
          </cell>
          <cell r="FL15" t="str">
            <v>全介助</v>
          </cell>
          <cell r="FM15" t="str">
            <v>有</v>
          </cell>
          <cell r="FN15" t="str">
            <v>有</v>
          </cell>
          <cell r="FO15" t="str">
            <v>有</v>
          </cell>
          <cell r="FP15" t="str">
            <v>有</v>
          </cell>
          <cell r="FR15" t="str">
            <v>オムツ</v>
          </cell>
          <cell r="FS15" t="str">
            <v>オムツ</v>
          </cell>
          <cell r="FT15" t="str">
            <v>紙おむつ , 大パット</v>
          </cell>
          <cell r="FU15" t="str">
            <v>排泄は終日紙おむつと大パットを使用。定期的に排泄支援が必要。
今まではトイレで排泄を行えていたが、立位保持が困難となったことで紙おむつ対応となった。</v>
          </cell>
          <cell r="FX15" t="str">
            <v>入力</v>
          </cell>
          <cell r="FY15" t="str">
            <v>全介助</v>
          </cell>
          <cell r="FZ15" t="str">
            <v>全介助</v>
          </cell>
          <cell r="GA15" t="str">
            <v>全介助</v>
          </cell>
          <cell r="GB15" t="str">
            <v>一部介助</v>
          </cell>
          <cell r="GC15" t="str">
            <v>全介助</v>
          </cell>
          <cell r="GD15" t="str">
            <v>買い物はデイサービス終了時に、売店を利用されている。掃除はヘルパーやクリーンスタッフによる清掃を実施。その他施設サービスやご家族様で対応している。</v>
          </cell>
          <cell r="GG15" t="str">
            <v>車椅子のブレーキ忘れがあるため、自動ブレーキ機能付きの車いすを使用。しかし座り方が浅かったり姿勢が悪いと自動でブレーキがかかってしまい動かせなくなるため、その都度福祉用具相談員に相談をおこない調整を行っている。</v>
          </cell>
          <cell r="GH15">
            <v>30</v>
          </cell>
        </row>
        <row r="16">
          <cell r="C16" t="str">
            <v>前野　健一</v>
          </cell>
          <cell r="D16" t="str">
            <v>08aea297</v>
          </cell>
          <cell r="I16">
            <v>45583</v>
          </cell>
          <cell r="J16" t="str">
            <v>山川　和輝</v>
          </cell>
          <cell r="K16" t="str">
            <v>更新</v>
          </cell>
          <cell r="L16" t="str">
            <v>本人の居室</v>
          </cell>
          <cell r="M16" t="str">
            <v>27歳ごろ、大阪から東京に転勤となり、独身生活を送っていた。60歳の時に大腸がんの手術を受ける。その時に糖尿病の数値が悪く、インスリン治療開始する。H24.10，自宅浴室で倒れているところを発見され入院する。その後リハビリのため妹のいる近くの榊原温泉病院へ転院する。H25.4.6 サービス付き高齢者向け住宅　安濃津ろまんに入居される。H27.8.21に腸閉塞のため遠山病院入院。その後経過良好にて9.9に退院する。腸閉塞で通院はしていない。週3回のデイケアのリハビリに意欲的に取り組まれている。</v>
          </cell>
          <cell r="N16" t="str">
            <v>リハビリを受けてもっと自由に動けるようになりたい。</v>
          </cell>
          <cell r="O16" t="str">
            <v>施設で安心して生活してほしいと思っています。怒りっぽい性格ですが、よろしくお願いします。</v>
          </cell>
          <cell r="Q16" t="str">
            <v>入力</v>
          </cell>
          <cell r="R16" t="str">
            <v>要介護４</v>
          </cell>
          <cell r="S16" t="str">
            <v>令和6年10月8日</v>
          </cell>
          <cell r="T16" t="str">
            <v>令和6年11月1日</v>
          </cell>
          <cell r="U16" t="str">
            <v>令和9年10月31日</v>
          </cell>
          <cell r="V16" t="str">
            <v>１割負担</v>
          </cell>
          <cell r="W16" t="str">
            <v>後期高齢者医療保険</v>
          </cell>
          <cell r="X16" t="str">
            <v>有</v>
          </cell>
          <cell r="Z16" t="str">
            <v>無</v>
          </cell>
          <cell r="AA16" t="str">
            <v>無</v>
          </cell>
          <cell r="AB16" t="str">
            <v>B1</v>
          </cell>
          <cell r="AC16" t="str">
            <v>Ⅱb</v>
          </cell>
          <cell r="AE16" t="str">
            <v>入力</v>
          </cell>
          <cell r="AF16" t="str">
            <v>中西　京子</v>
          </cell>
          <cell r="AG16" t="str">
            <v>妹</v>
          </cell>
          <cell r="AI16" t="str">
            <v>別居</v>
          </cell>
          <cell r="AJ16" t="str">
            <v>介護しない</v>
          </cell>
          <cell r="AK16" t="str">
            <v>無</v>
          </cell>
          <cell r="AL16" t="str">
            <v>090-5005-7128</v>
          </cell>
          <cell r="AM16" t="str">
            <v>KP</v>
          </cell>
          <cell r="AN16" t="str">
            <v>中西　謙之</v>
          </cell>
          <cell r="AO16" t="str">
            <v>妹の夫</v>
          </cell>
          <cell r="AQ16" t="str">
            <v>別居</v>
          </cell>
          <cell r="AR16" t="str">
            <v>介護しない</v>
          </cell>
          <cell r="AT16" t="str">
            <v>090-6766-8184</v>
          </cell>
          <cell r="AW16" t="str">
            <v>入力</v>
          </cell>
          <cell r="AX16" t="str">
            <v>一人暮らし</v>
          </cell>
          <cell r="AY16" t="str">
            <v>集合住宅</v>
          </cell>
          <cell r="AZ16" t="str">
            <v>エレベーター有</v>
          </cell>
          <cell r="BA16" t="str">
            <v>賃貸</v>
          </cell>
          <cell r="BB16" t="str">
            <v>有</v>
          </cell>
          <cell r="BC16" t="str">
            <v>有</v>
          </cell>
          <cell r="BD16" t="str">
            <v>洋式</v>
          </cell>
          <cell r="BG16" t="str">
            <v>有</v>
          </cell>
          <cell r="BH16" t="str">
            <v>手すり有</v>
          </cell>
          <cell r="BI16" t="str">
            <v>リクライニングベッド</v>
          </cell>
          <cell r="BJ16" t="str">
            <v>無</v>
          </cell>
          <cell r="BK16" t="str">
            <v>無</v>
          </cell>
          <cell r="BL16" t="str">
            <v>無</v>
          </cell>
          <cell r="BO16" t="str">
            <v>入力</v>
          </cell>
          <cell r="BP16" t="str">
            <v>訪問介護 , 訪問看護 , 通所リハ</v>
          </cell>
          <cell r="BQ16" t="str">
            <v>車いす , 車いす付属品 , 特殊寝台 , 特殊寝台付属品 , 手すり</v>
          </cell>
          <cell r="BS16" t="str">
            <v>食事支援 , 排泄支援 , リネンリース , 洗濯</v>
          </cell>
          <cell r="BT16" t="str">
            <v>通所リハを利用しているものの、他者とあまり関わりを持たない性格。</v>
          </cell>
          <cell r="BW16" t="str">
            <v>入力</v>
          </cell>
          <cell r="BX16" t="str">
            <v>てんかん</v>
          </cell>
          <cell r="BY16" t="str">
            <v>平成30年6月18日</v>
          </cell>
          <cell r="BZ16" t="str">
            <v>脳出血</v>
          </cell>
          <cell r="CA16" t="str">
            <v>平成24年10月29日</v>
          </cell>
          <cell r="CJ16" t="str">
            <v>現在通院は行っていない。</v>
          </cell>
          <cell r="CS16" t="str">
            <v>平成2年に大腸がんや糖尿病と診断あり。平成27年に腸閉塞となっている。</v>
          </cell>
          <cell r="CT16" t="str">
            <v>加藤医院で処方をうけ、ローレル薬局、看護師で管理している。袋の開封がご自身で難しいため、開封後、手渡しで内服している。</v>
          </cell>
          <cell r="CX16" t="str">
            <v>入力</v>
          </cell>
          <cell r="CY16" t="str">
            <v>無</v>
          </cell>
          <cell r="CZ16" t="str">
            <v>無</v>
          </cell>
          <cell r="DA16" t="str">
            <v>無</v>
          </cell>
          <cell r="DB16" t="str">
            <v>左上下肢</v>
          </cell>
          <cell r="DC16" t="str">
            <v>左肩、股関節</v>
          </cell>
          <cell r="DF16" t="str">
            <v>大きい字は可</v>
          </cell>
          <cell r="DG16" t="str">
            <v>有</v>
          </cell>
          <cell r="DH16" t="str">
            <v>正常</v>
          </cell>
          <cell r="DI16" t="str">
            <v>無</v>
          </cell>
          <cell r="DJ16" t="str">
            <v>大腸がんオペの他、糖尿病、高血圧、脳出血後遺症（左片麻痺）がある。平成27年8月に腸閉塞発症し、症状改善するが今後も再発に注意する。
主治医は加藤医院で月２回の往診を受けている。
片麻痺の影響により、徐々に身体能力の低下が見られてきている。</v>
          </cell>
          <cell r="DL16" t="str">
            <v>入力</v>
          </cell>
          <cell r="DM16" t="str">
            <v>有</v>
          </cell>
          <cell r="DN16" t="str">
            <v>軽度</v>
          </cell>
          <cell r="DO16" t="str">
            <v>無</v>
          </cell>
          <cell r="DP16" t="str">
            <v>可能</v>
          </cell>
          <cell r="DQ16" t="str">
            <v>可能</v>
          </cell>
          <cell r="DR16" t="str">
            <v>年相応の認知機能の低下は見られるものの大きな問題ではない。怒りっぽい性格をしている。</v>
          </cell>
          <cell r="DU16" t="str">
            <v>入力</v>
          </cell>
          <cell r="DV16" t="str">
            <v>何かにつかまればできる</v>
          </cell>
          <cell r="DW16" t="str">
            <v>何かにつかまればできる</v>
          </cell>
          <cell r="DX16" t="str">
            <v>支えてもらえればできる</v>
          </cell>
          <cell r="DY16" t="str">
            <v>何かにつかまればできる</v>
          </cell>
          <cell r="DZ16" t="str">
            <v>何か支えがあればできる</v>
          </cell>
          <cell r="EA16" t="str">
            <v>自立</v>
          </cell>
          <cell r="EB16" t="str">
            <v>自立</v>
          </cell>
          <cell r="EC16" t="str">
            <v>車椅子</v>
          </cell>
          <cell r="ED16" t="str">
            <v>自立</v>
          </cell>
          <cell r="EE16" t="str">
            <v>車椅子</v>
          </cell>
          <cell r="EF16" t="str">
            <v>基本動作は手すり等を把持することでご自身で行えるものの、麻痺の影響により動作は緩慢。移乗や起立、立位保持もご自身で行うことはできるが、転倒リスクは非常に高い。また最近では身体能力の低下も進んでおり、以前より動作が緩慢となっている。
車椅子の操作は右手、右足で行うが、身体能力の低下によるものか車いすが重いと訴えが多くなってきている。</v>
          </cell>
          <cell r="EH16" t="str">
            <v>入力</v>
          </cell>
          <cell r="EI16" t="str">
            <v>入力</v>
          </cell>
          <cell r="EJ16" t="str">
            <v>経口摂取</v>
          </cell>
          <cell r="EK16" t="str">
            <v>自立</v>
          </cell>
          <cell r="EL16" t="str">
            <v>できる</v>
          </cell>
          <cell r="EM16" t="str">
            <v>普通</v>
          </cell>
          <cell r="EN16" t="str">
            <v>普通</v>
          </cell>
          <cell r="EO16" t="str">
            <v>無</v>
          </cell>
          <cell r="EP16" t="str">
            <v>無</v>
          </cell>
          <cell r="EQ16" t="str">
            <v>箸 , スプーン</v>
          </cell>
          <cell r="ER16" t="str">
            <v>食事は特に問題なし。</v>
          </cell>
          <cell r="ET16" t="str">
            <v>入力</v>
          </cell>
          <cell r="EU16" t="str">
            <v>全介助</v>
          </cell>
          <cell r="EW16" t="str">
            <v>無</v>
          </cell>
          <cell r="EZ16" t="str">
            <v>口腔ケアは現在ほとんど行っていない。歯がないため支援も必要ないと強い訴えがある状況。</v>
          </cell>
          <cell r="FB16" t="str">
            <v>入力</v>
          </cell>
          <cell r="FC16" t="str">
            <v>一部介助</v>
          </cell>
          <cell r="FD16" t="str">
            <v>チェアー浴</v>
          </cell>
          <cell r="FE16" t="str">
            <v>無</v>
          </cell>
          <cell r="FG16" t="str">
            <v>一部介助</v>
          </cell>
          <cell r="FH16" t="str">
            <v>一部介助</v>
          </cell>
          <cell r="FI16" t="str">
            <v>入浴はデイケアを利用時に行われており、チェアー浴となっている。ご自身で洗える部分はあるものの、依存的でほとんど介助されている。
更衣も協力動作はあるものの介助量が多い。</v>
          </cell>
          <cell r="FK16" t="str">
            <v>入力</v>
          </cell>
          <cell r="FL16" t="str">
            <v>自立</v>
          </cell>
          <cell r="FM16" t="str">
            <v>有</v>
          </cell>
          <cell r="FN16" t="str">
            <v>有</v>
          </cell>
          <cell r="FO16" t="str">
            <v>有</v>
          </cell>
          <cell r="FP16" t="str">
            <v>無</v>
          </cell>
          <cell r="FR16" t="str">
            <v>トイレ</v>
          </cell>
          <cell r="FS16" t="str">
            <v>トイレ</v>
          </cell>
          <cell r="FT16" t="str">
            <v>リハビリパンツ , 小パット</v>
          </cell>
          <cell r="FU16" t="str">
            <v>排泄はパット内に失禁は多いものの、尿意はありご自身でなんとかトイレで排泄できている。パットの交換もご自身で行うが、使用済みパットが床に落として放置するため尿臭も多くある。
身体能力の低下により徐々にトイレでの排泄が行いにくくなっているため、今後紙おむつになる可能性も多いにある。</v>
          </cell>
          <cell r="FX16" t="str">
            <v>入力</v>
          </cell>
          <cell r="FY16" t="str">
            <v>全介助</v>
          </cell>
          <cell r="FZ16" t="str">
            <v>全介助</v>
          </cell>
          <cell r="GA16" t="str">
            <v>全介助</v>
          </cell>
          <cell r="GB16" t="str">
            <v>全介助</v>
          </cell>
          <cell r="GC16" t="str">
            <v>全介助</v>
          </cell>
          <cell r="GD16" t="str">
            <v>IADLはすべて介助が必要な状況。現在、掃除はヘルパー支援を受けており、調理・洗濯は施設サービス。金銭管理や買い物はKPの妹様が行っている。</v>
          </cell>
          <cell r="GG16" t="str">
            <v>片麻痺も重度で麻痺が強く、今までもなんとかご自身で生活を続けてきているが、寝ていることも多く、最近では身体能力の低下に伴い動作が緩慢となってきている。今後さらに状態に変化が生じた場合は、プランの見直しを行っていく必要がある。</v>
          </cell>
          <cell r="GH16">
            <v>30</v>
          </cell>
        </row>
        <row r="17">
          <cell r="C17" t="str">
            <v>栗本　敦子</v>
          </cell>
          <cell r="D17" t="str">
            <v>b45f80cc</v>
          </cell>
          <cell r="I17">
            <v>45901</v>
          </cell>
          <cell r="J17" t="str">
            <v>山川　和輝</v>
          </cell>
          <cell r="K17" t="str">
            <v>区分変更</v>
          </cell>
          <cell r="L17" t="str">
            <v>居室</v>
          </cell>
          <cell r="M17" t="str">
            <v>令和4年2月21日に自宅で転倒。永井病院にて足関節骨折、第9胸椎椎体骨折と診断。3月2日に足関節の手術となった。その後3月30日に永井病院内の回復期病棟へ移動。日常生活は概ね自立されているが自宅での生活が困難となったため、令和4年5月2日に安濃津ろまんへ入居となった。
令和7年8月下旬、下肢の痛みにより整形外科を受診した結果、脊柱管狭窄症と診断。ADLが低下したため令和7年9月1日に区分変更申請を行った。</v>
          </cell>
          <cell r="N17" t="str">
            <v>これからもここで安心して生活し続けたいです。</v>
          </cell>
          <cell r="O17" t="str">
            <v>施設で安心して生活してほしいと思っています。</v>
          </cell>
          <cell r="Q17" t="str">
            <v>入力</v>
          </cell>
          <cell r="R17" t="str">
            <v>区分変更</v>
          </cell>
          <cell r="V17" t="str">
            <v>１割負担</v>
          </cell>
          <cell r="W17" t="str">
            <v>後期高齢者医療保険</v>
          </cell>
          <cell r="X17" t="str">
            <v>無</v>
          </cell>
          <cell r="Z17" t="str">
            <v>無</v>
          </cell>
          <cell r="AA17" t="str">
            <v>無</v>
          </cell>
          <cell r="AE17" t="str">
            <v>入力</v>
          </cell>
          <cell r="AF17" t="str">
            <v>栗本　直哉</v>
          </cell>
          <cell r="AG17" t="str">
            <v>長男</v>
          </cell>
          <cell r="AI17" t="str">
            <v>別居</v>
          </cell>
          <cell r="AJ17" t="str">
            <v>介護しない</v>
          </cell>
          <cell r="AK17" t="str">
            <v>有</v>
          </cell>
          <cell r="AL17" t="str">
            <v>090-3602-9742</v>
          </cell>
          <cell r="AM17" t="str">
            <v>KP</v>
          </cell>
          <cell r="AW17" t="str">
            <v>入力</v>
          </cell>
          <cell r="AX17" t="str">
            <v>一人暮らし</v>
          </cell>
          <cell r="AY17" t="str">
            <v>集合住宅</v>
          </cell>
          <cell r="AZ17" t="str">
            <v>エレベーター有</v>
          </cell>
          <cell r="BA17" t="str">
            <v>賃貸</v>
          </cell>
          <cell r="BB17" t="str">
            <v>有</v>
          </cell>
          <cell r="BC17" t="str">
            <v>無</v>
          </cell>
          <cell r="BD17" t="str">
            <v>洋式</v>
          </cell>
          <cell r="BE17" t="str">
            <v>手すり有</v>
          </cell>
          <cell r="BF17" t="str">
            <v>段差無</v>
          </cell>
          <cell r="BG17" t="str">
            <v>無</v>
          </cell>
          <cell r="BH17" t="str">
            <v>手すり有</v>
          </cell>
          <cell r="BI17" t="str">
            <v>リクライニングベッド</v>
          </cell>
          <cell r="BJ17" t="str">
            <v>無</v>
          </cell>
          <cell r="BK17" t="str">
            <v>無</v>
          </cell>
          <cell r="BL17" t="str">
            <v>無</v>
          </cell>
          <cell r="BM17" t="str">
            <v>無</v>
          </cell>
          <cell r="BO17" t="str">
            <v>入力</v>
          </cell>
          <cell r="BP17" t="str">
            <v>訪問介護 , 訪問看護 , 訪問リハ , 通所介護</v>
          </cell>
          <cell r="BQ17" t="str">
            <v>車いす , 特殊寝台 , 特殊寝台付属品 , 手すり</v>
          </cell>
          <cell r="BR17" t="str">
            <v>特になし</v>
          </cell>
          <cell r="BS17" t="str">
            <v>食事支援 , 排泄支援 , リネンリース , 洗濯</v>
          </cell>
          <cell r="BT17" t="str">
            <v>難聴もあり他の利用者様とあまりコミュニケーションは取らない。</v>
          </cell>
          <cell r="BW17" t="str">
            <v>入力</v>
          </cell>
          <cell r="BX17" t="str">
            <v>脊柱管狭窄症</v>
          </cell>
          <cell r="BY17" t="str">
            <v>令和7年8月</v>
          </cell>
          <cell r="BZ17" t="str">
            <v>高血圧症</v>
          </cell>
          <cell r="CA17" t="str">
            <v>不詳</v>
          </cell>
          <cell r="CB17" t="str">
            <v>類天疱瘡</v>
          </cell>
          <cell r="CC17" t="str">
            <v>不詳</v>
          </cell>
          <cell r="CJ17" t="str">
            <v>類天疱瘡により三重大学病院　皮膚科を定期的に受診されている。
その他、加藤医院で往診を受けている。</v>
          </cell>
          <cell r="CK17" t="str">
            <v>加藤医院</v>
          </cell>
          <cell r="CL17" t="str">
            <v>加藤裕也先生</v>
          </cell>
          <cell r="CO17" t="str">
            <v>永井病院　循環器内科</v>
          </cell>
          <cell r="CP17" t="str">
            <v>新町整形外科</v>
          </cell>
          <cell r="CQ17" t="str">
            <v>三重大　皮膚科</v>
          </cell>
          <cell r="CS17" t="str">
            <v>足関節骨折、第9胸椎椎体骨折（令和4年2月21日）</v>
          </cell>
          <cell r="CT17" t="str">
            <v>服薬内容はお薬手帳を参照。
内服は袋を開封しお渡ししている。</v>
          </cell>
          <cell r="CU17" t="str">
            <v>無</v>
          </cell>
          <cell r="CX17" t="str">
            <v>入力</v>
          </cell>
          <cell r="CY17" t="str">
            <v>無 , かゆみ</v>
          </cell>
          <cell r="CZ17" t="str">
            <v>無</v>
          </cell>
          <cell r="DA17" t="str">
            <v>無</v>
          </cell>
          <cell r="DB17" t="str">
            <v>特になし。</v>
          </cell>
          <cell r="DC17" t="str">
            <v>左下肢</v>
          </cell>
          <cell r="DD17">
            <v>0</v>
          </cell>
          <cell r="DE17">
            <v>0</v>
          </cell>
          <cell r="DF17" t="str">
            <v>ほぼ見えない</v>
          </cell>
          <cell r="DG17" t="str">
            <v>有</v>
          </cell>
          <cell r="DH17" t="str">
            <v>大きい声は可</v>
          </cell>
          <cell r="DI17" t="str">
            <v>無</v>
          </cell>
          <cell r="DJ17" t="str">
            <v>類天疱瘡があり定期的に三重大学病院を受診。以前より血液検査の数値は特に変わりなし。永井病院にて血液検査を行ったところ、腎臓や心臓の数値に増悪が見られると指摘あり。
視力の低下があり、目の前のものがほとんど見えない。また難聴もあり大きな声で話す必要がある。
主治医は加藤医院で、高血圧等の服薬処方を受けている。</v>
          </cell>
          <cell r="DL17" t="str">
            <v>入力</v>
          </cell>
          <cell r="DM17" t="str">
            <v>有</v>
          </cell>
          <cell r="DN17" t="str">
            <v>中等度</v>
          </cell>
          <cell r="DO17" t="str">
            <v>無</v>
          </cell>
          <cell r="DP17" t="str">
            <v>不明瞭</v>
          </cell>
          <cell r="DQ17" t="str">
            <v>その場のみ可</v>
          </cell>
          <cell r="DR17" t="str">
            <v>認知機能の低下が進み、お部屋内には衣類が散乱し、常にカーテンを閉め切った生活となっている。
BPSDは特に問題は見られないものの、「エアコンの温度は何度がよい？」という発言は毎日言われており同じ話を繰り返す。</v>
          </cell>
          <cell r="DU17" t="str">
            <v>入力</v>
          </cell>
          <cell r="DV17" t="str">
            <v>何かにつかまればできる</v>
          </cell>
          <cell r="DW17" t="str">
            <v>何かにつかまればできる</v>
          </cell>
          <cell r="DX17" t="str">
            <v>自分の手で支えればできる</v>
          </cell>
          <cell r="DY17" t="str">
            <v>何かにつかまればできる</v>
          </cell>
          <cell r="DZ17" t="str">
            <v>何か支えがあればできる</v>
          </cell>
          <cell r="EA17" t="str">
            <v>一部介助</v>
          </cell>
          <cell r="EB17" t="str">
            <v>全介助</v>
          </cell>
          <cell r="EC17" t="str">
            <v>車椅子</v>
          </cell>
          <cell r="ED17" t="str">
            <v>全介助</v>
          </cell>
          <cell r="EE17" t="str">
            <v>車椅子</v>
          </cell>
          <cell r="EF17" t="str">
            <v>移動は脊柱管狭窄症の痛みにより車いすを使用される。室内は手すりを使用して歩いているものの転倒も多くなっている。
起居動作はご自身で行うことができている。</v>
          </cell>
          <cell r="EH17" t="str">
            <v>入力</v>
          </cell>
          <cell r="EI17" t="str">
            <v>入力</v>
          </cell>
          <cell r="EJ17" t="str">
            <v>経口摂取</v>
          </cell>
          <cell r="EK17" t="str">
            <v>自立</v>
          </cell>
          <cell r="EL17" t="str">
            <v>できる</v>
          </cell>
          <cell r="EM17" t="str">
            <v>普通</v>
          </cell>
          <cell r="EN17" t="str">
            <v>普通</v>
          </cell>
          <cell r="EO17" t="str">
            <v>無</v>
          </cell>
          <cell r="EP17" t="str">
            <v>無</v>
          </cell>
          <cell r="EQ17" t="str">
            <v>箸 , スプーン</v>
          </cell>
          <cell r="ER17" t="str">
            <v>食事は嚥下も問題なく普通食を摂取されている。食べこぼし等もなく食事をされている。</v>
          </cell>
          <cell r="ET17" t="str">
            <v>入力</v>
          </cell>
          <cell r="EU17" t="str">
            <v>一部介助</v>
          </cell>
          <cell r="EV17" t="str">
            <v>有</v>
          </cell>
          <cell r="EW17" t="str">
            <v>無</v>
          </cell>
          <cell r="EZ17" t="str">
            <v>もともとは「歯みがきは習慣になっていて、行わないと気持ち悪い。」と言われていたが、現在は促しがないとご自身で行うことは困難。ヘルパー支援にて促しや口腔ケアの手伝いを行っている。</v>
          </cell>
          <cell r="FB17" t="str">
            <v>入力</v>
          </cell>
          <cell r="FC17" t="str">
            <v>一部介助</v>
          </cell>
          <cell r="FD17" t="str">
            <v>一般浴</v>
          </cell>
          <cell r="FE17" t="str">
            <v>有</v>
          </cell>
          <cell r="FG17" t="str">
            <v>自立</v>
          </cell>
          <cell r="FH17" t="str">
            <v>見守り</v>
          </cell>
          <cell r="FI17" t="str">
            <v>入浴はヘルパー支援で週3回行っている。個浴にて職員の介助のもと入浴されているが、浴槽へ跨ぐことは困難なためシャワー浴となっている。
更衣は基本入浴時に行っている。</v>
          </cell>
          <cell r="FK17" t="str">
            <v>入力</v>
          </cell>
          <cell r="FL17" t="str">
            <v>全介助</v>
          </cell>
          <cell r="FM17" t="str">
            <v>有</v>
          </cell>
          <cell r="FN17" t="str">
            <v>有</v>
          </cell>
          <cell r="FO17" t="str">
            <v>有</v>
          </cell>
          <cell r="FP17" t="str">
            <v>無</v>
          </cell>
          <cell r="FQ17" t="str">
            <v>普通便</v>
          </cell>
          <cell r="FR17" t="str">
            <v>オムツ</v>
          </cell>
          <cell r="FS17" t="str">
            <v>オムツ</v>
          </cell>
          <cell r="FT17" t="str">
            <v>紙おむつ , 大パット</v>
          </cell>
          <cell r="FU17" t="str">
            <v>最近では失禁が多くなったことや、痛みによりトイレでの排泄が困難となったため、紙おむつの対応となっている。</v>
          </cell>
          <cell r="FX17" t="str">
            <v>入力</v>
          </cell>
          <cell r="FY17" t="str">
            <v>全介助</v>
          </cell>
          <cell r="FZ17" t="str">
            <v>全介助</v>
          </cell>
          <cell r="GA17" t="str">
            <v>全介助</v>
          </cell>
          <cell r="GB17" t="str">
            <v>全介助</v>
          </cell>
          <cell r="GC17" t="str">
            <v>全介助</v>
          </cell>
          <cell r="GD17" t="str">
            <v>施設サービスを受けている。</v>
          </cell>
          <cell r="GG17" t="str">
            <v>認知機能の低下があり、現在朝起きてから顔を洗ったりカーテンを開けたり等の行動がなくなりヘルパー支援を検討し令和7年9月1日付けで区分変更申請を行っている。</v>
          </cell>
          <cell r="GH17">
            <v>30</v>
          </cell>
        </row>
        <row r="18">
          <cell r="C18" t="str">
            <v>川井　良治</v>
          </cell>
          <cell r="D18" t="str">
            <v>1d2ea7c6</v>
          </cell>
          <cell r="I18">
            <v>45588</v>
          </cell>
          <cell r="J18" t="str">
            <v>山川　和輝</v>
          </cell>
          <cell r="K18" t="str">
            <v>更新</v>
          </cell>
          <cell r="L18" t="str">
            <v>本人の居室</v>
          </cell>
          <cell r="M18" t="str">
            <v>退職後、家の田畑の仕事をしながら夫婦２人暮らしを行ってきた。同敷地に暮らす息子夫婦の助けも借りながら生活していたが、段々と妻の介護が必要になり、平成30年3月に安濃津ろまんへ入居となった。
現在は妻は他界し、おひとりで生活されている。</v>
          </cell>
          <cell r="N18" t="str">
            <v>転倒しないように自宅で安全に安心して生活したい。</v>
          </cell>
          <cell r="O18" t="str">
            <v>歩行が不安定な為、転倒することが一番心配です。</v>
          </cell>
          <cell r="Q18" t="str">
            <v>入力</v>
          </cell>
          <cell r="R18" t="str">
            <v>要介護４</v>
          </cell>
          <cell r="S18" t="str">
            <v>令和6年9月12日</v>
          </cell>
          <cell r="T18" t="str">
            <v>令和6年10月1日</v>
          </cell>
          <cell r="U18" t="str">
            <v>令和8年9月30日</v>
          </cell>
          <cell r="V18" t="str">
            <v>２割負担</v>
          </cell>
          <cell r="W18" t="str">
            <v>後期高齢者医療保険</v>
          </cell>
          <cell r="X18" t="str">
            <v>有</v>
          </cell>
          <cell r="Y18" t="str">
            <v>1級1種</v>
          </cell>
          <cell r="Z18" t="str">
            <v>無</v>
          </cell>
          <cell r="AA18" t="str">
            <v>無</v>
          </cell>
          <cell r="AB18" t="str">
            <v>B1</v>
          </cell>
          <cell r="AC18" t="str">
            <v>Ⅲb</v>
          </cell>
          <cell r="AE18" t="str">
            <v>入力</v>
          </cell>
          <cell r="AF18" t="str">
            <v>川井　滋樹</v>
          </cell>
          <cell r="AG18" t="str">
            <v>長男</v>
          </cell>
          <cell r="AI18" t="str">
            <v>別居</v>
          </cell>
          <cell r="AJ18" t="str">
            <v>介護する</v>
          </cell>
          <cell r="AK18" t="str">
            <v>無</v>
          </cell>
          <cell r="AL18" t="str">
            <v>090-7619-9009</v>
          </cell>
          <cell r="AM18" t="str">
            <v>KP</v>
          </cell>
          <cell r="AN18" t="str">
            <v>川井　さだ子</v>
          </cell>
          <cell r="AO18" t="str">
            <v>長男妻</v>
          </cell>
          <cell r="AQ18" t="str">
            <v>別居</v>
          </cell>
          <cell r="AR18" t="str">
            <v>介護しない</v>
          </cell>
          <cell r="AS18" t="str">
            <v>無</v>
          </cell>
          <cell r="AT18" t="str">
            <v>090-8867-6377</v>
          </cell>
          <cell r="AW18" t="str">
            <v>入力</v>
          </cell>
          <cell r="AX18" t="str">
            <v>一人暮らし</v>
          </cell>
          <cell r="AY18" t="str">
            <v>集合住宅</v>
          </cell>
          <cell r="AZ18" t="str">
            <v>エレベーター有</v>
          </cell>
          <cell r="BA18" t="str">
            <v>賃貸</v>
          </cell>
          <cell r="BB18" t="str">
            <v>有</v>
          </cell>
          <cell r="BC18" t="str">
            <v>有</v>
          </cell>
          <cell r="BD18" t="str">
            <v>洋式</v>
          </cell>
          <cell r="BE18" t="str">
            <v>手すり有</v>
          </cell>
          <cell r="BF18" t="str">
            <v>段差無</v>
          </cell>
          <cell r="BG18" t="str">
            <v>有</v>
          </cell>
          <cell r="BH18" t="str">
            <v>手すり有</v>
          </cell>
          <cell r="BI18" t="str">
            <v>リクライニングベッド</v>
          </cell>
          <cell r="BJ18" t="str">
            <v>無</v>
          </cell>
          <cell r="BK18" t="str">
            <v>無</v>
          </cell>
          <cell r="BL18" t="str">
            <v>無</v>
          </cell>
          <cell r="BO18" t="str">
            <v>入力</v>
          </cell>
          <cell r="BP18" t="str">
            <v>訪問介護 , 訪問看護</v>
          </cell>
          <cell r="BQ18" t="str">
            <v>車いす , 特殊寝台 , 特殊寝台付属品 , 床ずれ防止用具 , 手すり</v>
          </cell>
          <cell r="BR18" t="str">
            <v>特になし</v>
          </cell>
          <cell r="BS18" t="str">
            <v>食事支援 , 排泄支援 , リネンリース , 居室清掃</v>
          </cell>
          <cell r="BT18" t="str">
            <v>他者との交流も良好でトラブルはない。</v>
          </cell>
          <cell r="BW18" t="str">
            <v>入力</v>
          </cell>
          <cell r="BX18" t="str">
            <v>腎不全（シャント造設　令和2年3月）</v>
          </cell>
          <cell r="BY18" t="str">
            <v>令和1年10月</v>
          </cell>
          <cell r="BZ18" t="str">
            <v>高血圧，高尿酸血症 胃粘膜下血症</v>
          </cell>
          <cell r="CA18" t="str">
            <v>不詳</v>
          </cell>
          <cell r="CJ18" t="str">
            <v>透析のため週３回、津腎クリニックに通院を行っている。
普段は加藤医院で往診も受けている。</v>
          </cell>
          <cell r="CS18" t="str">
            <v>平成14年にラクナ梗塞。転倒により脳出血や脳挫傷、硬膜下血腫をしている。</v>
          </cell>
          <cell r="CT18" t="str">
            <v>ローレル薬局を契約されており、服薬の管理は薬局と訪問看護で行っている。袋をお渡しするとご自身で内服される。</v>
          </cell>
          <cell r="CX18" t="str">
            <v>入力</v>
          </cell>
          <cell r="CY18" t="str">
            <v>無</v>
          </cell>
          <cell r="CZ18" t="str">
            <v>無</v>
          </cell>
          <cell r="DA18" t="str">
            <v>無</v>
          </cell>
          <cell r="DB18" t="str">
            <v>特になし</v>
          </cell>
          <cell r="DC18" t="str">
            <v>特になし</v>
          </cell>
          <cell r="DF18" t="str">
            <v>大きい字は可</v>
          </cell>
          <cell r="DG18" t="str">
            <v>有</v>
          </cell>
          <cell r="DH18" t="str">
            <v>大きい声は可</v>
          </cell>
          <cell r="DI18" t="str">
            <v>有</v>
          </cell>
          <cell r="DJ18" t="str">
            <v>床ずれはないものの、床ずれになる可能性が高いため、福祉用具の床ずれ防止用具を利用されている。また転倒を繰り返しており、転倒による脳出血や硬膜下血腫等もある。
視力低下や難聴があり、コミュニケーションの取りにくさも目立つ。</v>
          </cell>
          <cell r="DL18" t="str">
            <v>入力</v>
          </cell>
          <cell r="DM18" t="str">
            <v>有</v>
          </cell>
          <cell r="DN18" t="str">
            <v>軽度</v>
          </cell>
          <cell r="DO18" t="str">
            <v>無</v>
          </cell>
          <cell r="DP18" t="str">
            <v>可能</v>
          </cell>
          <cell r="DQ18" t="str">
            <v>可能</v>
          </cell>
          <cell r="DR18" t="str">
            <v>認知機能は軽度の低下はあるものの、最近は徐々に進行してきており、今までは服薬管理はご自身で行っていたが、最近は飲み間違い等もある状況。今後も進行が懸念される。</v>
          </cell>
          <cell r="DU18" t="str">
            <v>入力</v>
          </cell>
          <cell r="DV18" t="str">
            <v>何かにつかまればできる</v>
          </cell>
          <cell r="DW18" t="str">
            <v>何かにつかまればできる</v>
          </cell>
          <cell r="DX18" t="str">
            <v>支えてもらえればできる</v>
          </cell>
          <cell r="DY18" t="str">
            <v>何かにつかまればできる</v>
          </cell>
          <cell r="DZ18" t="str">
            <v>何か支えがあればできる</v>
          </cell>
          <cell r="EA18" t="str">
            <v>自立</v>
          </cell>
          <cell r="EB18" t="str">
            <v>自立</v>
          </cell>
          <cell r="EC18" t="str">
            <v>車椅子</v>
          </cell>
          <cell r="ED18" t="str">
            <v>全介助</v>
          </cell>
          <cell r="EE18" t="str">
            <v>車椅子</v>
          </cell>
          <cell r="EF18" t="str">
            <v>起居動作はなにかにつかまることでご自身で行えているものの、筋力低下が目立ち、起立や着座、方向転換の際にふらつきがあり転倒することが多々ある。
移動は車いすを自走されているが、長い距離は困難。最近は車いすの操作も不十分となってきている。</v>
          </cell>
          <cell r="EH18" t="str">
            <v>入力</v>
          </cell>
          <cell r="EI18" t="str">
            <v>入力</v>
          </cell>
          <cell r="EJ18" t="str">
            <v>経口摂取</v>
          </cell>
          <cell r="EK18" t="str">
            <v>自立</v>
          </cell>
          <cell r="EL18" t="str">
            <v>できる</v>
          </cell>
          <cell r="EM18" t="str">
            <v>全粥</v>
          </cell>
          <cell r="EN18" t="str">
            <v>キザミ</v>
          </cell>
          <cell r="EO18" t="str">
            <v>無</v>
          </cell>
          <cell r="EP18" t="str">
            <v>有</v>
          </cell>
          <cell r="EQ18" t="str">
            <v>スプーン</v>
          </cell>
          <cell r="ER18" t="str">
            <v>腎不全がありカリウム制限があるため腎臓食を提供している。嚥下機能が徐々に落ちてきていることから、食事形態は全粥、キザミで提供。
水分のトロミは現状必要なし。</v>
          </cell>
          <cell r="ET18" t="str">
            <v>入力</v>
          </cell>
          <cell r="FB18" t="str">
            <v>入力</v>
          </cell>
          <cell r="FC18" t="str">
            <v>一部介助</v>
          </cell>
          <cell r="FD18" t="str">
            <v>一般浴</v>
          </cell>
          <cell r="FE18" t="str">
            <v>無</v>
          </cell>
          <cell r="FG18" t="str">
            <v>一部介助</v>
          </cell>
          <cell r="FH18" t="str">
            <v>全介助</v>
          </cell>
          <cell r="FI18" t="str">
            <v>入浴はヘルパー支援で個浴に入られている。洗身はご自身で洗えるところもあるがほとんど介助を受けている。
更衣の上衣は協力動作があるが介助が必要で、下衣は全介助を要す。</v>
          </cell>
          <cell r="FK18" t="str">
            <v>入力</v>
          </cell>
          <cell r="FL18" t="str">
            <v>自立</v>
          </cell>
          <cell r="FM18" t="str">
            <v>有</v>
          </cell>
          <cell r="FN18" t="str">
            <v>無</v>
          </cell>
          <cell r="FO18" t="str">
            <v>有</v>
          </cell>
          <cell r="FP18" t="str">
            <v>無</v>
          </cell>
          <cell r="FR18" t="str">
            <v>Pトイレ</v>
          </cell>
          <cell r="FS18" t="str">
            <v>Pトイレ</v>
          </cell>
          <cell r="FT18" t="str">
            <v>リハビリパンツ</v>
          </cell>
          <cell r="FU18" t="str">
            <v>排泄は今までトイレを使用されていたが、転倒も多かったことでPトイレを導入。今後はPトイレで排泄を行って頂くこととなった。</v>
          </cell>
          <cell r="FX18" t="str">
            <v>入力</v>
          </cell>
          <cell r="FY18" t="str">
            <v>全介助</v>
          </cell>
          <cell r="FZ18" t="str">
            <v>全介助</v>
          </cell>
          <cell r="GA18" t="str">
            <v>全介助</v>
          </cell>
          <cell r="GB18" t="str">
            <v>一部介助</v>
          </cell>
          <cell r="GC18" t="str">
            <v>全介助</v>
          </cell>
          <cell r="GD18" t="str">
            <v>IADLはほとんど介助を要す。
掃除は施設サービスを受けており、洗濯はご家族様で行っている。</v>
          </cell>
          <cell r="GG18" t="str">
            <v>認知機能の低下が徐々に進んでいる状況で、今後もさらに悪化していく可能性が高い。また転倒も繰り返しているため、居室の環境を整えて可能な限り転倒しないように対策を行う。転倒に対してリスク同意書は頂いている。</v>
          </cell>
          <cell r="GH18">
            <v>30</v>
          </cell>
        </row>
        <row r="19">
          <cell r="C19" t="str">
            <v>植山　さよ子</v>
          </cell>
          <cell r="D19" t="str">
            <v>7f293379</v>
          </cell>
          <cell r="I19">
            <v>45607</v>
          </cell>
          <cell r="J19" t="str">
            <v>山川　和輝</v>
          </cell>
          <cell r="K19" t="str">
            <v>更新</v>
          </cell>
          <cell r="L19" t="str">
            <v>本人の居室</v>
          </cell>
          <cell r="M19" t="str">
            <v>兵庫県出身。結婚後、夫の勤務先の転勤を経て、43年前に津市に移り現在に至る。令和1年6月に夫死去以降、独居だったが、徘徊などお一人で外出され自宅に帰れないことが多々あったため、令和6年10月31日にサービス付き高齢者向け住宅安濃津ろまんへ入居となった。</v>
          </cell>
          <cell r="N19" t="str">
            <v>これまで通り介護サービスを利用し、活気ある生活を送って元気に過ごしたい。</v>
          </cell>
          <cell r="O19" t="str">
            <v>環境を整えて本人の望む生活を継続させてあげたい。</v>
          </cell>
          <cell r="Q19" t="str">
            <v>入力</v>
          </cell>
          <cell r="R19" t="str">
            <v>要介護１</v>
          </cell>
          <cell r="S19" t="str">
            <v>令和6年11月7日</v>
          </cell>
          <cell r="T19" t="str">
            <v>令和6年11月1日</v>
          </cell>
          <cell r="U19" t="str">
            <v>令和7年10月31日</v>
          </cell>
          <cell r="V19" t="str">
            <v>１割負担</v>
          </cell>
          <cell r="W19" t="str">
            <v>後期高齢者医療保険</v>
          </cell>
          <cell r="X19" t="str">
            <v>無</v>
          </cell>
          <cell r="Z19" t="str">
            <v>無</v>
          </cell>
          <cell r="AA19" t="str">
            <v>無</v>
          </cell>
          <cell r="AB19" t="str">
            <v>A1</v>
          </cell>
          <cell r="AC19" t="str">
            <v>Ⅲa</v>
          </cell>
          <cell r="AE19" t="str">
            <v>入力</v>
          </cell>
          <cell r="AF19" t="str">
            <v>榊原　みどり</v>
          </cell>
          <cell r="AG19" t="str">
            <v>長女</v>
          </cell>
          <cell r="AI19" t="str">
            <v>別居</v>
          </cell>
          <cell r="AJ19" t="str">
            <v>介護する</v>
          </cell>
          <cell r="AK19" t="str">
            <v>無</v>
          </cell>
          <cell r="AL19" t="str">
            <v>090-7694-1185</v>
          </cell>
          <cell r="AM19" t="str">
            <v>KP</v>
          </cell>
          <cell r="AW19" t="str">
            <v>入力</v>
          </cell>
          <cell r="AX19" t="str">
            <v>一人暮らし</v>
          </cell>
          <cell r="AY19" t="str">
            <v>集合住宅</v>
          </cell>
          <cell r="AZ19" t="str">
            <v>エレベーター有</v>
          </cell>
          <cell r="BA19" t="str">
            <v>賃貸</v>
          </cell>
          <cell r="BB19" t="str">
            <v>有</v>
          </cell>
          <cell r="BC19" t="str">
            <v>有</v>
          </cell>
          <cell r="BD19" t="str">
            <v>洋式</v>
          </cell>
          <cell r="BE19" t="str">
            <v>手すり有</v>
          </cell>
          <cell r="BF19" t="str">
            <v>段差無</v>
          </cell>
          <cell r="BG19" t="str">
            <v>有</v>
          </cell>
          <cell r="BH19" t="str">
            <v>手すり有</v>
          </cell>
          <cell r="BI19" t="str">
            <v>リクライニングベッド</v>
          </cell>
          <cell r="BJ19" t="str">
            <v>無</v>
          </cell>
          <cell r="BK19" t="str">
            <v>無</v>
          </cell>
          <cell r="BL19" t="str">
            <v>無</v>
          </cell>
          <cell r="BM19" t="str">
            <v>無</v>
          </cell>
          <cell r="BO19" t="str">
            <v>入力</v>
          </cell>
          <cell r="BP19" t="str">
            <v>訪問介護 , 訪問看護</v>
          </cell>
          <cell r="BQ19" t="str">
            <v>特殊寝台 , 特殊寝台付属品 , 手すり</v>
          </cell>
          <cell r="BR19" t="str">
            <v>特になし</v>
          </cell>
          <cell r="BS19" t="str">
            <v>食事支援 , 排泄支援 , リネンリース , 洗濯</v>
          </cell>
          <cell r="BT19" t="str">
            <v>同フロア内の利用者様とは仲良くされているが、時折トラブルも見られる。</v>
          </cell>
          <cell r="BW19" t="str">
            <v>入力</v>
          </cell>
          <cell r="BX19" t="str">
            <v>軽度認知障害（MCI)</v>
          </cell>
          <cell r="BY19" t="str">
            <v>令和2年5月1日</v>
          </cell>
          <cell r="BZ19" t="str">
            <v>高血圧症</v>
          </cell>
          <cell r="CA19" t="str">
            <v>不詳</v>
          </cell>
          <cell r="CB19" t="str">
            <v>高脂血症</v>
          </cell>
          <cell r="CC19" t="str">
            <v>不詳</v>
          </cell>
          <cell r="CJ19" t="str">
            <v>元々遠山病院を受診していたが、加藤先生に主治医が変更となり、現在通院は行っていない。</v>
          </cell>
          <cell r="CS19" t="str">
            <v>その他、大きな病気は見られない。</v>
          </cell>
          <cell r="CT19" t="str">
            <v>ローレル薬局を契約し、薬局と看護師で内服管理を行っている。
薬の袋を開封しお渡しすることで内服できている。</v>
          </cell>
          <cell r="CX19" t="str">
            <v>入力</v>
          </cell>
          <cell r="CY19" t="str">
            <v>無</v>
          </cell>
          <cell r="CZ19" t="str">
            <v>無</v>
          </cell>
          <cell r="DA19" t="str">
            <v>無</v>
          </cell>
          <cell r="DB19" t="str">
            <v>特になし</v>
          </cell>
          <cell r="DC19" t="str">
            <v>特になし</v>
          </cell>
          <cell r="DF19" t="str">
            <v>正常</v>
          </cell>
          <cell r="DG19" t="str">
            <v>無</v>
          </cell>
          <cell r="DH19" t="str">
            <v>正常</v>
          </cell>
          <cell r="DI19" t="str">
            <v>無</v>
          </cell>
          <cell r="DJ19" t="str">
            <v>軽度認知障害の診断を受けており、徐々に物忘れ等が目立ってきている。自宅に住んでいた時は徘徊により自宅へ戻れなくなることが多々あった。高血圧症があるが降圧剤を飲んでおり、現在血圧は安定している。
時折腰痛や膝関節に違和感を生じることがあるが、日常生活に支障が出るほどではない。</v>
          </cell>
          <cell r="DL19" t="str">
            <v>入力</v>
          </cell>
          <cell r="DM19" t="str">
            <v>有</v>
          </cell>
          <cell r="DN19" t="str">
            <v>中等度</v>
          </cell>
          <cell r="DO19" t="str">
            <v>感情の不安定 , 帰宅願望 , 暴力 , 暴言 , 落ち着きがない</v>
          </cell>
          <cell r="DP19" t="str">
            <v>可能</v>
          </cell>
          <cell r="DQ19" t="str">
            <v>可能</v>
          </cell>
          <cell r="DR19" t="str">
            <v>認知機能は中等度の低下がある。現在の施設を自宅と思い込んでいたり、急に自宅に帰りたいと帰宅願望が出ることも多い。帰宅願望が出ると、暴言や暴力行為、感情の不安定さも見られる。
元々デイサービスを利用していた時は、上記行動が多かったが、デイサービスの利用を中止してからは比較的穏やかに過ごされている。</v>
          </cell>
          <cell r="DU19" t="str">
            <v>入力</v>
          </cell>
          <cell r="DV19" t="str">
            <v>つかまらないでできる</v>
          </cell>
          <cell r="DW19" t="str">
            <v>つかまらないでできる</v>
          </cell>
          <cell r="DX19" t="str">
            <v>できる</v>
          </cell>
          <cell r="DY19" t="str">
            <v>つかまらないでできる</v>
          </cell>
          <cell r="DZ19" t="str">
            <v>支えなしでできる</v>
          </cell>
          <cell r="EA19" t="str">
            <v>自立</v>
          </cell>
          <cell r="EB19" t="str">
            <v>自立</v>
          </cell>
          <cell r="EC19" t="str">
            <v>独歩</v>
          </cell>
          <cell r="ED19" t="str">
            <v>見守り</v>
          </cell>
          <cell r="EE19" t="str">
            <v>独歩</v>
          </cell>
          <cell r="EF19" t="str">
            <v>起居動作、移動ともに自立されており、特に問題は見られない。</v>
          </cell>
          <cell r="EH19" t="str">
            <v>入力</v>
          </cell>
          <cell r="EI19" t="str">
            <v>入力</v>
          </cell>
          <cell r="EJ19" t="str">
            <v>経口摂取</v>
          </cell>
          <cell r="EK19" t="str">
            <v>自立</v>
          </cell>
          <cell r="EL19" t="str">
            <v>できる</v>
          </cell>
          <cell r="EM19" t="str">
            <v>普通</v>
          </cell>
          <cell r="EN19" t="str">
            <v>普通</v>
          </cell>
          <cell r="EO19" t="str">
            <v>無</v>
          </cell>
          <cell r="EP19" t="str">
            <v>無</v>
          </cell>
          <cell r="EQ19" t="str">
            <v>箸 , スプーン</v>
          </cell>
          <cell r="ER19" t="str">
            <v>食事の時間に声掛けや誘導は必要であるものの、食事動作や嚥下は特に問題は見られない。</v>
          </cell>
          <cell r="ET19" t="str">
            <v>入力</v>
          </cell>
          <cell r="EU19" t="str">
            <v>自立</v>
          </cell>
          <cell r="EV19" t="str">
            <v>有</v>
          </cell>
          <cell r="EW19" t="str">
            <v>無</v>
          </cell>
          <cell r="EZ19" t="str">
            <v>口腔ケアは自宅で住んでいたころから習慣になっており、現在もご自身できちんと歯みがきを行うことができている。</v>
          </cell>
          <cell r="FB19" t="str">
            <v>入力</v>
          </cell>
          <cell r="FC19" t="str">
            <v>一部介助</v>
          </cell>
          <cell r="FD19" t="str">
            <v>一般浴</v>
          </cell>
          <cell r="FE19" t="str">
            <v>無</v>
          </cell>
          <cell r="FG19" t="str">
            <v>自立</v>
          </cell>
          <cell r="FH19" t="str">
            <v>自立</v>
          </cell>
          <cell r="FI19" t="str">
            <v>入浴はヘルパーステーションの支援を受け個浴で入っている。洗身はご自身で洗えるところは多く、背中など洗えない部分は介助を行っている。
更衣は自立で可能。</v>
          </cell>
          <cell r="FK19" t="str">
            <v>入力</v>
          </cell>
          <cell r="FL19" t="str">
            <v>自立</v>
          </cell>
          <cell r="FM19" t="str">
            <v>有</v>
          </cell>
          <cell r="FN19" t="str">
            <v>無</v>
          </cell>
          <cell r="FO19" t="str">
            <v>有</v>
          </cell>
          <cell r="FP19" t="str">
            <v>無</v>
          </cell>
          <cell r="FR19" t="str">
            <v>トイレ</v>
          </cell>
          <cell r="FS19" t="str">
            <v>トイレ</v>
          </cell>
          <cell r="FT19" t="str">
            <v>リハビリパンツ</v>
          </cell>
          <cell r="FU19" t="str">
            <v>排泄も特に失禁することなく、ご自身でトイレを使用し排泄することができている。</v>
          </cell>
          <cell r="GG19" t="str">
            <v>月に1度程度精神面が不安定となり、その際に利用者様と言い合いのトラブルになることが多い。現状手が出るほどではないため、様子を見ていく。</v>
          </cell>
          <cell r="GH19">
            <v>30</v>
          </cell>
        </row>
        <row r="20">
          <cell r="C20" t="str">
            <v>松田　昭三</v>
          </cell>
          <cell r="D20" t="str">
            <v>035a1387</v>
          </cell>
          <cell r="I20">
            <v>45595</v>
          </cell>
          <cell r="J20" t="str">
            <v>山川　和輝</v>
          </cell>
          <cell r="K20" t="str">
            <v>新規</v>
          </cell>
          <cell r="L20" t="str">
            <v>入院先の病院</v>
          </cell>
          <cell r="M20" t="str">
            <v>もともと三重中央医療センターにて肺がん疑いで経過を見ていたところ、令和6年3月19日に腰痛のため三重中央医療センターにてCT検査の結果、肝門部胆管癌疑いと診断。年齢などを理由にそれ以上の検査は行わず、BSC方針となり、令和6年4月17日に緩和医療目的に七栗記念病院に入院。予後は月単位以上と予想されたため退院し令和6年8月13日にリハビリ目的で老健ロマンへ入所。老健ロマンでの入所期限により令和6年11月21日に安濃津ろまんへ入居となった。</v>
          </cell>
          <cell r="Q20" t="str">
            <v>入力</v>
          </cell>
          <cell r="R20" t="str">
            <v>要介護４</v>
          </cell>
          <cell r="S20" t="str">
            <v>令和6年6月12日</v>
          </cell>
          <cell r="T20" t="str">
            <v>令和6年3月21日</v>
          </cell>
          <cell r="U20" t="str">
            <v>令和7年3月31日</v>
          </cell>
          <cell r="V20" t="str">
            <v>２割負担</v>
          </cell>
          <cell r="W20" t="str">
            <v>後期高齢者医療保険</v>
          </cell>
          <cell r="AE20" t="str">
            <v>入力</v>
          </cell>
          <cell r="AF20" t="str">
            <v>松田　茂</v>
          </cell>
          <cell r="AG20" t="str">
            <v>長男</v>
          </cell>
          <cell r="AI20" t="str">
            <v>別居</v>
          </cell>
          <cell r="AJ20" t="str">
            <v>介護しない</v>
          </cell>
          <cell r="AL20" t="str">
            <v>080-9260-3000</v>
          </cell>
          <cell r="AM20" t="str">
            <v>KP。千葉県在住</v>
          </cell>
          <cell r="AN20" t="str">
            <v>松田　昭久</v>
          </cell>
          <cell r="AO20" t="str">
            <v>次男</v>
          </cell>
          <cell r="AQ20" t="str">
            <v>別居</v>
          </cell>
          <cell r="AR20" t="str">
            <v>介護しない</v>
          </cell>
          <cell r="AT20" t="str">
            <v>070-2226-7202</v>
          </cell>
          <cell r="AU20" t="str">
            <v>静岡健在住</v>
          </cell>
          <cell r="BW20" t="str">
            <v>入力</v>
          </cell>
          <cell r="BX20" t="str">
            <v>肝門部胆管癌</v>
          </cell>
          <cell r="BY20" t="str">
            <v>令和6年4月5日</v>
          </cell>
          <cell r="BZ20" t="str">
            <v>サルコペニア</v>
          </cell>
          <cell r="CA20" t="str">
            <v>令和6年4月17日</v>
          </cell>
          <cell r="CB20" t="str">
            <v>癌性悪液質</v>
          </cell>
          <cell r="CC20" t="str">
            <v>令和6年4月17日</v>
          </cell>
          <cell r="CD20" t="str">
            <v>癌性疼痛</v>
          </cell>
          <cell r="CE20" t="str">
            <v>令和6年4月17日</v>
          </cell>
          <cell r="CJ20" t="str">
            <v>七栗記念病院へ1ヶ月に1度受診を行っており、その際に医療用麻薬を処方して頂いている。受診は千葉に住む長男様が三重県に来られ通院の付き添いを行う。移動は介護タクシーを利用。
次回の受診日は11/13AMとなっている。</v>
          </cell>
          <cell r="CS20" t="str">
            <v>その他、大腸がん、腰椎第３圧迫骨折、腹部肥満、慢性胃炎、歯周病、真菌症、足白癬がある。</v>
          </cell>
          <cell r="CT20" t="str">
            <v>医療用麻薬使用。12時間置きに1日2回内服しており、老健ロマンでは9：00，21：00で内服。
服薬は手渡しで自己にて内服可能。</v>
          </cell>
          <cell r="CX20" t="str">
            <v>入力</v>
          </cell>
          <cell r="CY20" t="str">
            <v>無</v>
          </cell>
          <cell r="CZ20" t="str">
            <v>無</v>
          </cell>
          <cell r="DA20" t="str">
            <v>疼痛の看護</v>
          </cell>
          <cell r="DB20" t="str">
            <v>特になし</v>
          </cell>
          <cell r="DC20" t="str">
            <v>腰部、臀部に痛みあり</v>
          </cell>
          <cell r="DD20">
            <v>161</v>
          </cell>
          <cell r="DE20">
            <v>50</v>
          </cell>
          <cell r="DF20" t="str">
            <v>正常</v>
          </cell>
          <cell r="DG20" t="str">
            <v>無</v>
          </cell>
          <cell r="DH20" t="str">
            <v>正常</v>
          </cell>
          <cell r="DI20" t="str">
            <v>無</v>
          </cell>
          <cell r="DJ20" t="str">
            <v>肝門部胆管癌により一時は七栗記念病院の緩和ケアへ転院したものの、状態は落ち着いており予後は月単位以上と診断があり、状態に変化が生じ始めるまでは安濃津ろまんへ入居することとなった。
医療用麻薬を使用。取り扱い・管理に注意が必要。
癌性疼痛で腰部、臀部に痛みがあるが、自制内。腰部の痛みが強い場合はご自身でコルセットを着用される。</v>
          </cell>
          <cell r="DL20" t="str">
            <v>入力</v>
          </cell>
          <cell r="DM20" t="str">
            <v>無</v>
          </cell>
          <cell r="DO20" t="str">
            <v>無</v>
          </cell>
          <cell r="DP20" t="str">
            <v>可能</v>
          </cell>
          <cell r="DQ20" t="str">
            <v>可能</v>
          </cell>
          <cell r="DR20" t="str">
            <v>物忘れ程度はあるものの認知機能の低下はほとんど見られない。95歳とは思えないほどにしっかりされている。</v>
          </cell>
          <cell r="DU20" t="str">
            <v>入力</v>
          </cell>
          <cell r="DV20" t="str">
            <v>何かにつかまればできる</v>
          </cell>
          <cell r="DW20" t="str">
            <v>何かにつかまればできる</v>
          </cell>
          <cell r="DX20" t="str">
            <v>自分の手で支えればできる</v>
          </cell>
          <cell r="DY20" t="str">
            <v>何かにつかまればできる</v>
          </cell>
          <cell r="DZ20" t="str">
            <v>何か支えがあればできる</v>
          </cell>
          <cell r="EA20" t="str">
            <v>自立</v>
          </cell>
          <cell r="EB20" t="str">
            <v>自立</v>
          </cell>
          <cell r="EC20" t="str">
            <v>車椅子</v>
          </cell>
          <cell r="ED20" t="str">
            <v>一部介助</v>
          </cell>
          <cell r="EE20" t="str">
            <v>車椅子</v>
          </cell>
          <cell r="EF20" t="str">
            <v>起居動作、基本動作はすべて自立で可能。</v>
          </cell>
          <cell r="EH20" t="str">
            <v>入力</v>
          </cell>
          <cell r="EI20" t="str">
            <v>入力</v>
          </cell>
          <cell r="EJ20" t="str">
            <v>経口摂取</v>
          </cell>
          <cell r="EK20" t="str">
            <v>自立</v>
          </cell>
          <cell r="EL20" t="str">
            <v>できる</v>
          </cell>
          <cell r="EM20" t="str">
            <v>軟飯</v>
          </cell>
          <cell r="EN20" t="str">
            <v>普通</v>
          </cell>
          <cell r="EO20" t="str">
            <v>無</v>
          </cell>
          <cell r="EP20" t="str">
            <v>無</v>
          </cell>
          <cell r="EQ20" t="str">
            <v>箸</v>
          </cell>
          <cell r="ER20" t="str">
            <v>食事は特に問題はなく、自己摂取で7～10割摂取される。</v>
          </cell>
          <cell r="ET20" t="str">
            <v>入力</v>
          </cell>
          <cell r="EU20" t="str">
            <v>自立</v>
          </cell>
          <cell r="EV20" t="str">
            <v>有</v>
          </cell>
          <cell r="EW20" t="str">
            <v>無</v>
          </cell>
          <cell r="EZ20" t="str">
            <v>口腔ケアもご自身できちんと行えており、口腔状態は清潔に保たれている。</v>
          </cell>
          <cell r="FB20" t="str">
            <v>入力</v>
          </cell>
          <cell r="FC20" t="str">
            <v>一部介助</v>
          </cell>
          <cell r="FD20" t="str">
            <v>チェアー浴</v>
          </cell>
          <cell r="FE20" t="str">
            <v>無</v>
          </cell>
          <cell r="FG20" t="str">
            <v>自立</v>
          </cell>
          <cell r="FH20" t="str">
            <v>見守り</v>
          </cell>
          <cell r="FI20" t="str">
            <v>入浴ではチェアー浴を利用し、職員が洗い残しを確認。必要であれば介助を行う。
更衣はご自身で行うことができるが、下衣は見守りが必要。</v>
          </cell>
          <cell r="FK20" t="str">
            <v>入力</v>
          </cell>
          <cell r="FL20" t="str">
            <v>自立</v>
          </cell>
          <cell r="FM20" t="str">
            <v>有</v>
          </cell>
          <cell r="FN20" t="str">
            <v>有</v>
          </cell>
          <cell r="FO20" t="str">
            <v>有</v>
          </cell>
          <cell r="FP20" t="str">
            <v>無</v>
          </cell>
          <cell r="FR20" t="str">
            <v>トイレ</v>
          </cell>
          <cell r="FS20" t="str">
            <v>トイレ</v>
          </cell>
          <cell r="FT20" t="str">
            <v>リハビリパンツ</v>
          </cell>
          <cell r="FU20" t="str">
            <v>排泄もトイレでご自身で行えている。現在は右側に縦手すりが設置され、それを使用することで転倒なく可能。
時折失禁があるためリハビリパンツを使用。</v>
          </cell>
          <cell r="FX20" t="str">
            <v>入力</v>
          </cell>
          <cell r="FY20" t="str">
            <v>全介助</v>
          </cell>
          <cell r="FZ20" t="str">
            <v>全介助</v>
          </cell>
          <cell r="GA20" t="str">
            <v>全介助</v>
          </cell>
          <cell r="GB20" t="str">
            <v>全介助</v>
          </cell>
          <cell r="GC20" t="str">
            <v>全介助</v>
          </cell>
          <cell r="GD20" t="str">
            <v>現在老健ロマンの施設サービスを受けている。安濃津ろまんへ入居後はこちらで行う。</v>
          </cell>
          <cell r="GG20" t="str">
            <v>長男、次男ともに遠方に住まれており、緊急時の対応は、ココロノカタチ杉崎様（090-2267-9262)となっている。
老健ロマンでは、リハビリで伝い歩行や前腕支持型歩行器を使用し歩行練習を行っている。安濃津ろまんへ入居後も現在のADL向上を目的に継続することが望ましい。
体調に異変があれば、七栗記念病院に連絡。ただし、ベッド調整を行う必要があるため早めに連絡を行う必要がある。
御本人様の生活の質を維持するためにも、
①現在のADLの維持
②疼痛コントロール　を最優先で考えていく必要がある。</v>
          </cell>
          <cell r="GH20">
            <v>30</v>
          </cell>
        </row>
        <row r="21">
          <cell r="C21" t="str">
            <v>前田　美恵子</v>
          </cell>
          <cell r="D21" t="str">
            <v>7badf9fb</v>
          </cell>
          <cell r="I21">
            <v>45599</v>
          </cell>
          <cell r="J21" t="str">
            <v>山川　和輝</v>
          </cell>
          <cell r="K21" t="str">
            <v>更新</v>
          </cell>
          <cell r="L21" t="str">
            <v>本人の居室</v>
          </cell>
          <cell r="M21" t="str">
            <v>平成28年脳出血により鈴鹿回生病院に入院。その後、小山田病院に転院。平成30年に自宅退院となる。令和2年4月20日自宅で転倒し岩崎病院にて左大腿骨転子部骨折と診断され手術を施行。令和2年6月2日にリハビリ目的で第2岩崎病院に転院。令和3年9月4日に安濃津ろまんに入所となる。</v>
          </cell>
          <cell r="Q21" t="str">
            <v>入力</v>
          </cell>
          <cell r="R21" t="str">
            <v>要介護４</v>
          </cell>
          <cell r="S21" t="str">
            <v>令和5年12月26日</v>
          </cell>
          <cell r="T21" t="str">
            <v>令和5年12月1日</v>
          </cell>
          <cell r="U21" t="str">
            <v>令和7年11月30日</v>
          </cell>
          <cell r="V21" t="str">
            <v>１割負担</v>
          </cell>
          <cell r="W21" t="str">
            <v>後期高齢者医療保険</v>
          </cell>
          <cell r="X21" t="str">
            <v>無</v>
          </cell>
          <cell r="Z21" t="str">
            <v>無</v>
          </cell>
          <cell r="AA21" t="str">
            <v>無</v>
          </cell>
          <cell r="AB21" t="str">
            <v>B2</v>
          </cell>
          <cell r="AC21" t="str">
            <v>Ⅲb</v>
          </cell>
          <cell r="AE21" t="str">
            <v>入力</v>
          </cell>
          <cell r="AF21" t="str">
            <v>前田　政和</v>
          </cell>
          <cell r="AG21" t="str">
            <v>長男</v>
          </cell>
          <cell r="AI21" t="str">
            <v>別居</v>
          </cell>
          <cell r="AJ21" t="str">
            <v>介護しない</v>
          </cell>
          <cell r="AK21" t="str">
            <v>無</v>
          </cell>
          <cell r="AL21" t="str">
            <v>090-5634-4951</v>
          </cell>
          <cell r="AM21" t="str">
            <v>KP。令和6年6月から無職</v>
          </cell>
          <cell r="AW21" t="str">
            <v>入力</v>
          </cell>
          <cell r="AX21" t="str">
            <v>一人暮らし</v>
          </cell>
          <cell r="AY21" t="str">
            <v>集合住宅</v>
          </cell>
          <cell r="AZ21" t="str">
            <v>エレベーター有</v>
          </cell>
          <cell r="BA21" t="str">
            <v>賃貸</v>
          </cell>
          <cell r="BB21" t="str">
            <v>有</v>
          </cell>
          <cell r="BC21" t="str">
            <v>有</v>
          </cell>
          <cell r="BD21" t="str">
            <v>洋式</v>
          </cell>
          <cell r="BE21" t="str">
            <v>手すり有</v>
          </cell>
          <cell r="BF21" t="str">
            <v>段差有</v>
          </cell>
          <cell r="BG21" t="str">
            <v>有</v>
          </cell>
          <cell r="BH21" t="str">
            <v>手すり有</v>
          </cell>
          <cell r="BI21" t="str">
            <v>リクライニングベッド</v>
          </cell>
          <cell r="BJ21" t="str">
            <v>無</v>
          </cell>
          <cell r="BK21" t="str">
            <v>無</v>
          </cell>
          <cell r="BL21" t="str">
            <v>無</v>
          </cell>
          <cell r="BM21" t="str">
            <v>無</v>
          </cell>
          <cell r="BO21" t="str">
            <v>入力</v>
          </cell>
          <cell r="BP21" t="str">
            <v>訪問介護 , 訪問看護 , 通所介護</v>
          </cell>
          <cell r="BQ21" t="str">
            <v>車いす , 特殊寝台 , 特殊寝台付属品 , 床ずれ防止用具</v>
          </cell>
          <cell r="BR21" t="str">
            <v>特になし</v>
          </cell>
          <cell r="BS21" t="str">
            <v>オムツ支給 , 食事支援 , 排泄支援 , リネンリース , 洗濯</v>
          </cell>
          <cell r="BT21" t="str">
            <v>認知機能の低下によりコミュニケーションは難しい。</v>
          </cell>
          <cell r="BW21" t="str">
            <v>入力</v>
          </cell>
          <cell r="BX21" t="str">
            <v>認知症</v>
          </cell>
          <cell r="BY21" t="str">
            <v>不詳</v>
          </cell>
          <cell r="BZ21" t="str">
            <v>高血圧症、脂質異常症</v>
          </cell>
          <cell r="CA21" t="str">
            <v>不詳</v>
          </cell>
          <cell r="CJ21" t="str">
            <v>現在通院は行っていない。</v>
          </cell>
          <cell r="CS21" t="str">
            <v>平成28年：脳出血、高次脳機能障害、失語症（鈴鹿回生病院→小山田病院）
令和2年：左大腿骨転子部骨折（岩崎病院→第2岩崎病院）
令和4年2月22日：胸椎圧迫骨折（新町整形）
令和5年11月11日：誤嚥性肺炎（津生協病院）</v>
          </cell>
          <cell r="CT21" t="str">
            <v>ローレル薬局に居宅管理指導を受けており、服薬は施設管理となっている。内服時は袋を開封し薬を口まで運び飲んで頂いている。</v>
          </cell>
          <cell r="CX21" t="str">
            <v>入力</v>
          </cell>
          <cell r="CY21" t="str">
            <v>無</v>
          </cell>
          <cell r="CZ21" t="str">
            <v>無</v>
          </cell>
          <cell r="DA21" t="str">
            <v>無</v>
          </cell>
          <cell r="DB21" t="str">
            <v>精査困難</v>
          </cell>
          <cell r="DC21" t="str">
            <v>特になし</v>
          </cell>
          <cell r="DJ21" t="str">
            <v>脳出血による高次脳機能障がいが強く、失語症や注意力低下が著明。麻痺はそれほど見られないものの精査は困難な状況。
転倒により胸椎圧迫骨折をされており、骨は弱く脆い状況ではあるものの最近は転倒もなく問題は見られない。
誤嚥性肺炎の既往があり、再発のリスクも高い状況。</v>
          </cell>
          <cell r="DL21" t="str">
            <v>入力</v>
          </cell>
          <cell r="DM21" t="str">
            <v>有</v>
          </cell>
          <cell r="DN21" t="str">
            <v>重度</v>
          </cell>
          <cell r="DO21" t="str">
            <v>徘徊</v>
          </cell>
          <cell r="DP21" t="str">
            <v>全くできない</v>
          </cell>
          <cell r="DQ21" t="str">
            <v>全くできない</v>
          </cell>
          <cell r="DR21" t="str">
            <v>失語症に加え、認知機能の低下も強くコミュニケーションはほとんど取ることができない。返答は見られるものの、曖昧な返答である。</v>
          </cell>
          <cell r="DU21" t="str">
            <v>入力</v>
          </cell>
          <cell r="DV21" t="str">
            <v>何かにつかまればできる</v>
          </cell>
          <cell r="DW21" t="str">
            <v>何かにつかまればできる</v>
          </cell>
          <cell r="DX21" t="str">
            <v>支えてもらえればできる</v>
          </cell>
          <cell r="DY21" t="str">
            <v>できない</v>
          </cell>
          <cell r="DZ21" t="str">
            <v>できない</v>
          </cell>
          <cell r="EA21" t="str">
            <v>全介助</v>
          </cell>
          <cell r="EB21" t="str">
            <v>一部介助</v>
          </cell>
          <cell r="EC21" t="str">
            <v>車椅子</v>
          </cell>
          <cell r="ED21" t="str">
            <v>全介助</v>
          </cell>
          <cell r="EE21" t="str">
            <v>車椅子</v>
          </cell>
          <cell r="EF21" t="str">
            <v>起居動作はベッド柵等につかまることでご自身で行えているが、起立や立位保持、移乗に関しては、職員による介助が必要な状況。
車椅子へ座ってしまえばご自身で車いすを操作し移動できるが、周りを見ずに車いすを動かそうとするため他利用者と接触を防ぐ必要があり見守りを要す。</v>
          </cell>
          <cell r="EH21" t="str">
            <v>入力</v>
          </cell>
          <cell r="EI21" t="str">
            <v>入力</v>
          </cell>
          <cell r="EJ21" t="str">
            <v>経口摂取</v>
          </cell>
          <cell r="EK21" t="str">
            <v>一部介助</v>
          </cell>
          <cell r="EL21" t="str">
            <v>見守り等が必要</v>
          </cell>
          <cell r="EM21" t="str">
            <v>全粥</v>
          </cell>
          <cell r="EN21" t="str">
            <v>キザミ</v>
          </cell>
          <cell r="EO21" t="str">
            <v>有</v>
          </cell>
          <cell r="EP21" t="str">
            <v>無</v>
          </cell>
          <cell r="EQ21" t="str">
            <v>スプーン , エプロン</v>
          </cell>
          <cell r="ER21" t="str">
            <v>嚥下機能の低下があるため食事形態は全粥、キザミ（とろみ餡かけ）となっている。食事開始時はスプーンを用いて食べることができるが、徐々に素手で食べようとされる。一口量が多く勢いよく食べるため窒息の危険性も高い。制御が聞かないため常に見守りを要す。食べこぼしが多いためエプロンの装着が必要な状況。</v>
          </cell>
          <cell r="ET21" t="str">
            <v>入力</v>
          </cell>
          <cell r="EU21" t="str">
            <v>全介助</v>
          </cell>
          <cell r="EV21" t="str">
            <v>有</v>
          </cell>
          <cell r="EW21" t="str">
            <v>無</v>
          </cell>
          <cell r="EZ21" t="str">
            <v>口腔ケアはご自身で行うことができないため介助が必要。現在はデイサービスを毎日利用しているため、デイ利用時に口腔ケアを行う。自歯はあるもののほとんど抜け落ちている。</v>
          </cell>
          <cell r="FB21" t="str">
            <v>入力</v>
          </cell>
          <cell r="FC21" t="str">
            <v>全介助</v>
          </cell>
          <cell r="FD21" t="str">
            <v>チェアー浴</v>
          </cell>
          <cell r="FE21" t="str">
            <v>無</v>
          </cell>
          <cell r="FG21" t="str">
            <v>全介助</v>
          </cell>
          <cell r="FH21" t="str">
            <v>全介助</v>
          </cell>
          <cell r="FI21" t="str">
            <v>入浴はデイサービス利用時に週3回入浴されている。指示が入らないため職員が洗身、更衣の介助を行う。</v>
          </cell>
          <cell r="FK21" t="str">
            <v>入力</v>
          </cell>
          <cell r="FL21" t="str">
            <v>全介助</v>
          </cell>
          <cell r="FM21" t="str">
            <v>無</v>
          </cell>
          <cell r="FN21" t="str">
            <v>有</v>
          </cell>
          <cell r="FO21" t="str">
            <v>無</v>
          </cell>
          <cell r="FP21" t="str">
            <v>有</v>
          </cell>
          <cell r="FR21" t="str">
            <v>オムツ</v>
          </cell>
          <cell r="FS21" t="str">
            <v>オムツ</v>
          </cell>
          <cell r="FT21" t="str">
            <v>紙おむつ , 大パット</v>
          </cell>
          <cell r="FU21" t="str">
            <v>排泄はパット内にされるため1日に5回交換を行っている。オムツや便いじりが多かったことで現在は介護衣を着用されている。1回の尿量は多く失禁も時折見られている。</v>
          </cell>
          <cell r="FX21" t="str">
            <v>入力</v>
          </cell>
          <cell r="FY21" t="str">
            <v>全介助</v>
          </cell>
          <cell r="FZ21" t="str">
            <v>全介助</v>
          </cell>
          <cell r="GA21" t="str">
            <v>全介助</v>
          </cell>
          <cell r="GB21" t="str">
            <v>全介助</v>
          </cell>
          <cell r="GC21" t="str">
            <v>全介助</v>
          </cell>
          <cell r="GD21" t="str">
            <v>IADLはすべて介助が必要で、KPの息子様や施設サービスを受けている。</v>
          </cell>
          <cell r="GG21" t="str">
            <v>高次脳機能障害や注意力障がい、認知機能の低下により危険認識力が低く、もともと転倒が多く見られていたが、現在はベッドで過ごされる際意は、4点柵で対応し、車いすに座る際は、安全ベルトを着用。また終日介護衣を着用している。ご家族様へ身体拘束の同意は頂いている。</v>
          </cell>
          <cell r="GH21">
            <v>30</v>
          </cell>
        </row>
        <row r="22">
          <cell r="C22" t="str">
            <v>豊田　眞喜子</v>
          </cell>
          <cell r="D22" t="str">
            <v>46a58b06</v>
          </cell>
          <cell r="I22">
            <v>45599</v>
          </cell>
          <cell r="J22" t="str">
            <v>山川　和輝</v>
          </cell>
          <cell r="K22" t="str">
            <v>更新</v>
          </cell>
          <cell r="L22" t="str">
            <v>本人の居室</v>
          </cell>
          <cell r="M22" t="str">
            <v>自宅で夫と２人暮らし。夫は自立で、日常的なお世話は夫が行っていた。令和4年4月26日に３８度の熱発があり、近所の内科に受診。5月12日、受診先から永井病院を進められ、誤嚥性肺炎のため永井病院へ入院となった。認知機能の低下により食事に拒否があり、6月9日に胃ろう造設となった。その後6月17日に回復期へ移動する。自宅では生活が困難であることから、令和4年7月25日に旦那様と共に２人部屋や入居となった。</v>
          </cell>
          <cell r="Q22" t="str">
            <v>入力</v>
          </cell>
          <cell r="R22" t="str">
            <v>要介護５</v>
          </cell>
          <cell r="S22" t="str">
            <v>令和5年6月1日</v>
          </cell>
          <cell r="T22" t="str">
            <v>令和5年6月1日</v>
          </cell>
          <cell r="U22" t="str">
            <v>令和7年5月31日</v>
          </cell>
          <cell r="V22" t="str">
            <v>１割負担</v>
          </cell>
          <cell r="W22" t="str">
            <v>後期高齢者医療保険</v>
          </cell>
          <cell r="X22" t="str">
            <v>無</v>
          </cell>
          <cell r="Z22" t="str">
            <v>無</v>
          </cell>
          <cell r="AA22" t="str">
            <v>無</v>
          </cell>
          <cell r="AB22" t="str">
            <v>C1</v>
          </cell>
          <cell r="AC22" t="str">
            <v>Ⅳ</v>
          </cell>
          <cell r="AE22" t="str">
            <v>入力</v>
          </cell>
          <cell r="AF22" t="str">
            <v>豊田　尚美</v>
          </cell>
          <cell r="AG22" t="str">
            <v>長男妻</v>
          </cell>
          <cell r="AI22" t="str">
            <v>別居</v>
          </cell>
          <cell r="AJ22" t="str">
            <v>介護する</v>
          </cell>
          <cell r="AK22" t="str">
            <v>無</v>
          </cell>
          <cell r="AL22" t="str">
            <v>090-7855-3371</v>
          </cell>
          <cell r="AM22" t="str">
            <v>連絡先1番</v>
          </cell>
          <cell r="AN22" t="str">
            <v>豊田　孝典</v>
          </cell>
          <cell r="AO22" t="str">
            <v>長男</v>
          </cell>
          <cell r="AQ22" t="str">
            <v>別居</v>
          </cell>
          <cell r="AR22" t="str">
            <v>介護する</v>
          </cell>
          <cell r="AT22" t="str">
            <v>090-5772-4017</v>
          </cell>
          <cell r="AU22" t="str">
            <v>KP</v>
          </cell>
          <cell r="AW22" t="str">
            <v>入力</v>
          </cell>
          <cell r="AX22" t="str">
            <v>一人暮らし</v>
          </cell>
          <cell r="AY22" t="str">
            <v>集合住宅</v>
          </cell>
          <cell r="AZ22" t="str">
            <v>エレベーター有</v>
          </cell>
          <cell r="BA22" t="str">
            <v>賃貸</v>
          </cell>
          <cell r="BB22" t="str">
            <v>有</v>
          </cell>
          <cell r="BC22" t="str">
            <v>有</v>
          </cell>
          <cell r="BD22" t="str">
            <v>洋式</v>
          </cell>
          <cell r="BE22" t="str">
            <v>手すり有</v>
          </cell>
          <cell r="BF22" t="str">
            <v>段差無</v>
          </cell>
          <cell r="BG22" t="str">
            <v>有</v>
          </cell>
          <cell r="BH22" t="str">
            <v>手すり有</v>
          </cell>
          <cell r="BI22" t="str">
            <v>リクライニングベッド</v>
          </cell>
          <cell r="BJ22" t="str">
            <v>無</v>
          </cell>
          <cell r="BK22" t="str">
            <v>無</v>
          </cell>
          <cell r="BL22" t="str">
            <v>無</v>
          </cell>
          <cell r="BM22" t="str">
            <v>無</v>
          </cell>
          <cell r="BO22" t="str">
            <v>入力</v>
          </cell>
          <cell r="BP22" t="str">
            <v>訪問介護 , 訪問看護 , 通所介護</v>
          </cell>
          <cell r="BQ22" t="str">
            <v>車いす , 車いす付属品 , 特殊寝台 , 特殊寝台付属品 , 床ずれ防止用具</v>
          </cell>
          <cell r="BR22" t="str">
            <v>特になし</v>
          </cell>
          <cell r="BS22" t="str">
            <v>オムツ支給 , 食事支援 , 排泄支援 , リネンリース , 洗濯</v>
          </cell>
          <cell r="BT22" t="str">
            <v>デイサービスを利用されているが他者とコミュニケーションはあまり積極的に取らない。</v>
          </cell>
          <cell r="BW22" t="str">
            <v>入力</v>
          </cell>
          <cell r="BX22" t="str">
            <v>肺がん</v>
          </cell>
          <cell r="BY22" t="str">
            <v>令和6年1月26日</v>
          </cell>
          <cell r="BZ22" t="str">
            <v>誤嚥性肺炎（胃瘻造設）</v>
          </cell>
          <cell r="CA22" t="str">
            <v>令和4年5月12日</v>
          </cell>
          <cell r="CB22" t="str">
            <v>重度の認知症</v>
          </cell>
          <cell r="CC22" t="str">
            <v>不詳</v>
          </cell>
          <cell r="CJ22" t="str">
            <v>現在、肺がんの経過観察のため永井病院に通院を行っている。それ以外は加藤医院で往診を受けている。</v>
          </cell>
          <cell r="CS22" t="str">
            <v>令和3年8月：左大腿骨頸部骨折
令和4年9月：帯状疱疹</v>
          </cell>
          <cell r="CT22" t="str">
            <v>ローレル薬局を契約され、居宅療養指導を受けている。内服は胃ろうから栄養とともに注入している。</v>
          </cell>
          <cell r="CX22" t="str">
            <v>入力</v>
          </cell>
          <cell r="CY22" t="str">
            <v>湿疹 , かゆみ</v>
          </cell>
          <cell r="CZ22" t="str">
            <v>無</v>
          </cell>
          <cell r="DA22" t="str">
            <v>経管栄養</v>
          </cell>
          <cell r="DB22" t="str">
            <v>特になし</v>
          </cell>
          <cell r="DC22" t="str">
            <v>特になし</v>
          </cell>
          <cell r="DF22" t="str">
            <v>大きい字は可</v>
          </cell>
          <cell r="DG22" t="str">
            <v>無</v>
          </cell>
          <cell r="DH22" t="str">
            <v>大きい声は可</v>
          </cell>
          <cell r="DI22" t="str">
            <v>無</v>
          </cell>
          <cell r="DJ22" t="str">
            <v>誤嚥性肺炎により胃瘻を造設しており、胃ろうから栄養を注入している。また令和6年1月に肺がんが見つかり増悪傾向。定期的に永井病院に受診を行い、経過観察を行っている。またガンの進行により今後は緩和ケアも視野に入れている。
現在床ずれはないが、寝た状態が続いているため床ずれが生じやすい状態となっている。痒みや湿疹などの皮膚トラブルも見られる。</v>
          </cell>
          <cell r="DL22" t="str">
            <v>入力</v>
          </cell>
          <cell r="DM22" t="str">
            <v>有</v>
          </cell>
          <cell r="DN22" t="str">
            <v>重度</v>
          </cell>
          <cell r="DO22" t="str">
            <v>大声・奇声 , 暴力 , 暴言 , 介護抵抗</v>
          </cell>
          <cell r="DP22" t="str">
            <v>やや不自由</v>
          </cell>
          <cell r="DQ22" t="str">
            <v>やや不自由</v>
          </cell>
          <cell r="DR22" t="str">
            <v>認知機能の低下によりコミュニケーションは取りにくい。また介護拒否が見られ、排泄交換や胃ろう時、入浴時など介助が必要な場面で、大声や暴言暴力行為も見られる。旦那様の協力のもと生活されている。</v>
          </cell>
          <cell r="DU22" t="str">
            <v>入力</v>
          </cell>
          <cell r="DV22" t="str">
            <v>できない</v>
          </cell>
          <cell r="DW22" t="str">
            <v>できない</v>
          </cell>
          <cell r="DX22" t="str">
            <v>できない</v>
          </cell>
          <cell r="DY22" t="str">
            <v>できない</v>
          </cell>
          <cell r="DZ22" t="str">
            <v>できない</v>
          </cell>
          <cell r="EA22" t="str">
            <v>全介助</v>
          </cell>
          <cell r="EB22" t="str">
            <v>全介助</v>
          </cell>
          <cell r="EC22" t="str">
            <v>車椅子</v>
          </cell>
          <cell r="ED22" t="str">
            <v>全介助</v>
          </cell>
          <cell r="EE22" t="str">
            <v>車椅子</v>
          </cell>
          <cell r="EF22" t="str">
            <v>基本動作、移乗はすべて全介助。ベッドから車いすへの移乗は、柵などにつかまるとつっぱる（拒否）ため、２人介助で行っている。体重は軽いため慣れれば１人で可能。
もともとは普通型車いすを使用されていたが、最近では座位保持で疲労が強くなるためリクライニング車椅子を使用している・</v>
          </cell>
          <cell r="EH22" t="str">
            <v>入力</v>
          </cell>
          <cell r="EI22" t="str">
            <v>入力</v>
          </cell>
          <cell r="EJ22" t="str">
            <v>経管栄養（胃ろう）</v>
          </cell>
          <cell r="EK22" t="str">
            <v>全介助</v>
          </cell>
          <cell r="EL22" t="str">
            <v>できない</v>
          </cell>
          <cell r="EO22" t="str">
            <v>有</v>
          </cell>
          <cell r="EP22" t="str">
            <v>有</v>
          </cell>
          <cell r="ER22" t="str">
            <v>食事は胃ろうからの経管栄養となっている。喉や口の力はある程度残存しており、唾液でむせることは少ない。</v>
          </cell>
          <cell r="ET22" t="str">
            <v>入力</v>
          </cell>
          <cell r="EU22" t="str">
            <v>全介助</v>
          </cell>
          <cell r="EZ22" t="str">
            <v>胃瘻からの栄養注入時に口腔スポンジを用いて口腔ケアを行っている。誤嚥性肺炎のリスクも高いため口腔ケアの必要性は高い。</v>
          </cell>
          <cell r="FB22" t="str">
            <v>入力</v>
          </cell>
          <cell r="FC22" t="str">
            <v>全介助</v>
          </cell>
          <cell r="FD22" t="str">
            <v>寝台浴</v>
          </cell>
          <cell r="FE22" t="str">
            <v>無</v>
          </cell>
          <cell r="FG22" t="str">
            <v>全介助</v>
          </cell>
          <cell r="FH22" t="str">
            <v>全介助</v>
          </cell>
          <cell r="FI22" t="str">
            <v>入浴はデイサービスでミスト浴全介助。胃ろう部分の洗浄は普通のボディーソープで行っている。
着替えは拒否が強いため、入浴時のみで実施。</v>
          </cell>
          <cell r="FK22" t="str">
            <v>入力</v>
          </cell>
          <cell r="FL22" t="str">
            <v>全介助</v>
          </cell>
          <cell r="FM22" t="str">
            <v>無</v>
          </cell>
          <cell r="FN22" t="str">
            <v>無</v>
          </cell>
          <cell r="FO22" t="str">
            <v>無</v>
          </cell>
          <cell r="FP22" t="str">
            <v>無</v>
          </cell>
          <cell r="FR22" t="str">
            <v>オムツ</v>
          </cell>
          <cell r="FS22" t="str">
            <v>オムツ</v>
          </cell>
          <cell r="FT22" t="str">
            <v>紙おむつ , 大パット</v>
          </cell>
          <cell r="FU22" t="str">
            <v>尿便意の訴えはなし。
終日オムツを使用し、全介助で交換を行う。拒否が強く、交換に時間を要す。
便に関しては、基本的には2～3日に1回は出ている。2日程度でないときは、経管栄養時に水分を多めに注入している。また3日以上でない場合は下剤を使用している。浣腸や摘便は行っていない。</v>
          </cell>
          <cell r="FX22" t="str">
            <v>入力</v>
          </cell>
          <cell r="FY22" t="str">
            <v>全介助</v>
          </cell>
          <cell r="FZ22" t="str">
            <v>全介助</v>
          </cell>
          <cell r="GA22" t="str">
            <v>全介助</v>
          </cell>
          <cell r="GB22" t="str">
            <v>全介助</v>
          </cell>
          <cell r="GC22" t="str">
            <v>全介助</v>
          </cell>
          <cell r="GD22" t="str">
            <v>IADLは旦那様が協力して頂いたり、施設サービスを利用されている。</v>
          </cell>
          <cell r="GG22" t="str">
            <v>肺がんの進行があり、進行に伴い身体状況の悪化、痛みの増悪等あれば七栗記念病院の緩和ケアも検討している。</v>
          </cell>
          <cell r="GH22">
            <v>30</v>
          </cell>
        </row>
        <row r="23">
          <cell r="C23" t="str">
            <v>山分　とめの</v>
          </cell>
          <cell r="D23" t="str">
            <v>db8d5cde</v>
          </cell>
          <cell r="I23">
            <v>45610</v>
          </cell>
          <cell r="J23" t="str">
            <v>山川　和輝</v>
          </cell>
          <cell r="K23" t="str">
            <v>更新</v>
          </cell>
          <cell r="L23" t="str">
            <v>本人の居室</v>
          </cell>
          <cell r="M23" t="str">
            <v>自宅にて独居生活。夏頃から体調を崩しがちになったり、認知症が進んでいた。令和5年10月に自宅にて転倒し、鈴鹿中央総合病院に搬送。右大腿骨頸部骨折と診断され手術を行うこととなった。令和5年11月10日にリハビリ目的で第二岩崎病院へ転院。ADL低下や認知症進行が見られる現状で自宅生活は難しいため、令和6年1月5日に安濃津ろまんへ入居することとなった。</v>
          </cell>
          <cell r="N23" t="str">
            <v>リハビリを継続して転倒せずに安心して生活したいと思っています。</v>
          </cell>
          <cell r="O23" t="str">
            <v>もう自宅での独居生活は難しいと思っています。安心できる環境で快適に生活してほしいと思っています。</v>
          </cell>
          <cell r="Q23" t="str">
            <v>入力</v>
          </cell>
          <cell r="R23" t="str">
            <v>要介護１</v>
          </cell>
          <cell r="S23" t="str">
            <v>令和6年8月7日</v>
          </cell>
          <cell r="T23" t="str">
            <v>令和6年8月1日</v>
          </cell>
          <cell r="U23" t="str">
            <v>令和10年7月31日</v>
          </cell>
          <cell r="V23" t="str">
            <v>１割負担</v>
          </cell>
          <cell r="W23" t="str">
            <v>後期高齢者医療保険</v>
          </cell>
          <cell r="X23" t="str">
            <v>無</v>
          </cell>
          <cell r="Z23" t="str">
            <v>無</v>
          </cell>
          <cell r="AA23" t="str">
            <v>無</v>
          </cell>
          <cell r="AE23" t="str">
            <v>入力</v>
          </cell>
          <cell r="AF23" t="str">
            <v>髙﨑　美樹</v>
          </cell>
          <cell r="AG23" t="str">
            <v>次女</v>
          </cell>
          <cell r="AI23" t="str">
            <v>別居</v>
          </cell>
          <cell r="AJ23" t="str">
            <v>介護する</v>
          </cell>
          <cell r="AK23" t="str">
            <v>無</v>
          </cell>
          <cell r="AL23" t="str">
            <v>090-6611-1011</v>
          </cell>
          <cell r="AM23" t="str">
            <v>津市在住。KP</v>
          </cell>
          <cell r="AN23" t="str">
            <v>森西　アケミ</v>
          </cell>
          <cell r="AO23" t="str">
            <v>長女</v>
          </cell>
          <cell r="AQ23" t="str">
            <v>別居</v>
          </cell>
          <cell r="AR23" t="str">
            <v>介護する</v>
          </cell>
          <cell r="AS23" t="str">
            <v>無</v>
          </cell>
          <cell r="AT23" t="str">
            <v>090-7300-7479</v>
          </cell>
          <cell r="AW23" t="str">
            <v>入力</v>
          </cell>
          <cell r="AX23" t="str">
            <v>一人暮らし</v>
          </cell>
          <cell r="AY23" t="str">
            <v>集合住宅</v>
          </cell>
          <cell r="AZ23" t="str">
            <v>エレベーター有</v>
          </cell>
          <cell r="BA23" t="str">
            <v>賃貸</v>
          </cell>
          <cell r="BB23" t="str">
            <v>有</v>
          </cell>
          <cell r="BC23" t="str">
            <v>有</v>
          </cell>
          <cell r="BD23" t="str">
            <v>洋式</v>
          </cell>
          <cell r="BE23" t="str">
            <v>手すり有</v>
          </cell>
          <cell r="BF23" t="str">
            <v>段差無</v>
          </cell>
          <cell r="BG23" t="str">
            <v>有</v>
          </cell>
          <cell r="BH23" t="str">
            <v>手すり有</v>
          </cell>
          <cell r="BI23" t="str">
            <v>リクライニングベッド</v>
          </cell>
          <cell r="BJ23" t="str">
            <v>無</v>
          </cell>
          <cell r="BK23" t="str">
            <v>無</v>
          </cell>
          <cell r="BL23" t="str">
            <v>無</v>
          </cell>
          <cell r="BM23" t="str">
            <v>無</v>
          </cell>
          <cell r="BO23" t="str">
            <v>入力</v>
          </cell>
          <cell r="BP23" t="str">
            <v>訪問介護 , 訪問看護 , 通所介護</v>
          </cell>
          <cell r="BQ23" t="str">
            <v>手すり</v>
          </cell>
          <cell r="BR23" t="str">
            <v>特になし</v>
          </cell>
          <cell r="BS23" t="str">
            <v>食事支援 , 排泄支援 , リネンリース , 洗濯</v>
          </cell>
          <cell r="BT23" t="str">
            <v>デイサービスで他の利用者様との交流もある。</v>
          </cell>
          <cell r="BW23" t="str">
            <v>入力</v>
          </cell>
          <cell r="BX23" t="str">
            <v>高血圧症</v>
          </cell>
          <cell r="BY23" t="str">
            <v>不詳</v>
          </cell>
          <cell r="BZ23" t="str">
            <v>アルツハイマー型認知症</v>
          </cell>
          <cell r="CA23" t="str">
            <v>不詳</v>
          </cell>
          <cell r="CJ23" t="str">
            <v>現在通院は行っておらず、加藤医院による往診を受けている。</v>
          </cell>
          <cell r="CS23" t="str">
            <v>令和5年10月、右大腿骨頸部骨折にて人工骨頭置換術施行</v>
          </cell>
          <cell r="CT23" t="str">
            <v>ローレル薬局を契約し、薬局と看護師が服薬管理を行う。配薬はヘルパーで行っており、袋を開封してお渡しすると内服される。</v>
          </cell>
          <cell r="CX23" t="str">
            <v>入力</v>
          </cell>
          <cell r="CY23" t="str">
            <v>無</v>
          </cell>
          <cell r="CZ23" t="str">
            <v>無</v>
          </cell>
          <cell r="DA23" t="str">
            <v>無</v>
          </cell>
          <cell r="DB23" t="str">
            <v>特になし</v>
          </cell>
          <cell r="DC23" t="str">
            <v>特になし</v>
          </cell>
          <cell r="DF23" t="str">
            <v>大きい字は可</v>
          </cell>
          <cell r="DG23" t="str">
            <v>有</v>
          </cell>
          <cell r="DH23" t="str">
            <v>大きい声は可</v>
          </cell>
          <cell r="DI23" t="str">
            <v>無</v>
          </cell>
          <cell r="DJ23" t="str">
            <v>血圧は140～160台とやや高値であるが内服で安定している。食欲も良好で健康状態は良好に保たれている。
大腿部に関しては、痛みはないが脱臼リスクはあるため注意が必要である。</v>
          </cell>
          <cell r="DL23" t="str">
            <v>入力</v>
          </cell>
          <cell r="DM23" t="str">
            <v>有</v>
          </cell>
          <cell r="DN23" t="str">
            <v>軽度</v>
          </cell>
          <cell r="DO23" t="str">
            <v>無</v>
          </cell>
          <cell r="DP23" t="str">
            <v>可能</v>
          </cell>
          <cell r="DQ23" t="str">
            <v>可能</v>
          </cell>
          <cell r="DR23" t="str">
            <v>アルツハイマー型認知症の診断はあるものの、日常生活に支障が出るほどではない。</v>
          </cell>
          <cell r="DU23" t="str">
            <v>入力</v>
          </cell>
          <cell r="DV23" t="str">
            <v>何かにつかまればできる</v>
          </cell>
          <cell r="DW23" t="str">
            <v>何かにつかまればできる</v>
          </cell>
          <cell r="DX23" t="str">
            <v>自分の手で支えればできる</v>
          </cell>
          <cell r="DY23" t="str">
            <v>何かにつかまればできる</v>
          </cell>
          <cell r="DZ23" t="str">
            <v>何か支えがあればできる</v>
          </cell>
          <cell r="EA23" t="str">
            <v>自立</v>
          </cell>
          <cell r="EB23" t="str">
            <v>自立</v>
          </cell>
          <cell r="EC23" t="str">
            <v>歩行器</v>
          </cell>
          <cell r="ED23" t="str">
            <v>一部介助</v>
          </cell>
          <cell r="EE23" t="str">
            <v>歩行器</v>
          </cell>
          <cell r="EF23" t="str">
            <v>起居動作は何かにつかまることで安定してご自身で行うことが可能。移動は室内であれば独歩でも可能。廊下等、長い距離を移動する際はきちんとシルバーカーを用いられる。
現在の身体機能維持のためにリハビリを受けている。</v>
          </cell>
          <cell r="EH23" t="str">
            <v>入力</v>
          </cell>
          <cell r="EI23" t="str">
            <v>入力</v>
          </cell>
          <cell r="EJ23" t="str">
            <v>経口摂取</v>
          </cell>
          <cell r="EK23" t="str">
            <v>自立</v>
          </cell>
          <cell r="EL23" t="str">
            <v>できる</v>
          </cell>
          <cell r="EM23" t="str">
            <v>軟飯</v>
          </cell>
          <cell r="EN23" t="str">
            <v>一口大</v>
          </cell>
          <cell r="EO23" t="str">
            <v>無</v>
          </cell>
          <cell r="EP23" t="str">
            <v>無</v>
          </cell>
          <cell r="EQ23" t="str">
            <v>箸 , スプーン</v>
          </cell>
          <cell r="ER23" t="str">
            <v>食事に関しては特に問題は見られない。</v>
          </cell>
          <cell r="ET23" t="str">
            <v>入力</v>
          </cell>
          <cell r="EU23" t="str">
            <v>自立</v>
          </cell>
          <cell r="EV23" t="str">
            <v>有</v>
          </cell>
          <cell r="EZ23" t="str">
            <v>口腔衛生に関しては、ご自身で歯みがきを行っており、現状特に問題は見られていない。</v>
          </cell>
          <cell r="FB23" t="str">
            <v>入力</v>
          </cell>
          <cell r="FC23" t="str">
            <v>一部介助</v>
          </cell>
          <cell r="FD23" t="str">
            <v>チェアー浴</v>
          </cell>
          <cell r="FE23" t="str">
            <v>無</v>
          </cell>
          <cell r="FG23" t="str">
            <v>見守り</v>
          </cell>
          <cell r="FH23" t="str">
            <v>一部介助</v>
          </cell>
          <cell r="FI23" t="str">
            <v>入浴はデイサービス利用時に大浴場にて入浴を行っている。背中や足もとなどご自身で洗えない部分については介助を要しているが、概ねご自身で洗身される。
更衣の上衣は見守りで可能も、下衣は転倒防止のため介助を行っている。</v>
          </cell>
          <cell r="FK23" t="str">
            <v>入力</v>
          </cell>
          <cell r="FL23" t="str">
            <v>自立</v>
          </cell>
          <cell r="FM23" t="str">
            <v>有</v>
          </cell>
          <cell r="FN23" t="str">
            <v>有</v>
          </cell>
          <cell r="FO23" t="str">
            <v>有</v>
          </cell>
          <cell r="FP23" t="str">
            <v>無</v>
          </cell>
          <cell r="FR23" t="str">
            <v>トイレ</v>
          </cell>
          <cell r="FS23" t="str">
            <v>トイレ</v>
          </cell>
          <cell r="FT23" t="str">
            <v>リハビリパンツ</v>
          </cell>
          <cell r="FU23" t="str">
            <v>排泄はご自身で居室内にあるトイレを使用される。時折尿失禁はあるもののご自身で交換される。
ベッドまで汚染されることはほとんどない。</v>
          </cell>
          <cell r="FX23" t="str">
            <v>入力</v>
          </cell>
          <cell r="FY23" t="str">
            <v>全介助</v>
          </cell>
          <cell r="FZ23" t="str">
            <v>全介助</v>
          </cell>
          <cell r="GA23" t="str">
            <v>全介助</v>
          </cell>
          <cell r="GB23" t="str">
            <v>全介助</v>
          </cell>
          <cell r="GC23" t="str">
            <v>全介助</v>
          </cell>
          <cell r="GD23" t="str">
            <v>IADLはご家族様や施設サービスを利用している。</v>
          </cell>
          <cell r="GG23" t="str">
            <v>特になし</v>
          </cell>
          <cell r="GH23">
            <v>30</v>
          </cell>
        </row>
        <row r="24">
          <cell r="C24" t="str">
            <v>中村　あゑ子</v>
          </cell>
          <cell r="D24" t="str">
            <v>892157f4</v>
          </cell>
          <cell r="I24">
            <v>45613</v>
          </cell>
          <cell r="J24" t="str">
            <v>山川　和輝</v>
          </cell>
          <cell r="K24" t="str">
            <v>退院</v>
          </cell>
          <cell r="L24" t="str">
            <v>本人の居室</v>
          </cell>
          <cell r="M24" t="str">
            <v>青森県に生まれ、高校卒業後東京で看護師見習いとして就職。その後、事務職をされていた。ご主人と結婚後、平成元年まで津市に住み、津商業高校で事務職として働き、その後名古屋へ転居しご主人と2人暮らしされていた。令和元年6月にご主人が末期がんで七栗記念病院に入院し、それに伴い名古屋での暮らしができないため昭和ろまんのショートステイを利用されていた。利用中の令和元年9月にご主人が亡くなり昭和ろまんに入居。その後安濃津ろまんへ入居となった。</v>
          </cell>
          <cell r="N24" t="str">
            <v>いつまでも健康で活気のある生活をし続けたいです。</v>
          </cell>
          <cell r="O24" t="str">
            <v>自宅での生活は無理なので、施設で安心して生活してほしいと思っています。</v>
          </cell>
          <cell r="Q24" t="str">
            <v>入力</v>
          </cell>
          <cell r="R24" t="str">
            <v>要介護２</v>
          </cell>
          <cell r="S24" t="str">
            <v>令和6年4月2日</v>
          </cell>
          <cell r="T24" t="str">
            <v>令和6年3月1日</v>
          </cell>
          <cell r="U24" t="str">
            <v>令和8年2月28日</v>
          </cell>
          <cell r="V24" t="str">
            <v>１割負担</v>
          </cell>
          <cell r="W24" t="str">
            <v>後期高齢者医療保険</v>
          </cell>
          <cell r="X24" t="str">
            <v>無</v>
          </cell>
          <cell r="Z24" t="str">
            <v>無</v>
          </cell>
          <cell r="AA24" t="str">
            <v>無</v>
          </cell>
          <cell r="AB24" t="str">
            <v>A2</v>
          </cell>
          <cell r="AC24" t="str">
            <v>Ⅱb</v>
          </cell>
          <cell r="AE24" t="str">
            <v>入力</v>
          </cell>
          <cell r="AF24" t="str">
            <v>中村　みち</v>
          </cell>
          <cell r="AG24" t="str">
            <v>長男の嫁</v>
          </cell>
          <cell r="AI24" t="str">
            <v>別居</v>
          </cell>
          <cell r="AJ24" t="str">
            <v>介護する</v>
          </cell>
          <cell r="AK24" t="str">
            <v>無</v>
          </cell>
          <cell r="AL24" t="str">
            <v>090-5611-3408</v>
          </cell>
          <cell r="AM24" t="str">
            <v>KP</v>
          </cell>
          <cell r="AN24" t="str">
            <v>中村　哲郎</v>
          </cell>
          <cell r="AO24" t="str">
            <v>長男</v>
          </cell>
          <cell r="AQ24" t="str">
            <v>別居</v>
          </cell>
          <cell r="AR24" t="str">
            <v>介護しない</v>
          </cell>
          <cell r="AS24" t="str">
            <v>有</v>
          </cell>
          <cell r="AT24" t="str">
            <v>090-4114-8174</v>
          </cell>
          <cell r="AW24" t="str">
            <v>入力</v>
          </cell>
          <cell r="AX24" t="str">
            <v>一人暮らし</v>
          </cell>
          <cell r="AY24" t="str">
            <v>集合住宅</v>
          </cell>
          <cell r="AZ24" t="str">
            <v>エレベーター有</v>
          </cell>
          <cell r="BA24" t="str">
            <v>賃貸</v>
          </cell>
          <cell r="BB24" t="str">
            <v>有</v>
          </cell>
          <cell r="BC24" t="str">
            <v>有</v>
          </cell>
          <cell r="BD24" t="str">
            <v>洋式</v>
          </cell>
          <cell r="BE24" t="str">
            <v>手すり有</v>
          </cell>
          <cell r="BF24" t="str">
            <v>段差無</v>
          </cell>
          <cell r="BG24" t="str">
            <v>無</v>
          </cell>
          <cell r="BI24" t="str">
            <v>リクライニングベッド</v>
          </cell>
          <cell r="BJ24" t="str">
            <v>無</v>
          </cell>
          <cell r="BK24" t="str">
            <v>無</v>
          </cell>
          <cell r="BL24" t="str">
            <v>無</v>
          </cell>
          <cell r="BM24" t="str">
            <v>無</v>
          </cell>
          <cell r="BO24" t="str">
            <v>入力</v>
          </cell>
          <cell r="BP24" t="str">
            <v>訪問介護 , 訪問看護 , 通所介護</v>
          </cell>
          <cell r="BQ24" t="str">
            <v>特殊寝台 , 特殊寝台付属品</v>
          </cell>
          <cell r="BR24" t="str">
            <v>特になし</v>
          </cell>
          <cell r="BS24" t="str">
            <v>食事支援 , 排泄支援 , リネンリース , 洗濯</v>
          </cell>
          <cell r="BT24" t="str">
            <v>他利用者様とトラブルになることも多くある。詳細は認知機能面で記載。</v>
          </cell>
          <cell r="BW24" t="str">
            <v>入力</v>
          </cell>
          <cell r="BX24" t="str">
            <v>肺炎、心不全</v>
          </cell>
          <cell r="BY24" t="str">
            <v>令和6年11月2日</v>
          </cell>
          <cell r="BZ24" t="str">
            <v>アルツハイマー型認知症</v>
          </cell>
          <cell r="CA24" t="str">
            <v>不詳</v>
          </cell>
          <cell r="CJ24" t="str">
            <v>現在通院は行っておらず、加藤医院による往診を受けている。</v>
          </cell>
          <cell r="CS24" t="str">
            <v>時期は不詳であるが、心房細動や脂質異常症がある。</v>
          </cell>
          <cell r="CT24" t="str">
            <v>ローレル薬局契約しており、薬局と施設看護師が服薬管理を行っている。内服は袋を開封し薬を手渡ししている。</v>
          </cell>
          <cell r="CX24" t="str">
            <v>入力</v>
          </cell>
          <cell r="CY24" t="str">
            <v>無</v>
          </cell>
          <cell r="CZ24" t="str">
            <v>無</v>
          </cell>
          <cell r="DA24" t="str">
            <v>無</v>
          </cell>
          <cell r="DB24" t="str">
            <v>特になし</v>
          </cell>
          <cell r="DC24" t="str">
            <v>特になし</v>
          </cell>
          <cell r="DF24" t="str">
            <v>正常</v>
          </cell>
          <cell r="DG24" t="str">
            <v>有</v>
          </cell>
          <cell r="DH24" t="str">
            <v>正常</v>
          </cell>
          <cell r="DI24" t="str">
            <v>無</v>
          </cell>
          <cell r="DJ24" t="str">
            <v>令和6年11月2日に酸素飽和度77％と低値でぐったりされていたため三重中央医療センターに搬送。肺炎、心不全の診断となり状態が落ち着いたため11月15日に安濃津ろまんへ再入居となった。
その他、アルツハイマー型認知症、脂質異常症、心房細動があり、定期的な往診を受けている。服薬管理はできないため、施設管理となっている。</v>
          </cell>
          <cell r="DL24" t="str">
            <v>入力</v>
          </cell>
          <cell r="DM24" t="str">
            <v>有</v>
          </cell>
          <cell r="DN24" t="str">
            <v>中等度</v>
          </cell>
          <cell r="DO24" t="str">
            <v>被害妄想 , 大声・奇声 , 暴力 , 暴言 , 不穏</v>
          </cell>
          <cell r="DP24" t="str">
            <v>可能</v>
          </cell>
          <cell r="DQ24" t="str">
            <v>可能</v>
          </cell>
          <cell r="DR24" t="str">
            <v>認知機能はアルツハイマー型認知症があり、短期記憶が出来ず、その場の話はできるがすぐに忘れて何回も同じことをいう。長谷川式スケール　11点（令和元年9月）
また時折スイッチが入ると不穏状態が強くなり、他の利用者や職員に対して、大声を出したり暴言を言われることがある。以前は利用者様と言い合いになった際に手が出てしまったことはあったが最近では見られない。
廊下の徘徊や、空腹感により他の利用者の居室を訪問し、冷蔵庫や棚にある食べ物を勝手に食べてしまう。</v>
          </cell>
          <cell r="DU24" t="str">
            <v>入力</v>
          </cell>
          <cell r="DV24" t="str">
            <v>何かにつかまればできる</v>
          </cell>
          <cell r="DW24" t="str">
            <v>何かにつかまればできる</v>
          </cell>
          <cell r="DX24" t="str">
            <v>できる</v>
          </cell>
          <cell r="DY24" t="str">
            <v>何かにつかまればできる</v>
          </cell>
          <cell r="DZ24" t="str">
            <v>支えなしでできる</v>
          </cell>
          <cell r="EA24" t="str">
            <v>自立</v>
          </cell>
          <cell r="EB24" t="str">
            <v>自立</v>
          </cell>
          <cell r="EC24" t="str">
            <v>独歩</v>
          </cell>
          <cell r="ED24" t="str">
            <v>自立</v>
          </cell>
          <cell r="EE24" t="str">
            <v>独歩</v>
          </cell>
          <cell r="EF24" t="str">
            <v>起居動作、移動ともに特に問題はなく安定されている。</v>
          </cell>
          <cell r="EH24" t="str">
            <v>入力</v>
          </cell>
          <cell r="EI24" t="str">
            <v>入力</v>
          </cell>
          <cell r="EJ24" t="str">
            <v>経口摂取</v>
          </cell>
          <cell r="EK24" t="str">
            <v>自立</v>
          </cell>
          <cell r="EL24" t="str">
            <v>できる</v>
          </cell>
          <cell r="EM24" t="str">
            <v>軟飯</v>
          </cell>
          <cell r="EN24" t="str">
            <v>普通</v>
          </cell>
          <cell r="EO24" t="str">
            <v>無</v>
          </cell>
          <cell r="EP24" t="str">
            <v>無</v>
          </cell>
          <cell r="EQ24" t="str">
            <v>箸 , スプーン</v>
          </cell>
          <cell r="ER24" t="str">
            <v>食事も特に問題は見られない。普段から空腹感が強いため主食は大盛としている。また今回入院先で血液検査等を行ったところ、栄養状態が悪いと指摘があった。</v>
          </cell>
          <cell r="ET24" t="str">
            <v>入力</v>
          </cell>
          <cell r="EU24" t="str">
            <v>自立</v>
          </cell>
          <cell r="EV24" t="str">
            <v>無</v>
          </cell>
          <cell r="EW24" t="str">
            <v>有</v>
          </cell>
          <cell r="EX24" t="str">
            <v>総義歯</v>
          </cell>
          <cell r="EY24" t="str">
            <v>上下</v>
          </cell>
          <cell r="EZ24" t="str">
            <v>自歯はなく総義歯となっている。本人曰く、義歯の洗浄は、義歯を外して歯ブラシを使用して水洗いを行っている。と言われている。認知症も重度のため毎日洗浄ができているかは不明。
ご家族様より、口腔ケア・チェックを訪問歯科に依頼の希望があったため、ナカハマデンタルに依頼を行う。</v>
          </cell>
          <cell r="FB24" t="str">
            <v>入力</v>
          </cell>
          <cell r="FC24" t="str">
            <v>一部介助</v>
          </cell>
          <cell r="FD24" t="str">
            <v>チェアー浴</v>
          </cell>
          <cell r="FE24" t="str">
            <v>無</v>
          </cell>
          <cell r="FG24" t="str">
            <v>自立</v>
          </cell>
          <cell r="FH24" t="str">
            <v>見守り</v>
          </cell>
          <cell r="FI24" t="str">
            <v>入浴はデイサービス利用時に大浴場にて入浴されているが、背中など自身で洗えない部分については介助を受けているものの、概ね自立して可能。
更衣は上衣は自立で可能だが下衣は見守りが必要な状態。</v>
          </cell>
          <cell r="FK24" t="str">
            <v>入力</v>
          </cell>
          <cell r="FL24" t="str">
            <v>自立</v>
          </cell>
          <cell r="FM24" t="str">
            <v>有</v>
          </cell>
          <cell r="FN24" t="str">
            <v>無</v>
          </cell>
          <cell r="FO24" t="str">
            <v>有</v>
          </cell>
          <cell r="FP24" t="str">
            <v>無</v>
          </cell>
          <cell r="FR24" t="str">
            <v>トイレ</v>
          </cell>
          <cell r="FS24" t="str">
            <v>トイレ</v>
          </cell>
          <cell r="FT24" t="str">
            <v>リハビリパンツ</v>
          </cell>
          <cell r="FU24" t="str">
            <v>排泄はトイレでご自身で行えている。現状失禁もなく過ごされている。</v>
          </cell>
          <cell r="FX24" t="str">
            <v>入力</v>
          </cell>
          <cell r="FY24" t="str">
            <v>全介助</v>
          </cell>
          <cell r="FZ24" t="str">
            <v>全介助</v>
          </cell>
          <cell r="GA24" t="str">
            <v>全介助</v>
          </cell>
          <cell r="GB24" t="str">
            <v>全介助</v>
          </cell>
          <cell r="GC24" t="str">
            <v>全介助</v>
          </cell>
          <cell r="GD24" t="str">
            <v>ご家族様の支援や、施設サービスを利用して過ごされている。</v>
          </cell>
          <cell r="GG24" t="str">
            <v>特になし。</v>
          </cell>
          <cell r="GH24">
            <v>30</v>
          </cell>
        </row>
        <row r="25">
          <cell r="C25" t="str">
            <v>坂下　惠子</v>
          </cell>
          <cell r="D25" t="str">
            <v>857ad30f</v>
          </cell>
          <cell r="I25">
            <v>45616</v>
          </cell>
          <cell r="J25" t="str">
            <v>山川　和輝</v>
          </cell>
          <cell r="K25" t="str">
            <v>更新</v>
          </cell>
          <cell r="L25" t="str">
            <v>本人の居室</v>
          </cell>
          <cell r="M25" t="str">
            <v>自宅で独居生活。近くに暮らす長女様が買い物等の支援を行っている。現病歴は骨粗鬆症と高血圧があり、定期的に病院受診をしている。昨年３月、コロナワクチン接種の副作用で高熱が続き、それ以来食欲が減退し食事をしっかりとることができなくなり、体重が減少し下肢筋力も低下している。そのため、動くことも少なくなり、人と接する機会も減っている。このままではどんどん体重が減少し、寝たきりになってしまうのでは。と家族は心配しているおり、安濃津ろまんへ入居することとなった。</v>
          </cell>
          <cell r="N25" t="str">
            <v>動いた時に息苦しさが強く心配ですが、先生からはしっかり食事を食べて、しっかり運動するようにと言われていますので、頑張っています。</v>
          </cell>
          <cell r="O25" t="str">
            <v>体力が落ちて行かないか心配しています。これからも安心してここで生活してもらいたいと思います。</v>
          </cell>
          <cell r="Q25" t="str">
            <v>入力</v>
          </cell>
          <cell r="R25" t="str">
            <v>要介護１</v>
          </cell>
          <cell r="S25" t="str">
            <v>令和6年11月7日</v>
          </cell>
          <cell r="T25" t="str">
            <v>令和6年11月1日</v>
          </cell>
          <cell r="U25" t="str">
            <v>令和9年10月31日</v>
          </cell>
          <cell r="V25" t="str">
            <v>１割負担</v>
          </cell>
          <cell r="W25" t="str">
            <v>後期高齢者医療保険</v>
          </cell>
          <cell r="X25" t="str">
            <v>無</v>
          </cell>
          <cell r="Z25" t="str">
            <v>無</v>
          </cell>
          <cell r="AA25" t="str">
            <v>無</v>
          </cell>
          <cell r="AB25" t="str">
            <v>A2</v>
          </cell>
          <cell r="AC25" t="str">
            <v>Ⅱa</v>
          </cell>
          <cell r="AE25" t="str">
            <v>入力</v>
          </cell>
          <cell r="AF25" t="str">
            <v>佐野　佳子</v>
          </cell>
          <cell r="AG25" t="str">
            <v>長女</v>
          </cell>
          <cell r="AI25" t="str">
            <v>別居</v>
          </cell>
          <cell r="AJ25" t="str">
            <v>介護する</v>
          </cell>
          <cell r="AK25" t="str">
            <v>無</v>
          </cell>
          <cell r="AL25" t="str">
            <v>090-3155-1556</v>
          </cell>
          <cell r="AM25" t="str">
            <v>KP</v>
          </cell>
          <cell r="AW25" t="str">
            <v>入力</v>
          </cell>
          <cell r="AX25" t="str">
            <v>一人暮らし</v>
          </cell>
          <cell r="AY25" t="str">
            <v>集合住宅</v>
          </cell>
          <cell r="AZ25" t="str">
            <v>エレベーター有</v>
          </cell>
          <cell r="BA25" t="str">
            <v>賃貸</v>
          </cell>
          <cell r="BB25" t="str">
            <v>有</v>
          </cell>
          <cell r="BC25" t="str">
            <v>有</v>
          </cell>
          <cell r="BD25" t="str">
            <v>洋式</v>
          </cell>
          <cell r="BE25" t="str">
            <v>手すり有</v>
          </cell>
          <cell r="BF25" t="str">
            <v>段差無</v>
          </cell>
          <cell r="BG25" t="str">
            <v>有</v>
          </cell>
          <cell r="BH25" t="str">
            <v>手すり有</v>
          </cell>
          <cell r="BI25" t="str">
            <v>リクライニングベッド</v>
          </cell>
          <cell r="BJ25" t="str">
            <v>無</v>
          </cell>
          <cell r="BK25" t="str">
            <v>無</v>
          </cell>
          <cell r="BL25" t="str">
            <v>無</v>
          </cell>
          <cell r="BM25" t="str">
            <v>無</v>
          </cell>
          <cell r="BO25" t="str">
            <v>入力</v>
          </cell>
          <cell r="BP25" t="str">
            <v>訪問看護 , 通所介護</v>
          </cell>
          <cell r="BQ25" t="str">
            <v>手すり , 歩行器</v>
          </cell>
          <cell r="BR25" t="str">
            <v>特になし</v>
          </cell>
          <cell r="BS25" t="str">
            <v>食事支援 , 排泄支援 , リネンリース , 洗濯</v>
          </cell>
          <cell r="BT25" t="str">
            <v>外のデイサービスを利用しており、他の利用者様と交流はあるものの、基本は居室に閉じこもった生活である。</v>
          </cell>
          <cell r="BW25" t="str">
            <v>入力</v>
          </cell>
          <cell r="BX25" t="str">
            <v>廃用症候群</v>
          </cell>
          <cell r="BY25" t="str">
            <v>令和6年9月頃</v>
          </cell>
          <cell r="BZ25" t="str">
            <v>高血圧症</v>
          </cell>
          <cell r="CA25" t="str">
            <v>平成30年頃</v>
          </cell>
          <cell r="CB25" t="str">
            <v>骨粗鬆症</v>
          </cell>
          <cell r="CC25" t="str">
            <v>平成26年頃</v>
          </cell>
          <cell r="CD25" t="str">
            <v>網膜剥離</v>
          </cell>
          <cell r="CE25" t="str">
            <v>不詳</v>
          </cell>
          <cell r="CJ25" t="str">
            <v>毎月、坂倉内科医院へ通院を行っている。また網膜剥離は三木眼科へ、骨粗鬆症はまつおか整形外科を定期的に受診している。
呼吸苦のため三重中央医療センターへ受診を行ったが、異常なくそれ以降通院はなし。</v>
          </cell>
          <cell r="CS25" t="str">
            <v>令和5年3月にコロナワクチン接種を行った際、副作用で高熱が続き、それ以降食欲が減退、それに伴い筋力や体力が低下した。</v>
          </cell>
          <cell r="CX25" t="str">
            <v>入力</v>
          </cell>
          <cell r="CY25" t="str">
            <v>無</v>
          </cell>
          <cell r="CZ25" t="str">
            <v>無</v>
          </cell>
          <cell r="DA25" t="str">
            <v>無</v>
          </cell>
          <cell r="DB25" t="str">
            <v>特になし</v>
          </cell>
          <cell r="DC25" t="str">
            <v>右肩痛みあり</v>
          </cell>
          <cell r="DF25" t="str">
            <v>大きい字は可</v>
          </cell>
          <cell r="DG25" t="str">
            <v>有</v>
          </cell>
          <cell r="DH25" t="str">
            <v>大きい声は可</v>
          </cell>
          <cell r="DI25" t="str">
            <v>無</v>
          </cell>
          <cell r="DJ25" t="str">
            <v>３回目のコロナワクチン接種後に高熱となり、食欲が減退。食事摂取量が少なくなったことで基礎体力や筋力が低下し動くのが億劫となっている。
特に大きな病気はないが、高血圧に対して降圧剤が処方されている。また骨粗鬆症は内服で経過を管理しており今後も継続した受診が必要。
入居当初から動くと息切れが多かったが、最近になりさらに症状が強くなっているため、三重中央医療センターへ受診を行ったが、先生からは特に異常はなく、筋力や体力の低下による廃用症候群で少し動くだけでも息切れが多くなっていると言われた。
食事摂取や運動を積極的に取り入れていく必要がある。</v>
          </cell>
          <cell r="DL25" t="str">
            <v>入力</v>
          </cell>
          <cell r="DM25" t="str">
            <v>無</v>
          </cell>
          <cell r="DO25" t="str">
            <v>無</v>
          </cell>
          <cell r="DP25" t="str">
            <v>可能</v>
          </cell>
          <cell r="DQ25" t="str">
            <v>可能</v>
          </cell>
          <cell r="DR25" t="str">
            <v>認知機能の低下は特に見られていない。</v>
          </cell>
          <cell r="DU25" t="str">
            <v>入力</v>
          </cell>
          <cell r="DV25" t="str">
            <v>何かにつかまればできる</v>
          </cell>
          <cell r="DW25" t="str">
            <v>何かにつかまればできる</v>
          </cell>
          <cell r="DX25" t="str">
            <v>自分の手で支えればできる</v>
          </cell>
          <cell r="DY25" t="str">
            <v>何かにつかまればできる</v>
          </cell>
          <cell r="DZ25" t="str">
            <v>何か支えがあればできる</v>
          </cell>
          <cell r="EA25" t="str">
            <v>自立</v>
          </cell>
          <cell r="EB25" t="str">
            <v>自立</v>
          </cell>
          <cell r="EC25" t="str">
            <v>歩行器</v>
          </cell>
          <cell r="ED25" t="str">
            <v>見守り</v>
          </cell>
          <cell r="EE25" t="str">
            <v>歩行器</v>
          </cell>
          <cell r="EF25" t="str">
            <v>起き上がりはベッドをギャッジアップし手すりを用いて行っている。起き上がりやすいからと常にベッドは20度程度ギャッジアップされている。
移動はシルバーカーを用いることで可能だが、20ｍ程度歩行を行うと息切れが多くなるため休みながら移動される。</v>
          </cell>
          <cell r="EH25" t="str">
            <v>入力</v>
          </cell>
          <cell r="EI25" t="str">
            <v>入力</v>
          </cell>
          <cell r="EJ25" t="str">
            <v>経口摂取</v>
          </cell>
          <cell r="EK25" t="str">
            <v>自立</v>
          </cell>
          <cell r="EL25" t="str">
            <v>できる</v>
          </cell>
          <cell r="EM25" t="str">
            <v>軟飯</v>
          </cell>
          <cell r="EN25" t="str">
            <v>普通</v>
          </cell>
          <cell r="EO25" t="str">
            <v>無</v>
          </cell>
          <cell r="EP25" t="str">
            <v>無</v>
          </cell>
          <cell r="EQ25" t="str">
            <v>箸 , スプーン</v>
          </cell>
          <cell r="ER25" t="str">
            <v>食事形態は主食：軟飯、副食：普通食となっている。摂取量はムラがあり少ない時は3割程度しか食べられない。
嚥下状態は特に問題は見られない。</v>
          </cell>
          <cell r="ET25" t="str">
            <v>入力</v>
          </cell>
          <cell r="EU25" t="str">
            <v>自立</v>
          </cell>
          <cell r="EV25" t="str">
            <v>有</v>
          </cell>
          <cell r="EW25" t="str">
            <v>無</v>
          </cell>
          <cell r="EZ25" t="str">
            <v>口腔ケアはご自身で行えているものの、握力や手の力が少なく歯ブラシを把持することがやや難しい。現状はご自身で行えているが、今後は自助具等の検討も行う必要がある。</v>
          </cell>
          <cell r="FB25" t="str">
            <v>入力</v>
          </cell>
          <cell r="FC25" t="str">
            <v>見守り</v>
          </cell>
          <cell r="FD25" t="str">
            <v>一般浴</v>
          </cell>
          <cell r="FE25" t="str">
            <v>無</v>
          </cell>
          <cell r="FG25" t="str">
            <v>自立</v>
          </cell>
          <cell r="FH25" t="str">
            <v>見守り</v>
          </cell>
          <cell r="FI25" t="str">
            <v>入浴は現在ヘルパー支援を利用し個浴に入っている。入浴動作や更衣はご自身で行うことができている。</v>
          </cell>
          <cell r="FK25" t="str">
            <v>入力</v>
          </cell>
          <cell r="FL25" t="str">
            <v>自立</v>
          </cell>
          <cell r="FM25" t="str">
            <v>有</v>
          </cell>
          <cell r="FN25" t="str">
            <v>無</v>
          </cell>
          <cell r="FO25" t="str">
            <v>有</v>
          </cell>
          <cell r="FP25" t="str">
            <v>無</v>
          </cell>
          <cell r="FR25" t="str">
            <v>トイレ</v>
          </cell>
          <cell r="FS25" t="str">
            <v>トイレ</v>
          </cell>
          <cell r="FU25" t="str">
            <v>排泄はトイレで行えており、尿意便意も問題なく失禁もなし。
下着は布パンツを使用されている。</v>
          </cell>
          <cell r="FX25" t="str">
            <v>入力</v>
          </cell>
          <cell r="FY25" t="str">
            <v>一部介助</v>
          </cell>
          <cell r="FZ25" t="str">
            <v>一部介助</v>
          </cell>
          <cell r="GA25" t="str">
            <v>一部介助</v>
          </cell>
          <cell r="GB25" t="str">
            <v>一部介助</v>
          </cell>
          <cell r="GC25" t="str">
            <v>一部介助</v>
          </cell>
          <cell r="GD25" t="str">
            <v>入居前までは、家事等はすべてご自身で行っており、入居してからも自分でできることは続けていたが、最近ではIADLはご家族様の手助けのもと行ったり施設サービスを利用されている。</v>
          </cell>
          <cell r="GH25">
            <v>30</v>
          </cell>
        </row>
        <row r="26">
          <cell r="C26" t="str">
            <v>岡本　文子</v>
          </cell>
          <cell r="D26" t="str">
            <v>6037fc44</v>
          </cell>
          <cell r="I26">
            <v>45635</v>
          </cell>
          <cell r="J26" t="str">
            <v>山川　和輝</v>
          </cell>
          <cell r="K26" t="str">
            <v>新規</v>
          </cell>
          <cell r="L26" t="str">
            <v>入院先の病院</v>
          </cell>
          <cell r="M26" t="str">
            <v>もともと自宅で夫と次男と3人で暮らしていた。10月4日に体動が困難となり、10月5日に津生協病院へ搬送され入院。もともと転倒も多くあったり、左大腿骨転子部に褥瘡もあり廃用症候群と診断があった。また軽度の尿路感染症もあり治療にて改善。褥瘡は改善傾向にあるものの、治療の継続が必要であり、また認知機能の低下や、現在の生活状況では自宅で過ごすことは困難であり、旦那様と一緒に入居できる施設を探し安濃津ろまんへ入居することとなった。</v>
          </cell>
          <cell r="N26" t="str">
            <v>認知機能の低下により聴取が困難であった。</v>
          </cell>
          <cell r="AE26" t="str">
            <v>入力</v>
          </cell>
          <cell r="AF26" t="str">
            <v>岡本　敦</v>
          </cell>
          <cell r="AG26" t="str">
            <v>夫</v>
          </cell>
          <cell r="AI26" t="str">
            <v>同居</v>
          </cell>
          <cell r="AJ26" t="str">
            <v>介護する</v>
          </cell>
          <cell r="AK26" t="str">
            <v>無</v>
          </cell>
          <cell r="AM26" t="str">
            <v>同居</v>
          </cell>
          <cell r="AN26" t="str">
            <v>岡本　恒</v>
          </cell>
          <cell r="AO26" t="str">
            <v>次男</v>
          </cell>
          <cell r="AQ26" t="str">
            <v>別居</v>
          </cell>
          <cell r="AR26" t="str">
            <v>介護する</v>
          </cell>
          <cell r="AT26" t="str">
            <v>090-4401-4114</v>
          </cell>
          <cell r="AU26" t="str">
            <v>KP</v>
          </cell>
          <cell r="AW26" t="str">
            <v>入力</v>
          </cell>
          <cell r="AX26" t="str">
            <v>家族同居</v>
          </cell>
          <cell r="AY26" t="str">
            <v>集合住宅</v>
          </cell>
          <cell r="AZ26" t="str">
            <v>エレベーター有</v>
          </cell>
          <cell r="BA26" t="str">
            <v>賃貸</v>
          </cell>
          <cell r="BB26" t="str">
            <v>有</v>
          </cell>
          <cell r="BC26" t="str">
            <v>有</v>
          </cell>
          <cell r="BD26" t="str">
            <v>洋式</v>
          </cell>
          <cell r="BE26" t="str">
            <v>手すり有</v>
          </cell>
          <cell r="BF26" t="str">
            <v>段差無</v>
          </cell>
          <cell r="BG26" t="str">
            <v>有</v>
          </cell>
          <cell r="BH26" t="str">
            <v>手すり有</v>
          </cell>
          <cell r="BI26" t="str">
            <v>リクライニングベッド</v>
          </cell>
          <cell r="BJ26" t="str">
            <v>無</v>
          </cell>
          <cell r="BK26" t="str">
            <v>無</v>
          </cell>
          <cell r="BL26" t="str">
            <v>無</v>
          </cell>
          <cell r="BM26" t="str">
            <v>無</v>
          </cell>
          <cell r="BO26" t="str">
            <v>入力</v>
          </cell>
          <cell r="BW26" t="str">
            <v>入力</v>
          </cell>
          <cell r="BX26" t="str">
            <v>廃用症候群</v>
          </cell>
          <cell r="BY26" t="str">
            <v>令和6年10月5日</v>
          </cell>
          <cell r="BZ26" t="str">
            <v>慢性心不全</v>
          </cell>
          <cell r="CA26" t="str">
            <v>不詳</v>
          </cell>
          <cell r="CB26" t="str">
            <v>高血圧症</v>
          </cell>
          <cell r="CC26" t="str">
            <v>不詳</v>
          </cell>
          <cell r="CJ26" t="str">
            <v>もともと津生協病院が主治医で通院を行っていたが、今後は往診に切り替わる。</v>
          </cell>
          <cell r="CS26" t="str">
            <v>その他、喘息や腎機能障害、高カリウム血症などの既往がある。また左大腿骨転子部に褥瘡あり。
食物、薬剤のアレルギーはなし。</v>
          </cell>
          <cell r="CT26" t="str">
            <v>・トラセミドOD錠4mg「TF」（利尿）
・アムロジピンOD錠5mg「トーワ」（降圧）
・アミティーザカプセル12μg（下剤）
・クエン酸第一鉄Na錠50mg「サワイ」（造血）
袋の開封や口まで服薬を運ぶ介助が必要。入居後はローレル薬局を契約。</v>
          </cell>
          <cell r="CX26" t="str">
            <v>入力</v>
          </cell>
          <cell r="CY26" t="str">
            <v>床ずれ</v>
          </cell>
          <cell r="CZ26" t="str">
            <v>無</v>
          </cell>
          <cell r="DA26" t="str">
            <v>無</v>
          </cell>
          <cell r="DB26" t="str">
            <v>特になし。</v>
          </cell>
          <cell r="DC26" t="str">
            <v>褥瘡部</v>
          </cell>
          <cell r="DD26">
            <v>140</v>
          </cell>
          <cell r="DE26">
            <v>43</v>
          </cell>
          <cell r="DF26" t="str">
            <v>大きい字は可</v>
          </cell>
          <cell r="DG26" t="str">
            <v>無</v>
          </cell>
          <cell r="DH26" t="str">
            <v>大きい声は可</v>
          </cell>
          <cell r="DI26" t="str">
            <v>無</v>
          </cell>
          <cell r="DJ26" t="str">
            <v>難聴があり大きな声でお話しする必要がある。
左大腿骨転子部に褥瘡（12/5時点で1.5㎝×2㎝）があり改善傾向であるものの治療の継続が必要。治療内容は、洗浄後、ワセリン塗布、ガーゼ保護（1回/日）
入院中に尿路感染症は完治しており、高K血症もデータの改善が見られている。
90歳を超えており、心不全等の精査や治療などは行っていないが、浮腫もなく概ね病状は安定されている。
体重推移の把握は必要。</v>
          </cell>
          <cell r="DL26" t="str">
            <v>入力</v>
          </cell>
          <cell r="DM26" t="str">
            <v>有</v>
          </cell>
          <cell r="DN26" t="str">
            <v>中等度</v>
          </cell>
          <cell r="DO26" t="str">
            <v>介護抵抗</v>
          </cell>
          <cell r="DP26" t="str">
            <v>不明瞭</v>
          </cell>
          <cell r="DQ26" t="str">
            <v>やや不自由</v>
          </cell>
          <cell r="DR26" t="str">
            <v>認知機能の低下が強く、意思の疎通は可能だが難しい内容は理解が困難。離床を伴うリハビリやめんどくさいことを嫌い、介護抵抗が見られるものの、手が出たりすることはない。
本人の意思を確認すると、イヤ、イヤ言うため、病院職員はやや強引に誘導している。</v>
          </cell>
          <cell r="DU26" t="str">
            <v>入力</v>
          </cell>
          <cell r="DV26" t="str">
            <v>できない</v>
          </cell>
          <cell r="DW26" t="str">
            <v>できない</v>
          </cell>
          <cell r="DX26" t="str">
            <v>支えてもらえればできる</v>
          </cell>
          <cell r="DY26" t="str">
            <v>できない</v>
          </cell>
          <cell r="DZ26" t="str">
            <v>できない</v>
          </cell>
          <cell r="EA26" t="str">
            <v>全介助</v>
          </cell>
          <cell r="EB26" t="str">
            <v>全介助</v>
          </cell>
          <cell r="EC26" t="str">
            <v>車椅子</v>
          </cell>
          <cell r="ED26" t="str">
            <v>全介助</v>
          </cell>
          <cell r="EE26" t="str">
            <v>車椅子</v>
          </cell>
          <cell r="EF26" t="str">
            <v>起居動作はご自身で時間を要せばできるときと、出来ないときでムラがあり、頻度的には出来ないことが多い。
ただ、急にスイッチが入り起き上がってしまうこともあり、12月4日にベッドから転落されているため病院では見守りセンサーを使用している。
起居動作はご自身で行うことが出来ないことが多いため、全介助を要す。
移動は車いすを使用されているが、20分程度で疲労により前方へ臀部がズレ姿勢が崩れる。最長1時間程度の車いす座位は何とか可能。
食事の待ち時間が苦痛なため、配慮が必要。
左大腿骨転子部に褥瘡があるものの、ご自身で体位交換が行えないことが多いため定時で体位交換が必要。</v>
          </cell>
          <cell r="EH26" t="str">
            <v>入力</v>
          </cell>
          <cell r="EI26" t="str">
            <v>入力</v>
          </cell>
          <cell r="EJ26" t="str">
            <v>経口摂取</v>
          </cell>
          <cell r="EK26" t="str">
            <v>自立</v>
          </cell>
          <cell r="EL26" t="str">
            <v>できる</v>
          </cell>
          <cell r="EM26" t="str">
            <v>軟飯</v>
          </cell>
          <cell r="EN26" t="str">
            <v>一口大</v>
          </cell>
          <cell r="EO26" t="str">
            <v>無</v>
          </cell>
          <cell r="EP26" t="str">
            <v>無</v>
          </cell>
          <cell r="EQ26" t="str">
            <v>スプーン</v>
          </cell>
          <cell r="ER26" t="str">
            <v>食事は経口摂取が可能で、トロミもなくむせ込みもない。
疲労しやすいため、副食は一口大にし食べやすいように工夫している。
主食は概ね全量摂取されるが、副食の摂取量はムラがあり2割～7割程度となっている。</v>
          </cell>
          <cell r="ET26" t="str">
            <v>入力</v>
          </cell>
          <cell r="EU26" t="str">
            <v>全介助</v>
          </cell>
          <cell r="EV26" t="str">
            <v>無</v>
          </cell>
          <cell r="EW26" t="str">
            <v>有</v>
          </cell>
          <cell r="EX26" t="str">
            <v>総義歯</v>
          </cell>
          <cell r="EY26" t="str">
            <v>上下</v>
          </cell>
          <cell r="EZ26" t="str">
            <v>自歯はなく上下ともに総義歯となっている。ご自身で洗浄することは不可能なため介助が必要。</v>
          </cell>
          <cell r="FB26" t="str">
            <v>入力</v>
          </cell>
          <cell r="FC26" t="str">
            <v>全介助</v>
          </cell>
          <cell r="FD26" t="str">
            <v>寝台浴</v>
          </cell>
          <cell r="FE26" t="str">
            <v>無</v>
          </cell>
          <cell r="FG26" t="str">
            <v>全介助</v>
          </cell>
          <cell r="FH26" t="str">
            <v>全介助</v>
          </cell>
          <cell r="FI26" t="str">
            <v>入浴は寝台浴にて全介助を要す。更衣は協力動作はあるもののほとんど介助を行っている。</v>
          </cell>
          <cell r="FK26" t="str">
            <v>入力</v>
          </cell>
          <cell r="FL26" t="str">
            <v>全介助</v>
          </cell>
          <cell r="FN26" t="str">
            <v>有</v>
          </cell>
          <cell r="FP26" t="str">
            <v>有</v>
          </cell>
          <cell r="FR26" t="str">
            <v>オムツ</v>
          </cell>
          <cell r="FS26" t="str">
            <v>オムツ</v>
          </cell>
          <cell r="FT26" t="str">
            <v>紙おむつ , 大パット</v>
          </cell>
          <cell r="FU26" t="str">
            <v>排泄は終日オムツ対応となっており、定期的にパット交換を行う必要がある。</v>
          </cell>
          <cell r="FX26" t="str">
            <v>入力</v>
          </cell>
          <cell r="FY26" t="str">
            <v>全介助</v>
          </cell>
          <cell r="FZ26" t="str">
            <v>全介助</v>
          </cell>
          <cell r="GA26" t="str">
            <v>全介助</v>
          </cell>
          <cell r="GB26" t="str">
            <v>全介助</v>
          </cell>
          <cell r="GC26" t="str">
            <v>全介助</v>
          </cell>
          <cell r="GD26" t="str">
            <v>IADLはすべて全介助となっている。</v>
          </cell>
          <cell r="GG26" t="str">
            <v>旦那様と2人部屋に入居される。
常に見守りがある状況のため、見守りセンサー等は使用しない。
旦那様の介護負担軽減を目的にデイサービスを多めに利用したいところではあるが、易疲労のため検討が必要。</v>
          </cell>
          <cell r="GH26">
            <v>30</v>
          </cell>
        </row>
        <row r="27">
          <cell r="C27" t="str">
            <v>池村　洋子</v>
          </cell>
          <cell r="D27" t="str">
            <v>e5230e22</v>
          </cell>
          <cell r="I27">
            <v>45640</v>
          </cell>
          <cell r="J27" t="str">
            <v>山川　和輝</v>
          </cell>
          <cell r="K27" t="str">
            <v>更新</v>
          </cell>
          <cell r="L27" t="str">
            <v>本人の居室</v>
          </cell>
          <cell r="M27" t="str">
            <v>もともと自宅で夫と二人で生活保護を受けながら生活されていたが、令和3年10月頃に自宅でごみを燃やしていた際に火の中へ転倒。脳梗塞後遺症におり左半側空間無視があったため、服に火が燃え移っていることに気が付かず、大やけどを負ってしまい三重大学病院に搬送。その後、三重中央医療センターや三重病院を経て、令和4年4月23日に安濃津ろまんへ入居となる。</v>
          </cell>
          <cell r="N27" t="str">
            <v>このままここで生活したいです。</v>
          </cell>
          <cell r="O27" t="str">
            <v>安心できる環境で生活してほしいと思っています。</v>
          </cell>
          <cell r="Q27" t="str">
            <v>入力</v>
          </cell>
          <cell r="R27" t="str">
            <v>要介護１</v>
          </cell>
          <cell r="S27" t="str">
            <v>令和6年12月12日</v>
          </cell>
          <cell r="T27" t="str">
            <v>令和7年1月1日</v>
          </cell>
          <cell r="U27" t="str">
            <v>令和8年12月31日</v>
          </cell>
          <cell r="V27" t="str">
            <v>１割負担</v>
          </cell>
          <cell r="W27" t="str">
            <v>生活保護</v>
          </cell>
          <cell r="X27" t="str">
            <v>無</v>
          </cell>
          <cell r="Z27" t="str">
            <v>無</v>
          </cell>
          <cell r="AA27" t="str">
            <v>有</v>
          </cell>
          <cell r="AE27" t="str">
            <v>入力</v>
          </cell>
          <cell r="AF27" t="str">
            <v>池村　光明</v>
          </cell>
          <cell r="AG27" t="str">
            <v>夫</v>
          </cell>
          <cell r="AI27" t="str">
            <v>別居</v>
          </cell>
          <cell r="AJ27" t="str">
            <v>介護しない</v>
          </cell>
          <cell r="AK27" t="str">
            <v>無</v>
          </cell>
          <cell r="AL27" t="str">
            <v>090-8950-3974</v>
          </cell>
          <cell r="AM27" t="str">
            <v>KP。介護サービスを受けている。</v>
          </cell>
          <cell r="AW27" t="str">
            <v>入力</v>
          </cell>
          <cell r="AX27" t="str">
            <v>一人暮らし</v>
          </cell>
          <cell r="AY27" t="str">
            <v>集合住宅</v>
          </cell>
          <cell r="AZ27" t="str">
            <v>エレベーター有</v>
          </cell>
          <cell r="BA27" t="str">
            <v>賃貸</v>
          </cell>
          <cell r="BB27" t="str">
            <v>有</v>
          </cell>
          <cell r="BC27" t="str">
            <v>有</v>
          </cell>
          <cell r="BD27" t="str">
            <v>洋式</v>
          </cell>
          <cell r="BE27" t="str">
            <v>手すり有</v>
          </cell>
          <cell r="BF27" t="str">
            <v>段差無</v>
          </cell>
          <cell r="BG27" t="str">
            <v>有</v>
          </cell>
          <cell r="BH27" t="str">
            <v>手すり有</v>
          </cell>
          <cell r="BI27" t="str">
            <v>リクライニングベッド</v>
          </cell>
          <cell r="BJ27" t="str">
            <v>無</v>
          </cell>
          <cell r="BK27" t="str">
            <v>無</v>
          </cell>
          <cell r="BL27" t="str">
            <v>無</v>
          </cell>
          <cell r="BM27" t="str">
            <v>無</v>
          </cell>
          <cell r="BO27" t="str">
            <v>入力</v>
          </cell>
          <cell r="BP27" t="str">
            <v>訪問介護 , 訪問看護 , 通所介護</v>
          </cell>
          <cell r="BQ27" t="str">
            <v>歩行器</v>
          </cell>
          <cell r="BS27" t="str">
            <v>食事支援 , 排泄支援 , リネンリース , 洗濯</v>
          </cell>
          <cell r="BT27" t="str">
            <v>デイサービスでも他の利用者様と積極的に交流している。</v>
          </cell>
          <cell r="BW27" t="str">
            <v>入力</v>
          </cell>
          <cell r="BX27" t="str">
            <v>脳梗塞</v>
          </cell>
          <cell r="BY27" t="str">
            <v>不詳</v>
          </cell>
          <cell r="BZ27" t="str">
            <v>Ⅱ型糖尿病</v>
          </cell>
          <cell r="CA27" t="str">
            <v>不詳</v>
          </cell>
          <cell r="CB27" t="str">
            <v>高血圧症</v>
          </cell>
          <cell r="CC27" t="str">
            <v>不詳</v>
          </cell>
          <cell r="CD27" t="str">
            <v>不眠症</v>
          </cell>
          <cell r="CE27" t="str">
            <v>不詳</v>
          </cell>
          <cell r="CF27" t="str">
            <v>便秘症</v>
          </cell>
          <cell r="CG27" t="str">
            <v>不詳</v>
          </cell>
          <cell r="CJ27" t="str">
            <v>現在は往診のみとなっている。</v>
          </cell>
          <cell r="CS27" t="str">
            <v>下肢火傷や脳梗塞の後遺症により注意機能障害や半側空間無視がある。</v>
          </cell>
          <cell r="CT27" t="str">
            <v>お薬の内容についてはお薬手帳を参照。
服薬管理は、ローレル薬局で行い内服は職員が袋を開封しご本人様にお渡ししている。
下剤（マグミット錠）や睡眠薬（ベルソムラ錠）も内服されている。</v>
          </cell>
          <cell r="CX27" t="str">
            <v>入力</v>
          </cell>
          <cell r="CZ27" t="str">
            <v>無</v>
          </cell>
          <cell r="DA27" t="str">
            <v>無</v>
          </cell>
          <cell r="DB27" t="str">
            <v>左側にやや麻痺あり</v>
          </cell>
          <cell r="DC27" t="str">
            <v>特になし。</v>
          </cell>
          <cell r="DF27" t="str">
            <v>正常</v>
          </cell>
          <cell r="DG27" t="str">
            <v>無</v>
          </cell>
          <cell r="DH27" t="str">
            <v>正常</v>
          </cell>
          <cell r="DI27" t="str">
            <v>無</v>
          </cell>
          <cell r="DJ27" t="str">
            <v>脳梗塞の後遺症により左半側空間無視が見られる。麻痺はほとんどないが、左側の細かい動きはぎこちない。
両下肢の火傷については、皮膚状態は良くなっており、現在は保湿目的でワセリン等を塗布している。
Ⅱ型糖尿病があり、内服や食事を糖尿病食に変更し対応している。
主治医は加藤医院で定期的に往診を受けており、また週1回訪問看護ステーションが健康チェック等の支援に入ることで健康状態は比較的良好。</v>
          </cell>
          <cell r="DL27" t="str">
            <v>入力</v>
          </cell>
          <cell r="DM27" t="str">
            <v>有</v>
          </cell>
          <cell r="DN27" t="str">
            <v>軽度</v>
          </cell>
          <cell r="DO27" t="str">
            <v>大声・奇声 , 暴言</v>
          </cell>
          <cell r="DP27" t="str">
            <v>可能</v>
          </cell>
          <cell r="DQ27" t="str">
            <v>可能</v>
          </cell>
          <cell r="DR27" t="str">
            <v>認知機能は年相応にやや低下が見られるものの、施設での生活で支障が出るほどではない。
もともとの性格か声が大きかったり暴言のような発言も見られている。</v>
          </cell>
          <cell r="DU27" t="str">
            <v>入力</v>
          </cell>
          <cell r="DV27" t="str">
            <v>何かにつかまればできる</v>
          </cell>
          <cell r="DW27" t="str">
            <v>何かにつかまればできる</v>
          </cell>
          <cell r="DX27" t="str">
            <v>自分の手で支えればできる</v>
          </cell>
          <cell r="DY27" t="str">
            <v>何かにつかまればできる</v>
          </cell>
          <cell r="DZ27" t="str">
            <v>何か支えがあればできる</v>
          </cell>
          <cell r="EA27" t="str">
            <v>自立</v>
          </cell>
          <cell r="EB27" t="str">
            <v>自立</v>
          </cell>
          <cell r="EC27" t="str">
            <v>歩行器</v>
          </cell>
          <cell r="ED27" t="str">
            <v>全介助</v>
          </cell>
          <cell r="EE27" t="str">
            <v>歩行器</v>
          </cell>
          <cell r="EF27" t="str">
            <v>起居動作はなにかにつかまることでご自身で行うことができている。
移動は歩行器を使用し歩行されているものの、左側にやや麻痺があり歩行器の操作は不十分。また左半側空間無視もあることから大勢がいる場所を歩行する際は他の方に接触する可能性もあるため注意が必要。</v>
          </cell>
          <cell r="EH27" t="str">
            <v>入力</v>
          </cell>
          <cell r="EI27" t="str">
            <v>入力</v>
          </cell>
          <cell r="EJ27" t="str">
            <v>経口摂取</v>
          </cell>
          <cell r="EK27" t="str">
            <v>自立</v>
          </cell>
          <cell r="EL27" t="str">
            <v>できる</v>
          </cell>
          <cell r="EM27" t="str">
            <v>普通</v>
          </cell>
          <cell r="EN27" t="str">
            <v>普通</v>
          </cell>
          <cell r="EO27" t="str">
            <v>無</v>
          </cell>
          <cell r="EP27" t="str">
            <v>無</v>
          </cell>
          <cell r="EQ27" t="str">
            <v>箸 , スプーン</v>
          </cell>
          <cell r="ER27" t="str">
            <v>食事は糖尿常食を提供。食事形態は普通食で嚥下も特に問題は見られない。左半側空間無視があるものの食事はご自身ですべて完食されている。</v>
          </cell>
          <cell r="ET27" t="str">
            <v>入力</v>
          </cell>
          <cell r="EU27" t="str">
            <v>自立</v>
          </cell>
          <cell r="GH27">
            <v>30</v>
          </cell>
        </row>
        <row r="28">
          <cell r="C28" t="str">
            <v>稲垣　茂</v>
          </cell>
          <cell r="D28" t="str">
            <v>becf9482</v>
          </cell>
          <cell r="I28">
            <v>45643</v>
          </cell>
          <cell r="J28" t="str">
            <v>山川　和輝</v>
          </cell>
          <cell r="K28" t="str">
            <v>新規</v>
          </cell>
          <cell r="L28" t="str">
            <v>入院先の病院</v>
          </cell>
          <cell r="M28" t="str">
            <v>結婚歴や子供はなく、母親と二人暮らしをしていたが、4年前に母親が骨折して入院し、その後サ高住に入居したため一人暮らしになった。30歳で鬱を発症し、仕事を退職。その後、不動産収入と障害年金で生活している。今年9月に糖尿病の治療のため三重中央医療センターに入院し、退院後自宅での生活が難しく再入院。その後、令和2年12月3日にハーモニーハウスに入居。
令和6年1月18日に武内病院を受診し、透析が必要と診断された。しかし、現在の施設では透析を受けながらの生活ができないため、安濃津ろまんへ転居することになった。</v>
          </cell>
          <cell r="N28" t="str">
            <v>健康状態がこれ以上悪化しないように気を付けて生活を継続していきたい。</v>
          </cell>
          <cell r="Q28" t="str">
            <v>入力</v>
          </cell>
          <cell r="R28" t="str">
            <v>要介護１</v>
          </cell>
          <cell r="S28" t="str">
            <v>令和6年10月8日</v>
          </cell>
          <cell r="T28" t="str">
            <v>令和6年10月1日</v>
          </cell>
          <cell r="U28" t="str">
            <v>令和7年9月30日</v>
          </cell>
          <cell r="V28" t="str">
            <v>１割負担</v>
          </cell>
          <cell r="W28" t="str">
            <v>国民健康保険</v>
          </cell>
          <cell r="X28" t="str">
            <v>無</v>
          </cell>
          <cell r="Z28" t="str">
            <v>無</v>
          </cell>
          <cell r="AA28" t="str">
            <v>無</v>
          </cell>
          <cell r="AE28" t="str">
            <v>入力</v>
          </cell>
          <cell r="AF28" t="str">
            <v>みまもり家族　東山</v>
          </cell>
          <cell r="AG28" t="str">
            <v>みまもり家族</v>
          </cell>
          <cell r="AL28" t="str">
            <v>090-5103-4310</v>
          </cell>
          <cell r="AM28" t="str">
            <v>059-228-2256</v>
          </cell>
          <cell r="AW28" t="str">
            <v>入力</v>
          </cell>
          <cell r="AX28" t="str">
            <v>一人暮らし</v>
          </cell>
          <cell r="AY28" t="str">
            <v>集合住宅</v>
          </cell>
          <cell r="AZ28" t="str">
            <v>エレベーター有</v>
          </cell>
          <cell r="BA28" t="str">
            <v>賃貸</v>
          </cell>
          <cell r="BB28" t="str">
            <v>有</v>
          </cell>
          <cell r="BC28" t="str">
            <v>有</v>
          </cell>
          <cell r="BD28" t="str">
            <v>洋式</v>
          </cell>
          <cell r="BE28" t="str">
            <v>手すり有</v>
          </cell>
          <cell r="BF28" t="str">
            <v>段差無</v>
          </cell>
          <cell r="BG28" t="str">
            <v>有</v>
          </cell>
          <cell r="BH28" t="str">
            <v>手すり有</v>
          </cell>
          <cell r="BI28" t="str">
            <v>リクライニングベッド</v>
          </cell>
          <cell r="BJ28" t="str">
            <v>無</v>
          </cell>
          <cell r="BK28" t="str">
            <v>無</v>
          </cell>
          <cell r="BL28" t="str">
            <v>無</v>
          </cell>
          <cell r="BM28" t="str">
            <v>無</v>
          </cell>
          <cell r="BW28" t="str">
            <v>入力</v>
          </cell>
          <cell r="BX28" t="str">
            <v>慢性腎不全</v>
          </cell>
          <cell r="BY28" t="str">
            <v>令和6年1月15日</v>
          </cell>
          <cell r="BZ28" t="str">
            <v>糖尿病（両下肢神経症、網膜症）</v>
          </cell>
          <cell r="CA28" t="str">
            <v>不詳</v>
          </cell>
          <cell r="CB28" t="str">
            <v>ネフローゼ症候群</v>
          </cell>
          <cell r="CC28" t="str">
            <v>不詳</v>
          </cell>
          <cell r="CD28" t="str">
            <v>高血圧症</v>
          </cell>
          <cell r="CE28" t="str">
            <v>不詳</v>
          </cell>
          <cell r="CJ28" t="str">
            <v>退院後は津腎クリニックに透析通院の必要がある。</v>
          </cell>
          <cell r="CS28" t="str">
            <v>30歳の時にうつ病を発症。</v>
          </cell>
          <cell r="CT28" t="str">
            <v>※お薬手帳参照
下剤はご自身で管理されているものの、そのほかの薬は施設管理。</v>
          </cell>
          <cell r="CX28" t="str">
            <v>入力</v>
          </cell>
          <cell r="CY28" t="str">
            <v>湿疹</v>
          </cell>
          <cell r="CZ28" t="str">
            <v>無</v>
          </cell>
          <cell r="DA28" t="str">
            <v>無</v>
          </cell>
          <cell r="DB28" t="str">
            <v>特になし</v>
          </cell>
          <cell r="DC28" t="str">
            <v>特になし</v>
          </cell>
          <cell r="DF28" t="str">
            <v>大きい字は可</v>
          </cell>
          <cell r="DG28" t="str">
            <v>無</v>
          </cell>
          <cell r="DH28" t="str">
            <v>正常</v>
          </cell>
          <cell r="DI28" t="str">
            <v>無</v>
          </cell>
          <cell r="DJ28" t="str">
            <v>透析の通院が必要になる。
糖尿病の合併症により網膜症（レーザー治療済み）や両下肢神経障害が見られる。また腎機能低下で、皮疹ができやすく治りにくい。
両下肢には浮腫があり、水泡や掻痒感もあり軟膏塗布や保護の対応を行っている。</v>
          </cell>
          <cell r="DL28" t="str">
            <v>入力</v>
          </cell>
          <cell r="DM28" t="str">
            <v>無</v>
          </cell>
          <cell r="DO28" t="str">
            <v>無</v>
          </cell>
          <cell r="DP28" t="str">
            <v>可能</v>
          </cell>
          <cell r="DQ28" t="str">
            <v>可能</v>
          </cell>
          <cell r="DR28" t="str">
            <v>60歳で認知機能の低下は見られない。</v>
          </cell>
          <cell r="DU28" t="str">
            <v>入力</v>
          </cell>
          <cell r="DV28" t="str">
            <v>何かにつかまればできる</v>
          </cell>
          <cell r="DW28" t="str">
            <v>何かにつかまればできる</v>
          </cell>
          <cell r="DX28" t="str">
            <v>自分の手で支えればできる</v>
          </cell>
          <cell r="DY28" t="str">
            <v>何かにつかまればできる</v>
          </cell>
          <cell r="DZ28" t="str">
            <v>何か支えがあればできる</v>
          </cell>
          <cell r="EA28" t="str">
            <v>自立</v>
          </cell>
          <cell r="EB28" t="str">
            <v>自立</v>
          </cell>
          <cell r="EC28" t="str">
            <v>車椅子</v>
          </cell>
          <cell r="ED28" t="str">
            <v>一部介助</v>
          </cell>
          <cell r="EE28" t="str">
            <v>車椅子</v>
          </cell>
          <cell r="EF28" t="str">
            <v>起居動作は支持物があれば自立で可能。
移動は車いすを使用されており、移乗や車いすの操作もご自身で行えている。またリハビリでは4点杖を使用して歩行も行えているが、本人はあまり歩く欲はない。</v>
          </cell>
          <cell r="EH28" t="str">
            <v>入力</v>
          </cell>
          <cell r="EI28" t="str">
            <v>入力</v>
          </cell>
          <cell r="EJ28" t="str">
            <v>経口摂取</v>
          </cell>
          <cell r="EK28" t="str">
            <v>自立</v>
          </cell>
          <cell r="EL28" t="str">
            <v>できる</v>
          </cell>
          <cell r="EM28" t="str">
            <v>普通</v>
          </cell>
          <cell r="EN28" t="str">
            <v>普通</v>
          </cell>
          <cell r="EO28" t="str">
            <v>無</v>
          </cell>
          <cell r="EP28" t="str">
            <v>有</v>
          </cell>
          <cell r="EQ28" t="str">
            <v>箸 , スプーン</v>
          </cell>
          <cell r="ER28" t="str">
            <v>食事はご自身で可能。嚥下も問題なし。
主食は大盛でトロミなし。
食事に制限があり塩分控えめ（糖尿病食）となっている。</v>
          </cell>
          <cell r="ET28" t="str">
            <v>入力</v>
          </cell>
          <cell r="EU28" t="str">
            <v>自立</v>
          </cell>
          <cell r="EV28" t="str">
            <v>有</v>
          </cell>
          <cell r="EW28" t="str">
            <v>無</v>
          </cell>
          <cell r="EZ28" t="str">
            <v>口腔ケアは洗面所を使用しご自身で行うことができ、特に問題は見られない。</v>
          </cell>
          <cell r="FB28" t="str">
            <v>入力</v>
          </cell>
          <cell r="FC28" t="str">
            <v>一部介助</v>
          </cell>
          <cell r="FD28" t="str">
            <v>シャワー浴</v>
          </cell>
          <cell r="FE28" t="str">
            <v>無</v>
          </cell>
          <cell r="FG28" t="str">
            <v>自立</v>
          </cell>
          <cell r="FH28" t="str">
            <v>自立</v>
          </cell>
          <cell r="FI28" t="str">
            <v>普段湯舟には浸からず、シャワー浴となっている。
概ねご自身で洗うことができるが、手が届かない範囲は職員の介助が必要。60歳と若く、女性の職員による入浴介助は恥ずかしさがあるため、若い女性禁となっている。</v>
          </cell>
          <cell r="FK28" t="str">
            <v>入力</v>
          </cell>
          <cell r="FL28" t="str">
            <v>自立</v>
          </cell>
          <cell r="FM28" t="str">
            <v>有</v>
          </cell>
          <cell r="FN28" t="str">
            <v>無</v>
          </cell>
          <cell r="FO28" t="str">
            <v>有</v>
          </cell>
          <cell r="FP28" t="str">
            <v>無</v>
          </cell>
          <cell r="FR28" t="str">
            <v>トイレ</v>
          </cell>
          <cell r="FS28" t="str">
            <v>トイレ</v>
          </cell>
          <cell r="FT28" t="str">
            <v>リハビリパンツ</v>
          </cell>
          <cell r="FU28" t="str">
            <v>排泄はご自身でトイレを使用し排泄できている。失禁は見られない。
排便については定期的に下剤を飲んでおり、ご自身でコントロールされている。</v>
          </cell>
          <cell r="FX28" t="str">
            <v>入力</v>
          </cell>
          <cell r="FY28" t="str">
            <v>全介助</v>
          </cell>
          <cell r="FZ28" t="str">
            <v>全介助</v>
          </cell>
          <cell r="GA28" t="str">
            <v>全介助</v>
          </cell>
          <cell r="GB28" t="str">
            <v>自立</v>
          </cell>
          <cell r="GC28" t="str">
            <v>一部介助</v>
          </cell>
          <cell r="GD28" t="str">
            <v>買い物はご自身で行うことができるが、金銭管理は主に見守り家族が行っている。その他のIADLは施設のサービスを受けている。</v>
          </cell>
          <cell r="GG28" t="str">
            <v>身体的には十分にご自身で動けるものの、自分は病気で動けないと精神的な面で、自分からは動こうとしない。動くよう職員が促しても、自分はもうダメだからと拒否して取り合わない。しかし、お話しは好きなので居室に伺うと話し込んでくる。</v>
          </cell>
          <cell r="GH28">
            <v>30</v>
          </cell>
        </row>
        <row r="29">
          <cell r="C29" t="str">
            <v>中村　セツ子</v>
          </cell>
          <cell r="D29" t="str">
            <v>5c89fb77</v>
          </cell>
          <cell r="I29">
            <v>45476</v>
          </cell>
          <cell r="J29" t="str">
            <v>山川　和輝</v>
          </cell>
          <cell r="K29" t="str">
            <v>更新</v>
          </cell>
          <cell r="L29" t="str">
            <v>本人の居室</v>
          </cell>
          <cell r="M29" t="str">
            <v>自宅で独居生活を送られていた。令和3年3月にベッドより転落し腰椎圧迫骨折、右第4肋骨骨折をされ、塩川病院に入院となった。退院後、在宅復帰を目指して老健ロマンに入所された。6か月間の入所であるため、退院後の自宅への復帰は家族の支援が困難なため難しく、安濃津ろまんへ入居となった。</v>
          </cell>
          <cell r="Q29" t="str">
            <v>入力</v>
          </cell>
          <cell r="R29" t="str">
            <v>要介護３</v>
          </cell>
          <cell r="S29" t="str">
            <v>令和6年7月3日</v>
          </cell>
          <cell r="T29" t="str">
            <v>令和6年7月1日</v>
          </cell>
          <cell r="U29" t="str">
            <v>令和10年6月30日</v>
          </cell>
          <cell r="V29" t="str">
            <v>１割負担</v>
          </cell>
          <cell r="W29" t="str">
            <v>後期高齢者医療保険</v>
          </cell>
          <cell r="X29" t="str">
            <v>無</v>
          </cell>
          <cell r="Z29" t="str">
            <v>無</v>
          </cell>
          <cell r="AA29" t="str">
            <v>無</v>
          </cell>
          <cell r="GH29">
            <v>30</v>
          </cell>
        </row>
        <row r="30">
          <cell r="C30" t="str">
            <v>門野　諒子</v>
          </cell>
          <cell r="D30" t="str">
            <v>179129dc</v>
          </cell>
          <cell r="I30">
            <v>45665</v>
          </cell>
          <cell r="J30" t="str">
            <v>山川　和輝</v>
          </cell>
          <cell r="K30" t="str">
            <v>新規</v>
          </cell>
          <cell r="L30" t="str">
            <v>入院先の病院</v>
          </cell>
          <cell r="M30" t="str">
            <v>自宅でヘルパーステーションの利用や配食サービスを利用しながら独居生活を送っていたが、令和6年11月に急性膵炎にて三重中央医療センターへ入院。12月12日、リハビリ目的で遠山病院へ転院。退院後は自宅で生活することが難しいため安濃津ろまんを申し込まれた。</v>
          </cell>
          <cell r="N30" t="str">
            <v>健康で不安なく穏やかに生活したい。</v>
          </cell>
          <cell r="Q30" t="str">
            <v>入力</v>
          </cell>
          <cell r="R30" t="str">
            <v>要介護２</v>
          </cell>
          <cell r="AE30" t="str">
            <v>入力</v>
          </cell>
          <cell r="AF30" t="str">
            <v>森川　比佐代</v>
          </cell>
          <cell r="AG30" t="str">
            <v>長男妻</v>
          </cell>
          <cell r="AI30" t="str">
            <v>別居</v>
          </cell>
          <cell r="AJ30" t="str">
            <v>介護しない</v>
          </cell>
          <cell r="AK30" t="str">
            <v>有</v>
          </cell>
          <cell r="AL30" t="str">
            <v>090-6649-8416</v>
          </cell>
          <cell r="AM30" t="str">
            <v>KP。ヘルパーをしている</v>
          </cell>
          <cell r="AW30" t="str">
            <v>入力</v>
          </cell>
          <cell r="AX30" t="str">
            <v>一人暮らし</v>
          </cell>
          <cell r="AY30" t="str">
            <v>集合住宅</v>
          </cell>
          <cell r="AZ30" t="str">
            <v>エレベーター有</v>
          </cell>
          <cell r="BA30" t="str">
            <v>賃貸</v>
          </cell>
          <cell r="BB30" t="str">
            <v>有</v>
          </cell>
          <cell r="BC30" t="str">
            <v>有</v>
          </cell>
          <cell r="BD30" t="str">
            <v>洋式</v>
          </cell>
          <cell r="BE30" t="str">
            <v>手すり有</v>
          </cell>
          <cell r="BF30" t="str">
            <v>段差無</v>
          </cell>
          <cell r="BG30" t="str">
            <v>有</v>
          </cell>
          <cell r="BH30" t="str">
            <v>手すり有</v>
          </cell>
          <cell r="BI30" t="str">
            <v>リクライニングベッド</v>
          </cell>
          <cell r="BJ30" t="str">
            <v>無</v>
          </cell>
          <cell r="BK30" t="str">
            <v>無</v>
          </cell>
          <cell r="BL30" t="str">
            <v>無</v>
          </cell>
          <cell r="BM30" t="str">
            <v>無</v>
          </cell>
          <cell r="BO30" t="str">
            <v>入力</v>
          </cell>
          <cell r="BP30" t="str">
            <v>訪問介護</v>
          </cell>
          <cell r="BS30" t="str">
            <v>配食サービス</v>
          </cell>
          <cell r="BT30" t="str">
            <v>良くお話しされており他の利用者とも交流がある。</v>
          </cell>
          <cell r="BW30" t="str">
            <v>入力</v>
          </cell>
          <cell r="BX30" t="str">
            <v>廃用症候群</v>
          </cell>
          <cell r="BY30" t="str">
            <v>令和6年12月12日</v>
          </cell>
          <cell r="BZ30" t="str">
            <v>パーキンソン病</v>
          </cell>
          <cell r="CA30" t="str">
            <v>令和4年</v>
          </cell>
          <cell r="CJ30" t="str">
            <v>元々パーキンソン病の経過観察のため遠山病院を定期受診している。今後も継続が必要。
主治医はつおき高橋クリニックで今後は加藤医院へ変更となる。</v>
          </cell>
          <cell r="CS30" t="str">
            <v>20年前に心房細動、25年前に胆石の手術を行っている。今回急性膵炎により三重中央医療センターへ入院治療を行っている。</v>
          </cell>
          <cell r="CT30" t="str">
            <v>パーキンソン薬であるマドパーを内服されている。またワーファリンも内服されているため禁止食材に注意。</v>
          </cell>
          <cell r="CX30" t="str">
            <v>入力</v>
          </cell>
          <cell r="CY30" t="str">
            <v>無</v>
          </cell>
          <cell r="CZ30" t="str">
            <v>無</v>
          </cell>
          <cell r="DA30" t="str">
            <v>無</v>
          </cell>
          <cell r="DB30" t="str">
            <v>無</v>
          </cell>
          <cell r="DC30" t="str">
            <v>無</v>
          </cell>
          <cell r="DF30" t="str">
            <v>正常</v>
          </cell>
          <cell r="DG30" t="str">
            <v>無</v>
          </cell>
          <cell r="DH30" t="str">
            <v>大きい声は可</v>
          </cell>
          <cell r="DI30" t="str">
            <v>無</v>
          </cell>
          <cell r="DJ30" t="str">
            <v>元々パーキンソン病の疑いで遠山病院を受診している。はっきりとした診断名はついていないものの、パーキンソン薬であるマドパーを内服。日によってパーキンソン症状が強くなることがあったためマドパーの容量は徐々に増えている。
右耳の聴力が少し悪いため、左側からお話しする工夫が必要。</v>
          </cell>
          <cell r="DL30" t="str">
            <v>入力</v>
          </cell>
          <cell r="DM30" t="str">
            <v>無</v>
          </cell>
          <cell r="DO30" t="str">
            <v>無</v>
          </cell>
          <cell r="DR30" t="str">
            <v>認知機能は問題なし。</v>
          </cell>
          <cell r="DU30" t="str">
            <v>入力</v>
          </cell>
          <cell r="DV30" t="str">
            <v>何かにつかまればできる</v>
          </cell>
          <cell r="DW30" t="str">
            <v>何かにつかまればできる</v>
          </cell>
          <cell r="DX30" t="str">
            <v>自分の手で支えればできる</v>
          </cell>
          <cell r="DY30" t="str">
            <v>何かにつかまればできる</v>
          </cell>
          <cell r="DZ30" t="str">
            <v>何か支えがあればできる</v>
          </cell>
          <cell r="EA30" t="str">
            <v>自立</v>
          </cell>
          <cell r="EB30" t="str">
            <v>自立</v>
          </cell>
          <cell r="EC30" t="str">
            <v>歩行器</v>
          </cell>
          <cell r="ED30" t="str">
            <v>見守り</v>
          </cell>
          <cell r="EE30" t="str">
            <v>歩行器</v>
          </cell>
          <cell r="EF30" t="str">
            <v>起居動作は柵や手すりなどにつかまることでご自身で行うことができる。移動は歩行器（ハッピーⅡ）を使用。室内は安全に歩くことができる。
長時間座っていると歩きだした際に少しふらつくことがあると言われている。</v>
          </cell>
          <cell r="EH30" t="str">
            <v>入力</v>
          </cell>
          <cell r="EI30" t="str">
            <v>入力</v>
          </cell>
          <cell r="EJ30" t="str">
            <v>経口摂取</v>
          </cell>
          <cell r="EK30" t="str">
            <v>自立</v>
          </cell>
          <cell r="EL30" t="str">
            <v>できる</v>
          </cell>
          <cell r="EM30" t="str">
            <v>普通</v>
          </cell>
          <cell r="EN30" t="str">
            <v>普通</v>
          </cell>
          <cell r="EO30" t="str">
            <v>無</v>
          </cell>
          <cell r="EP30" t="str">
            <v>有</v>
          </cell>
          <cell r="EQ30" t="str">
            <v>箸 , スプーン</v>
          </cell>
          <cell r="ER30" t="str">
            <v>食事はご自身で問題なく摂取可能。
ワーファリンを内服されているためビタミンKを多く含む食材は禁止。
また鶏肉が苦手なため禁止。</v>
          </cell>
          <cell r="ET30" t="str">
            <v>入力</v>
          </cell>
          <cell r="EU30" t="str">
            <v>自立</v>
          </cell>
          <cell r="EV30" t="str">
            <v>有</v>
          </cell>
          <cell r="EW30" t="str">
            <v>無</v>
          </cell>
          <cell r="EZ30" t="str">
            <v>口腔ケアはご自身で行うことができる。</v>
          </cell>
          <cell r="FB30" t="str">
            <v>入力</v>
          </cell>
          <cell r="FC30" t="str">
            <v>一部介助</v>
          </cell>
          <cell r="FD30" t="str">
            <v>一般浴</v>
          </cell>
          <cell r="FE30" t="str">
            <v>無</v>
          </cell>
          <cell r="FG30" t="str">
            <v>自立</v>
          </cell>
          <cell r="FH30" t="str">
            <v>自立</v>
          </cell>
          <cell r="FI30" t="str">
            <v>入浴は背中や頭を洗う際に介助が必要。更衣はご自身で行うことができ、毎晩パジャマに着替え朝に洋服に着替える。</v>
          </cell>
          <cell r="FK30" t="str">
            <v>入力</v>
          </cell>
          <cell r="FL30" t="str">
            <v>自立</v>
          </cell>
          <cell r="FM30" t="str">
            <v>有</v>
          </cell>
          <cell r="FN30" t="str">
            <v>無</v>
          </cell>
          <cell r="FO30" t="str">
            <v>有</v>
          </cell>
          <cell r="FP30" t="str">
            <v>無</v>
          </cell>
          <cell r="FR30" t="str">
            <v>Pトイレ</v>
          </cell>
          <cell r="FS30" t="str">
            <v>Pトイレ</v>
          </cell>
          <cell r="FT30" t="str">
            <v>リハビリパンツ</v>
          </cell>
          <cell r="FU30" t="str">
            <v>現在病院では、トイレまでの移動距離が長いためPトイレを使用しているが、安濃津ろまんへ入居後はトイレで問題なく行うことができる。
排便は毎日下剤を飲んでおり、毎日出ている。</v>
          </cell>
          <cell r="FX30" t="str">
            <v>入力</v>
          </cell>
          <cell r="FY30" t="str">
            <v>全介助</v>
          </cell>
          <cell r="FZ30" t="str">
            <v>一部介助</v>
          </cell>
          <cell r="GA30" t="str">
            <v>全介助</v>
          </cell>
          <cell r="GB30" t="str">
            <v>一部介助</v>
          </cell>
          <cell r="GC30" t="str">
            <v>一部介助</v>
          </cell>
          <cell r="GD30" t="str">
            <v>安濃津ろまんへ入居後は、調理は行わないがティファールを使用してお湯を温めてお茶を入れるなどはしたいとのこと。掃除は基本手伝いが必要であるが、ベッド上などの清掃はご自身で可能。
洗濯は施設サービスを利用。買い物は売店で行う。金銭管理は長男のお嫁様が行っている。</v>
          </cell>
          <cell r="GG30" t="str">
            <v>コロナウイルスとインフルエンザの予防接種は、アレルギーがあるため未接種となっている。</v>
          </cell>
          <cell r="GH30">
            <v>30</v>
          </cell>
        </row>
        <row r="31">
          <cell r="C31" t="str">
            <v>金丸　典生</v>
          </cell>
          <cell r="D31" t="str">
            <v>12197047</v>
          </cell>
          <cell r="I31">
            <v>45682</v>
          </cell>
          <cell r="J31" t="str">
            <v>山川　和輝</v>
          </cell>
          <cell r="K31" t="str">
            <v>新規</v>
          </cell>
          <cell r="L31" t="str">
            <v>本人の自宅</v>
          </cell>
          <cell r="M31" t="str">
            <v>亀山で生まれ、家族で尾鷲に行く。父親は教師。津市に移っても塾を経営していた。父親は96歳まで生きた。本人は県内の銀行勤務の後、60歳で鈴鹿回生病院の監事になる。14年間74歳まで勤務。
68歳の時に奥さんを亡くされた。子供は男2人。長男は東京で大手銀行に勤務。趣味はゴルフで77歳までしていた。</v>
          </cell>
          <cell r="N31" t="str">
            <v>出来るだけ在宅で生活をし続けたかったが、歳を取ってきて自宅で生活するのも心配になってきました。</v>
          </cell>
          <cell r="O31" t="str">
            <v>自宅で一人で生活しているのも心配なので、早く施設に入ってほしいと思っています。</v>
          </cell>
          <cell r="Q31" t="str">
            <v>入力</v>
          </cell>
          <cell r="R31" t="str">
            <v>要支援２</v>
          </cell>
          <cell r="S31" t="str">
            <v>令和6年10月22日</v>
          </cell>
          <cell r="T31" t="str">
            <v>令和6年11月1日</v>
          </cell>
          <cell r="U31" t="str">
            <v>令和8年10月31日</v>
          </cell>
          <cell r="V31" t="str">
            <v>３割負担</v>
          </cell>
          <cell r="W31" t="str">
            <v>後期高齢者医療保険</v>
          </cell>
          <cell r="X31" t="str">
            <v>無</v>
          </cell>
          <cell r="Z31" t="str">
            <v>無</v>
          </cell>
          <cell r="AA31" t="str">
            <v>無</v>
          </cell>
          <cell r="BW31" t="str">
            <v>入力</v>
          </cell>
          <cell r="BX31" t="str">
            <v>関節リウマチ</v>
          </cell>
          <cell r="BY31" t="str">
            <v>令和5年頃</v>
          </cell>
          <cell r="BZ31" t="str">
            <v>両変形性膝関節症</v>
          </cell>
          <cell r="CA31" t="str">
            <v>令和5年頃</v>
          </cell>
          <cell r="CB31" t="str">
            <v>腰部脊柱管狭窄症</v>
          </cell>
          <cell r="CC31" t="str">
            <v>令和5年頃</v>
          </cell>
          <cell r="CD31" t="str">
            <v>不整脈</v>
          </cell>
          <cell r="CE31" t="str">
            <v>不詳</v>
          </cell>
          <cell r="CJ31" t="str">
            <v>現在、自宅から定期的にまつおか整形外科や、津生協病院に通院を行っている。</v>
          </cell>
          <cell r="CS31" t="str">
            <v>その他、既往は特になし。</v>
          </cell>
          <cell r="CT31" t="str">
            <v>内服あり。ご自身で管理され飲み忘れなく内服できている。</v>
          </cell>
          <cell r="CX31" t="str">
            <v>入力</v>
          </cell>
          <cell r="CY31" t="str">
            <v>無</v>
          </cell>
          <cell r="CZ31" t="str">
            <v>無</v>
          </cell>
          <cell r="DA31" t="str">
            <v>無</v>
          </cell>
          <cell r="DB31" t="str">
            <v>特になし。</v>
          </cell>
          <cell r="DC31" t="str">
            <v>膝関節</v>
          </cell>
          <cell r="DD31">
            <v>163</v>
          </cell>
          <cell r="DE31">
            <v>59</v>
          </cell>
          <cell r="DF31" t="str">
            <v>正常</v>
          </cell>
          <cell r="DG31" t="str">
            <v>無</v>
          </cell>
          <cell r="DH31" t="str">
            <v>正常</v>
          </cell>
          <cell r="DI31" t="str">
            <v>無</v>
          </cell>
          <cell r="DJ31" t="str">
            <v>関節リウマチで両下肢や膝に痛みあり。定期受診を行っている。</v>
          </cell>
          <cell r="DL31" t="str">
            <v>入力</v>
          </cell>
          <cell r="DM31" t="str">
            <v>無</v>
          </cell>
          <cell r="DO31" t="str">
            <v>無</v>
          </cell>
          <cell r="DP31" t="str">
            <v>可能</v>
          </cell>
          <cell r="DQ31" t="str">
            <v>可能</v>
          </cell>
          <cell r="DR31" t="str">
            <v>認知機能は全く問題なし。</v>
          </cell>
          <cell r="DU31" t="str">
            <v>入力</v>
          </cell>
          <cell r="DV31" t="str">
            <v>何かにつかまればできる</v>
          </cell>
          <cell r="DW31" t="str">
            <v>何かにつかまればできる</v>
          </cell>
          <cell r="DX31" t="str">
            <v>自分の手で支えればできる</v>
          </cell>
          <cell r="DY31" t="str">
            <v>何かにつかまればできる</v>
          </cell>
          <cell r="DZ31" t="str">
            <v>何か支えがあればできる</v>
          </cell>
          <cell r="EA31" t="str">
            <v>自立</v>
          </cell>
          <cell r="EB31" t="str">
            <v>自立</v>
          </cell>
          <cell r="EC31" t="str">
            <v>独歩</v>
          </cell>
          <cell r="ED31" t="str">
            <v>見守り</v>
          </cell>
          <cell r="EE31" t="str">
            <v>歩行器</v>
          </cell>
          <cell r="EF31" t="str">
            <v>起居動作はご自身で可能。
移動は独歩伝い歩きで可能も、関節リウマチの影響で歩行に不安定さが見られる。歩行器を使用することで安全に移動可能。</v>
          </cell>
          <cell r="EH31" t="str">
            <v>入力</v>
          </cell>
          <cell r="EI31" t="str">
            <v>入力</v>
          </cell>
          <cell r="EJ31" t="str">
            <v>経口摂取</v>
          </cell>
          <cell r="EK31" t="str">
            <v>自立</v>
          </cell>
          <cell r="EL31" t="str">
            <v>できる</v>
          </cell>
          <cell r="EM31" t="str">
            <v>普通</v>
          </cell>
          <cell r="EN31" t="str">
            <v>普通</v>
          </cell>
          <cell r="EO31" t="str">
            <v>無</v>
          </cell>
          <cell r="EP31" t="str">
            <v>無</v>
          </cell>
          <cell r="EQ31" t="str">
            <v>箸 , スプーン</v>
          </cell>
          <cell r="ER31" t="str">
            <v>食事は特に問題は見られない。
現在配食サービスを利用している。</v>
          </cell>
          <cell r="ET31" t="str">
            <v>入力</v>
          </cell>
          <cell r="EU31" t="str">
            <v>自立</v>
          </cell>
          <cell r="EV31" t="str">
            <v>有</v>
          </cell>
          <cell r="EW31" t="str">
            <v>無</v>
          </cell>
          <cell r="EZ31" t="str">
            <v>口腔ケアはご自身で可能。</v>
          </cell>
          <cell r="FB31" t="str">
            <v>入力</v>
          </cell>
          <cell r="FC31" t="str">
            <v>自立</v>
          </cell>
          <cell r="FD31" t="str">
            <v>一般浴</v>
          </cell>
          <cell r="FE31" t="str">
            <v>無</v>
          </cell>
          <cell r="FG31" t="str">
            <v>自立</v>
          </cell>
          <cell r="FH31" t="str">
            <v>自立</v>
          </cell>
          <cell r="FI31" t="str">
            <v>入浴に関して、自宅のお風呂は狭いため毎日近くの銭湯を利用されている。</v>
          </cell>
          <cell r="FK31" t="str">
            <v>入力</v>
          </cell>
          <cell r="FL31" t="str">
            <v>自立</v>
          </cell>
          <cell r="FM31" t="str">
            <v>有</v>
          </cell>
          <cell r="FN31" t="str">
            <v>無</v>
          </cell>
          <cell r="FO31" t="str">
            <v>有</v>
          </cell>
          <cell r="FP31" t="str">
            <v>無</v>
          </cell>
          <cell r="FR31" t="str">
            <v>トイレ</v>
          </cell>
          <cell r="FS31" t="str">
            <v>トイレ</v>
          </cell>
          <cell r="FU31" t="str">
            <v>排泄は自宅のトイレで問題なく行えており失敗もない。布パンツを使用。</v>
          </cell>
          <cell r="FX31" t="str">
            <v>入力</v>
          </cell>
          <cell r="FY31" t="str">
            <v>自立</v>
          </cell>
          <cell r="FZ31" t="str">
            <v>自立</v>
          </cell>
          <cell r="GA31" t="str">
            <v>自立</v>
          </cell>
          <cell r="GB31" t="str">
            <v>自立</v>
          </cell>
          <cell r="GC31" t="str">
            <v>自立</v>
          </cell>
          <cell r="GD31" t="str">
            <v>現在自宅で独居生活を送られており、IADLは自立で可能。ただ徐々に調理や買い物がつらくなってきている。</v>
          </cell>
          <cell r="GG31" t="str">
            <v>もともと銀行員だったり、鈴鹿回生病院の経営コンサルタント的役割を担っていたため、お金に関して細かい性格。</v>
          </cell>
          <cell r="GH31">
            <v>30</v>
          </cell>
        </row>
        <row r="32">
          <cell r="C32" t="str">
            <v>幾原　力</v>
          </cell>
          <cell r="D32" t="str">
            <v>56d32826</v>
          </cell>
          <cell r="G32" t="str">
            <v>利用者選択｜絞り込み</v>
          </cell>
          <cell r="I32">
            <v>45686</v>
          </cell>
          <cell r="J32" t="str">
            <v>山川　和輝</v>
          </cell>
          <cell r="K32" t="str">
            <v>新規</v>
          </cell>
          <cell r="L32" t="str">
            <v>入院先の病院</v>
          </cell>
          <cell r="M32" t="str">
            <v>自宅にて独居要介護1で概ね自立した生活を送っていた。R6年10気胸にてにて三重中央医療センターに入院リハビリ目的にて11月末頃に榊原温泉病院に転院。入院した直後転倒、背部～臀部付近骨折、一時寝たきり状態の際に要介護4の認定を受けた。車椅子乗車可能となり、介助付きで短距離歩行訓練開始する等改善傾向。長男一家は名古屋在住。連絡先は長男嫁</v>
          </cell>
          <cell r="N32" t="str">
            <v>綺麗な居室で暮らしたい</v>
          </cell>
          <cell r="Q32" t="str">
            <v>入力</v>
          </cell>
          <cell r="R32" t="str">
            <v>要介護４</v>
          </cell>
          <cell r="AE32" t="str">
            <v>入力</v>
          </cell>
          <cell r="AF32" t="str">
            <v>幾原　祐美</v>
          </cell>
          <cell r="AG32" t="str">
            <v>長男の妻</v>
          </cell>
          <cell r="AI32" t="str">
            <v>別居</v>
          </cell>
          <cell r="AJ32" t="str">
            <v>介護しない</v>
          </cell>
          <cell r="AK32" t="str">
            <v>有</v>
          </cell>
          <cell r="AL32" t="str">
            <v>090-2570-9576</v>
          </cell>
          <cell r="AM32" t="str">
            <v>長男は単身赴任、東京在住、仕事多忙のためキーパーソンは妻</v>
          </cell>
          <cell r="AN32" t="str">
            <v>幾原雄一</v>
          </cell>
          <cell r="AO32" t="str">
            <v>長男</v>
          </cell>
          <cell r="AQ32" t="str">
            <v>別居</v>
          </cell>
          <cell r="AR32" t="str">
            <v>介護しない</v>
          </cell>
          <cell r="AS32" t="str">
            <v>無</v>
          </cell>
          <cell r="AT32" t="str">
            <v>090-8671-1705</v>
          </cell>
          <cell r="AU32" t="str">
            <v>単身赴任　仕事多忙のためキーパーソンは妻</v>
          </cell>
          <cell r="AW32" t="str">
            <v>入力</v>
          </cell>
          <cell r="AX32" t="str">
            <v>一人暮らし</v>
          </cell>
          <cell r="AY32" t="str">
            <v>一戸建て</v>
          </cell>
          <cell r="BA32" t="str">
            <v>所有</v>
          </cell>
          <cell r="BB32" t="str">
            <v>有</v>
          </cell>
          <cell r="BC32" t="str">
            <v>有</v>
          </cell>
          <cell r="BD32" t="str">
            <v>洋式</v>
          </cell>
          <cell r="BO32" t="str">
            <v>入力</v>
          </cell>
          <cell r="BW32" t="str">
            <v>入力</v>
          </cell>
          <cell r="BX32" t="str">
            <v>左続発性気胸</v>
          </cell>
          <cell r="BY32" t="str">
            <v>R6.10.29</v>
          </cell>
          <cell r="BZ32" t="str">
            <v>腰椎圧迫骨折</v>
          </cell>
          <cell r="CA32" t="str">
            <v>R6.11.26</v>
          </cell>
          <cell r="CS32" t="str">
            <v>前立腺肥大　間質性肺炎　肺気腫</v>
          </cell>
          <cell r="CX32" t="str">
            <v>入力</v>
          </cell>
          <cell r="CZ32" t="str">
            <v>無</v>
          </cell>
          <cell r="DA32" t="str">
            <v>無</v>
          </cell>
          <cell r="DB32" t="str">
            <v>無</v>
          </cell>
          <cell r="DC32" t="str">
            <v>有</v>
          </cell>
          <cell r="DF32" t="str">
            <v>正常</v>
          </cell>
          <cell r="DH32" t="str">
            <v>大きい声は可</v>
          </cell>
          <cell r="DJ32" t="str">
            <v>右耳ほぼ聞こえない。気胸後の為時々胸苦しさあり。腰椎圧迫骨折（L1）保存療法コルセット装着中(2月末までの予定）。服薬自己管理は難しい（入院中は毎食事手渡し）。便秘症にて週に2～3回摘便処置中、下剤使用のタイミングは本人に任せている（自己管理にすると飲み続けてしまう）。怒責力弱い。便の硬・緩に差がある。立位や四点歩行練習中に腰痛（ひびく）と訴えあり。</v>
          </cell>
          <cell r="DL32" t="str">
            <v>入力</v>
          </cell>
          <cell r="DM32" t="str">
            <v>無</v>
          </cell>
          <cell r="DP32" t="str">
            <v>可能</v>
          </cell>
          <cell r="DQ32" t="str">
            <v>可能</v>
          </cell>
          <cell r="DR32" t="str">
            <v>一見しっかりしている様に見えるが年齢相応の認知力の低下はあり。車椅子操作が時々めちゃくちゃになる等あり要注意。自尊心が高く話はインテリジェンス、交友関係広い。丁寧に対応していれば基本穏やか。</v>
          </cell>
          <cell r="DU32" t="str">
            <v>入力</v>
          </cell>
          <cell r="DV32" t="str">
            <v>何かにつかまればできる</v>
          </cell>
          <cell r="DW32" t="str">
            <v>何かにつかまればできる</v>
          </cell>
          <cell r="DX32" t="str">
            <v>自分の手で支えればできる</v>
          </cell>
          <cell r="DY32" t="str">
            <v>何かにつかまればできる</v>
          </cell>
          <cell r="DZ32" t="str">
            <v>何か支えがあればできる</v>
          </cell>
          <cell r="EA32" t="str">
            <v>見守り</v>
          </cell>
          <cell r="EB32" t="str">
            <v>見守り</v>
          </cell>
          <cell r="EC32" t="str">
            <v>車椅子</v>
          </cell>
          <cell r="ED32" t="str">
            <v>一部介助</v>
          </cell>
          <cell r="EE32" t="str">
            <v>車椅子</v>
          </cell>
          <cell r="EF32" t="str">
            <v>入院中は常にベッドギャッジアップ20度で生活。移乗時しっかり立ち上がれない等時々危険な場面あり。遠くから手を持っていく等位置取りが苦手な傾向あり。四点杖歩行リハビリ中だが20ｍで息切れ、脈↑、持久力なし。元々のADLは杖歩行可。</v>
          </cell>
          <cell r="EH32" t="str">
            <v>入力</v>
          </cell>
          <cell r="EI32" t="str">
            <v>入力</v>
          </cell>
          <cell r="EJ32" t="str">
            <v>経口摂取</v>
          </cell>
          <cell r="EK32" t="str">
            <v>自立</v>
          </cell>
          <cell r="EL32" t="str">
            <v>できる</v>
          </cell>
          <cell r="EM32" t="str">
            <v>普通</v>
          </cell>
          <cell r="EN32" t="str">
            <v>普通</v>
          </cell>
          <cell r="EO32" t="str">
            <v>無</v>
          </cell>
          <cell r="EP32" t="str">
            <v>無</v>
          </cell>
          <cell r="EQ32" t="str">
            <v>箸 , スプーン</v>
          </cell>
          <cell r="ER32" t="str">
            <v>元々少食。入院中副食は軟菜。毎食7割摂取位の事が多い。入院中痩せた為積極的にジュース等摂る様にご家族様に言われている。</v>
          </cell>
          <cell r="ET32" t="str">
            <v>入力</v>
          </cell>
          <cell r="EU32" t="str">
            <v>見守り</v>
          </cell>
          <cell r="EV32" t="str">
            <v>無</v>
          </cell>
          <cell r="EW32" t="str">
            <v>有</v>
          </cell>
          <cell r="EX32" t="str">
            <v>総義歯</v>
          </cell>
          <cell r="EY32" t="str">
            <v>上下</v>
          </cell>
          <cell r="EZ32" t="str">
            <v>総入れ歯。洗浄剤使用し自分でつけ置き洗浄しているが雑な為あまり綺麗になっていない。</v>
          </cell>
          <cell r="FB32" t="str">
            <v>入力</v>
          </cell>
          <cell r="FC32" t="str">
            <v>一部介助</v>
          </cell>
          <cell r="FD32" t="str">
            <v>チェアー浴</v>
          </cell>
          <cell r="FE32" t="str">
            <v>無</v>
          </cell>
          <cell r="FG32" t="str">
            <v>一部介助</v>
          </cell>
          <cell r="FH32" t="str">
            <v>一部介助</v>
          </cell>
          <cell r="FI32" t="str">
            <v>病院ではスロープ付き大浴場にて車椅子背もたれにもたれてコルセットを外して介助。おじぎ動作ができない為洗髪、洗体一部介助。コルセット自分で装着出来ないが息苦しい為外してしまう事がある。協力動作あり。上着を自分で羽織る等の更衣動作能力あり。</v>
          </cell>
          <cell r="FK32" t="str">
            <v>入力</v>
          </cell>
          <cell r="FL32" t="str">
            <v>一部介助</v>
          </cell>
          <cell r="FM32" t="str">
            <v>有</v>
          </cell>
          <cell r="FO32" t="str">
            <v>有</v>
          </cell>
          <cell r="FR32" t="str">
            <v>トイレ , オムツ</v>
          </cell>
          <cell r="FS32" t="str">
            <v>尿器 , オムツ</v>
          </cell>
          <cell r="FT32" t="str">
            <v>リハビリパンツ , 紙おむつ</v>
          </cell>
          <cell r="FU32" t="str">
            <v>入院中は昼リハビリパンツ、トイレ誘導、夜間はおむつ、時々ナースコールにてしびん使用。トイレ誘導時しんどいと時々拒否あり。便秘症の為本人の気分で下剤服用。摘便週に2～3回</v>
          </cell>
          <cell r="FX32" t="str">
            <v>入力</v>
          </cell>
          <cell r="FY32" t="str">
            <v>全介助</v>
          </cell>
          <cell r="FZ32" t="str">
            <v>全介助</v>
          </cell>
          <cell r="GA32" t="str">
            <v>全介助</v>
          </cell>
          <cell r="GB32" t="str">
            <v>全介助</v>
          </cell>
          <cell r="GC32" t="str">
            <v>一部介助</v>
          </cell>
          <cell r="GD32" t="str">
            <v>掃除や洗濯の支援が必要。調理はサ高住の食事提供、入院中は息子様ご夫婦月2回ほど病院訪問。</v>
          </cell>
          <cell r="GH32">
            <v>30</v>
          </cell>
        </row>
        <row r="33">
          <cell r="C33" t="str">
            <v>谷口　公良</v>
          </cell>
          <cell r="D33" t="str">
            <v>5ff3f68d</v>
          </cell>
          <cell r="I33">
            <v>45691</v>
          </cell>
          <cell r="J33" t="str">
            <v>山川　和輝</v>
          </cell>
          <cell r="K33" t="str">
            <v>退院</v>
          </cell>
          <cell r="L33" t="str">
            <v>入院先の病院</v>
          </cell>
          <cell r="M33" t="str">
            <v>元々自宅で一人暮らし。女性トラブルもあり現在妻と離婚調停中。</v>
          </cell>
          <cell r="N33" t="str">
            <v>これからもよろしくお願いします。</v>
          </cell>
          <cell r="O33" t="str">
            <v>病院からはこのまま看取りと言われました。安濃津ろまんさんでは看取りの対応もして頂いているということですので、これからもよろしくお願いします。</v>
          </cell>
          <cell r="Q33" t="str">
            <v>入力</v>
          </cell>
          <cell r="R33" t="str">
            <v>区分変更</v>
          </cell>
          <cell r="S33" t="str">
            <v>区分変更中</v>
          </cell>
          <cell r="V33" t="str">
            <v>１割負担</v>
          </cell>
          <cell r="W33" t="str">
            <v>後期高齢者医療保険</v>
          </cell>
          <cell r="X33" t="str">
            <v>無</v>
          </cell>
          <cell r="Z33" t="str">
            <v>無</v>
          </cell>
          <cell r="AA33" t="str">
            <v>無</v>
          </cell>
          <cell r="BW33" t="str">
            <v>入力</v>
          </cell>
          <cell r="BX33" t="str">
            <v>急性肺炎</v>
          </cell>
          <cell r="BZ33" t="str">
            <v>認知症</v>
          </cell>
          <cell r="CA33" t="str">
            <v>令和4年頃</v>
          </cell>
          <cell r="CJ33" t="str">
            <v>現在は津生協病院に入院中。退院後は外来受診の必要性はなく、加藤医院の往診を受けながら生活して頂く。</v>
          </cell>
          <cell r="CS33" t="str">
            <v>40年ほど前から精神病にて久居病院を定期受診している。</v>
          </cell>
          <cell r="CT33" t="str">
            <v>退院後、服薬管理は今まで通りローレル薬局や安濃津ろまん看護師により管理を行う。
内服は薬をお湯で溶かし、かつトロミをつけて提供を行う。</v>
          </cell>
          <cell r="CX33" t="str">
            <v>入力</v>
          </cell>
          <cell r="CY33" t="str">
            <v>無</v>
          </cell>
          <cell r="CZ33" t="str">
            <v>無</v>
          </cell>
          <cell r="DA33" t="str">
            <v>無</v>
          </cell>
          <cell r="DB33" t="str">
            <v>特になし。</v>
          </cell>
          <cell r="DF33" t="str">
            <v>大きい字は可</v>
          </cell>
          <cell r="DG33" t="str">
            <v>有</v>
          </cell>
          <cell r="DH33" t="str">
            <v>正常</v>
          </cell>
          <cell r="DI33" t="str">
            <v>無</v>
          </cell>
          <cell r="DJ33" t="str">
            <v>現在津生協病院に入院中で、病院では食事の前後で痰の吸引を行っている。粘り気の強い痰が少量回収できるとのことだが、夜間の吸引は行っていない。</v>
          </cell>
          <cell r="DL33" t="str">
            <v>入力</v>
          </cell>
          <cell r="DM33" t="str">
            <v>有</v>
          </cell>
          <cell r="DN33" t="str">
            <v>中等度</v>
          </cell>
          <cell r="DO33" t="str">
            <v>大声・奇声</v>
          </cell>
          <cell r="DP33" t="str">
            <v>可能</v>
          </cell>
          <cell r="DQ33" t="str">
            <v>その場のみ可</v>
          </cell>
          <cell r="DR33" t="str">
            <v>病院では、ベッド上でだれかを呼ぶような感じで大きな声を出されることが多い。リスペリドンを内服している。
認知機能は今までと変わりない印象を受ける。</v>
          </cell>
          <cell r="DU33" t="str">
            <v>入力</v>
          </cell>
          <cell r="DV33" t="str">
            <v>できない</v>
          </cell>
          <cell r="DW33" t="str">
            <v>できない</v>
          </cell>
          <cell r="DX33" t="str">
            <v>支えてもらえればできる</v>
          </cell>
          <cell r="DY33" t="str">
            <v>できない</v>
          </cell>
          <cell r="DZ33" t="str">
            <v>できない</v>
          </cell>
          <cell r="EA33" t="str">
            <v>全介助</v>
          </cell>
          <cell r="EB33" t="str">
            <v>全介助</v>
          </cell>
          <cell r="EC33" t="str">
            <v>車椅子</v>
          </cell>
          <cell r="ED33" t="str">
            <v>全介助</v>
          </cell>
          <cell r="EE33" t="str">
            <v>車椅子</v>
          </cell>
          <cell r="EF33" t="str">
            <v>現在は寝たきりとなっており、起居動作はすべて介助が必要な状況。ただ、病院で1度詳細は不明だが1回ベッドから滑落があったと報告ある。退院後、必要があれば4柵対応にするなどを検討する。
移動はリクライニング車椅子を使用。滑落する可能性も視野に入れ必要があれば対策を行う必要がある。</v>
          </cell>
          <cell r="EH33" t="str">
            <v>入力</v>
          </cell>
          <cell r="EI33" t="str">
            <v>入力</v>
          </cell>
          <cell r="EJ33" t="str">
            <v>経口摂取</v>
          </cell>
          <cell r="EK33" t="str">
            <v>全介助</v>
          </cell>
          <cell r="EL33" t="str">
            <v>見守り等が必要</v>
          </cell>
          <cell r="EO33" t="str">
            <v>有</v>
          </cell>
          <cell r="EP33" t="str">
            <v>有</v>
          </cell>
          <cell r="EQ33" t="str">
            <v>スプーン</v>
          </cell>
          <cell r="ER33" t="str">
            <v>食事は、毎食カロリー食のゼリーのみで、2種類のゼリーを朝昼晩で食べられる。食事摂取は、完全右側臥位で、側臥位から頭部のみを回旋させ（天井方向をみる）、介助にて摂取を行う。水分補給は、毎食時のみで、お茶に濃いトロミを付けて介助で飲んで頂く。</v>
          </cell>
          <cell r="ET33" t="str">
            <v>入力</v>
          </cell>
          <cell r="EU33" t="str">
            <v>全介助</v>
          </cell>
          <cell r="EV33" t="str">
            <v>有</v>
          </cell>
          <cell r="EW33" t="str">
            <v>無</v>
          </cell>
          <cell r="EZ33" t="str">
            <v>毎食後の口腔ケアの介助が必要である。</v>
          </cell>
          <cell r="FB33" t="str">
            <v>入力</v>
          </cell>
          <cell r="FC33" t="str">
            <v>全介助</v>
          </cell>
          <cell r="FD33" t="str">
            <v>寝台浴</v>
          </cell>
          <cell r="FE33" t="str">
            <v>無</v>
          </cell>
          <cell r="FG33" t="str">
            <v>全介助</v>
          </cell>
          <cell r="FH33" t="str">
            <v>全介助</v>
          </cell>
          <cell r="FI33" t="str">
            <v>入浴は寝台浴を利用し全介助。今後はデイにて利用を行う。</v>
          </cell>
          <cell r="FK33" t="str">
            <v>入力</v>
          </cell>
          <cell r="FL33" t="str">
            <v>全介助</v>
          </cell>
          <cell r="FM33" t="str">
            <v>無</v>
          </cell>
          <cell r="FN33" t="str">
            <v>有</v>
          </cell>
          <cell r="FO33" t="str">
            <v>無</v>
          </cell>
          <cell r="FP33" t="str">
            <v>有</v>
          </cell>
          <cell r="FR33" t="str">
            <v>オムツ</v>
          </cell>
          <cell r="FS33" t="str">
            <v>オムツ</v>
          </cell>
          <cell r="FT33" t="str">
            <v>紙おむつ , 大パット</v>
          </cell>
          <cell r="FU33" t="str">
            <v>寝たきりでトイレでの排泄が困難なため、紙おむつ、大パットを使用。1日に4回パット交換を行っている。
便秘傾向で下剤や摘便で対応している。</v>
          </cell>
          <cell r="FX33" t="str">
            <v>入力</v>
          </cell>
          <cell r="FY33" t="str">
            <v>全介助</v>
          </cell>
          <cell r="FZ33" t="str">
            <v>全介助</v>
          </cell>
          <cell r="GA33" t="str">
            <v>全介助</v>
          </cell>
          <cell r="GB33" t="str">
            <v>全介助</v>
          </cell>
          <cell r="GC33" t="str">
            <v>全介助</v>
          </cell>
          <cell r="GD33" t="str">
            <v>すべて介助を要す。</v>
          </cell>
          <cell r="GG33" t="str">
            <v>退院後、看取りの同意を頂く。</v>
          </cell>
          <cell r="GH33">
            <v>30</v>
          </cell>
        </row>
        <row r="34">
          <cell r="C34" t="str">
            <v>木村　肇</v>
          </cell>
          <cell r="D34" t="str">
            <v>a5825b30</v>
          </cell>
          <cell r="I34">
            <v>45703</v>
          </cell>
          <cell r="J34" t="str">
            <v>山川　和輝</v>
          </cell>
          <cell r="K34" t="str">
            <v>新規</v>
          </cell>
          <cell r="L34" t="str">
            <v>本人の自宅</v>
          </cell>
          <cell r="M34" t="str">
            <v>自宅で夫婦二人暮らし。13年程前にパーキンソン病の診断を受け、定期的に三重大学病院に通院している。最近では、転倒も多くなり自宅に手すりを設置した。主介護者の妻も高齢でお世話が難しくなってきたころ、今年1月にお風呂で転倒、さらに夜中にトイレに行こうとして転倒、妻では起こすことも出来ず隣人に助けてもらった。そのようなこともあり、入居を拒んでいた本人も妻の体調や近所への迷惑も考え、入居の申し込みがあった。</v>
          </cell>
          <cell r="N34" t="str">
            <v>家にいると妻や近所の方に迷惑をかけるので、安濃津ろまんに入居して生活したいと思っています。</v>
          </cell>
          <cell r="O34" t="str">
            <v>自宅で生活するのもそろそろ限界を感じています。私も高齢ですので負担が強く最近では疲労により体調を崩すことも多くなりました。</v>
          </cell>
          <cell r="AE34" t="str">
            <v>入力</v>
          </cell>
          <cell r="AF34" t="str">
            <v>木村　稚子</v>
          </cell>
          <cell r="AG34" t="str">
            <v>妻</v>
          </cell>
          <cell r="AI34" t="str">
            <v>同居</v>
          </cell>
          <cell r="AJ34" t="str">
            <v>介護する</v>
          </cell>
          <cell r="AK34" t="str">
            <v>無</v>
          </cell>
          <cell r="AL34" t="str">
            <v>059-225-4911</v>
          </cell>
          <cell r="AM34" t="str">
            <v>KP</v>
          </cell>
          <cell r="AN34" t="str">
            <v>木村　満</v>
          </cell>
          <cell r="AO34" t="str">
            <v>次男</v>
          </cell>
          <cell r="AQ34" t="str">
            <v>別居</v>
          </cell>
          <cell r="AR34" t="str">
            <v>介護しない</v>
          </cell>
          <cell r="AS34" t="str">
            <v>有</v>
          </cell>
          <cell r="AT34" t="str">
            <v>0797-26-7140</v>
          </cell>
          <cell r="AU34" t="str">
            <v>兵庫県在住</v>
          </cell>
          <cell r="AW34" t="str">
            <v>入力</v>
          </cell>
          <cell r="AX34" t="str">
            <v>高齢所帯</v>
          </cell>
          <cell r="AY34" t="str">
            <v>一戸建て</v>
          </cell>
          <cell r="BA34" t="str">
            <v>所有</v>
          </cell>
          <cell r="BB34" t="str">
            <v>有</v>
          </cell>
          <cell r="BC34" t="str">
            <v>有</v>
          </cell>
          <cell r="BD34" t="str">
            <v>洋式</v>
          </cell>
          <cell r="BE34" t="str">
            <v>手すり無</v>
          </cell>
          <cell r="BF34" t="str">
            <v>段差有</v>
          </cell>
          <cell r="BG34" t="str">
            <v>有</v>
          </cell>
          <cell r="BH34" t="str">
            <v>手すり無</v>
          </cell>
          <cell r="BI34" t="str">
            <v>リクライニングベッド</v>
          </cell>
          <cell r="BJ34" t="str">
            <v>無</v>
          </cell>
          <cell r="BK34" t="str">
            <v>無</v>
          </cell>
          <cell r="BL34" t="str">
            <v>無</v>
          </cell>
          <cell r="BM34" t="str">
            <v>無</v>
          </cell>
          <cell r="BW34" t="str">
            <v>入力</v>
          </cell>
          <cell r="BX34" t="str">
            <v>パーキンソン病</v>
          </cell>
          <cell r="BY34" t="str">
            <v>平成13年</v>
          </cell>
          <cell r="BZ34" t="str">
            <v>前立腺癌</v>
          </cell>
          <cell r="CA34" t="str">
            <v>平成16年頃</v>
          </cell>
          <cell r="CB34" t="str">
            <v>高血圧症</v>
          </cell>
          <cell r="CC34" t="str">
            <v>平成26年頃</v>
          </cell>
          <cell r="CJ34" t="str">
            <v>パーキンソン病と前立腺癌に関しては、三重大学病院を定期通院している。今後も受診の継続が必要かは2/17の通院時に確認して頂くこととなっている。</v>
          </cell>
          <cell r="CS34" t="str">
            <v>その他大きな病気はなし。</v>
          </cell>
          <cell r="CT34" t="str">
            <v>服薬管理は奥様が行っている。</v>
          </cell>
          <cell r="CX34" t="str">
            <v>入力</v>
          </cell>
          <cell r="CY34" t="str">
            <v>無</v>
          </cell>
          <cell r="CZ34" t="str">
            <v>無</v>
          </cell>
          <cell r="DA34" t="str">
            <v>無</v>
          </cell>
          <cell r="DB34" t="str">
            <v>特になし</v>
          </cell>
          <cell r="DC34" t="str">
            <v>特になし</v>
          </cell>
          <cell r="DF34" t="str">
            <v>大きい字は可</v>
          </cell>
          <cell r="DG34" t="str">
            <v>有</v>
          </cell>
          <cell r="DH34" t="str">
            <v>正常</v>
          </cell>
          <cell r="DI34" t="str">
            <v>無</v>
          </cell>
          <cell r="DJ34" t="str">
            <v>パーキンソン病により、1年程前から手の振戦やすくみ足などの症状が強くなり、最近では転倒が多くなっている。3ヶ月ごとに三重大へ受診しているが、徐々に受診に連れて行くのも大変になってきたと言われている。（妻より）
2週間前から急激に目の見えにくさが目立ったが徐々に改善が見られてきている。白内障は両目ともに手術済み。
コロナワクチンは6回接種されており、インフルエンザも先日打たれている。</v>
          </cell>
          <cell r="DL34" t="str">
            <v>入力</v>
          </cell>
          <cell r="DM34" t="str">
            <v>無</v>
          </cell>
          <cell r="DO34" t="str">
            <v>無</v>
          </cell>
          <cell r="DP34" t="str">
            <v>可能</v>
          </cell>
          <cell r="DQ34" t="str">
            <v>可能</v>
          </cell>
          <cell r="DR34" t="str">
            <v>年相応の認知機能の低下は見られているものの、日常生活に支障が出るほどではない。</v>
          </cell>
          <cell r="DU34" t="str">
            <v>入力</v>
          </cell>
          <cell r="DV34" t="str">
            <v>何かにつかまればできる</v>
          </cell>
          <cell r="DW34" t="str">
            <v>何かにつかまればできる</v>
          </cell>
          <cell r="DX34" t="str">
            <v>自分の手で支えればできる</v>
          </cell>
          <cell r="DY34" t="str">
            <v>何かにつかまればできる</v>
          </cell>
          <cell r="DZ34" t="str">
            <v>何か支えがあればできる</v>
          </cell>
          <cell r="EA34" t="str">
            <v>自立</v>
          </cell>
          <cell r="EB34" t="str">
            <v>自立</v>
          </cell>
          <cell r="EC34" t="str">
            <v>独歩</v>
          </cell>
          <cell r="ED34" t="str">
            <v>自立</v>
          </cell>
          <cell r="EE34" t="str">
            <v>歩行器</v>
          </cell>
          <cell r="EF34" t="str">
            <v>パーキンソン病の影響により、起居動作の行いにくさがある。寝返りや起き上がりは特に時間を要すが、何とかご自身で行うことができている。
居室内の移動は手すりを使用して独歩で歩くことができるが、長い廊下などは歩行器があったほうが良いと言われていた（本人より）。そのため入居の際に歩行器を2～3つほどデモで貸与し選んで頂くこととなった。</v>
          </cell>
          <cell r="EH34" t="str">
            <v>入力</v>
          </cell>
          <cell r="EI34" t="str">
            <v>入力</v>
          </cell>
          <cell r="EJ34" t="str">
            <v>経口摂取</v>
          </cell>
          <cell r="EK34" t="str">
            <v>一部介助</v>
          </cell>
          <cell r="EL34" t="str">
            <v>できる</v>
          </cell>
          <cell r="EM34" t="str">
            <v>普通</v>
          </cell>
          <cell r="EN34" t="str">
            <v>普通</v>
          </cell>
          <cell r="EO34" t="str">
            <v>無</v>
          </cell>
          <cell r="EP34" t="str">
            <v>無</v>
          </cell>
          <cell r="EQ34" t="str">
            <v>箸 , スプーン</v>
          </cell>
          <cell r="ER34" t="str">
            <v>食事摂取はご自身で行えるものの、食べこぼしが多く、食べこぼしの処理でご家族様のお手伝いが必要。現在は膝にタオルを敷いてお食事を食べられている。
食事摂取量は多めとのことで、安濃津ろまんへ入居後、食事量に物足りなさがあれば大盛などの変更も検討する。
また食事摂取スピードが遅いため、入居後の食事席は遅いグループの方々と同じ席が良いと言われている。</v>
          </cell>
          <cell r="ET34" t="str">
            <v>入力</v>
          </cell>
          <cell r="EU34" t="str">
            <v>自立</v>
          </cell>
          <cell r="EZ34" t="str">
            <v>口腔ケアはご自身で行えている。自歯や義歯の有無については確認できていなかったため今後確認する。</v>
          </cell>
          <cell r="FB34" t="str">
            <v>入力</v>
          </cell>
          <cell r="FC34" t="str">
            <v>自立</v>
          </cell>
          <cell r="FD34" t="str">
            <v>シャワー浴</v>
          </cell>
          <cell r="FE34" t="str">
            <v>無</v>
          </cell>
          <cell r="FG34" t="str">
            <v>自立</v>
          </cell>
          <cell r="FH34" t="str">
            <v>自立</v>
          </cell>
          <cell r="FI34" t="str">
            <v>入浴はご自身で行えているものの、段差の昇降時など転倒リスクは高い。何度か転倒されている。
更衣については、毎日朝晩でパジャマ⇔洋服に着替えている。ただし、着替えるだけで1時間程度の時間を要す。（ご自身で出来ることは継続してほしいと妻の希望がある。）靴下の装着は難しい。</v>
          </cell>
          <cell r="FK34" t="str">
            <v>入力</v>
          </cell>
          <cell r="FL34" t="str">
            <v>自立</v>
          </cell>
          <cell r="FM34" t="str">
            <v>有</v>
          </cell>
          <cell r="FN34" t="str">
            <v>有</v>
          </cell>
          <cell r="FO34" t="str">
            <v>有</v>
          </cell>
          <cell r="FP34" t="str">
            <v>有</v>
          </cell>
          <cell r="FR34" t="str">
            <v>トイレ</v>
          </cell>
          <cell r="FS34" t="str">
            <v>オムツ</v>
          </cell>
          <cell r="FT34" t="str">
            <v>リハビリパンツ</v>
          </cell>
          <cell r="FU34" t="str">
            <v>排泄に関しては、日中はご自身でトイレへ行けているものの、夜間はトイレまで間に合わずリハビリパンツ内で行ってしまうことがほとんど。時折シーツに失禁もあり妻の負担も大きい。
汚染されたリハビリパンツはご自身で脱いでビニール袋に入れてゴミ箱に入れている。便も知らないうちに出てしまっていることもある。</v>
          </cell>
          <cell r="FX34" t="str">
            <v>入力</v>
          </cell>
          <cell r="FY34" t="str">
            <v>全介助</v>
          </cell>
          <cell r="FZ34" t="str">
            <v>全介助</v>
          </cell>
          <cell r="GA34" t="str">
            <v>全介助</v>
          </cell>
          <cell r="GB34" t="str">
            <v>全介助</v>
          </cell>
          <cell r="GC34" t="str">
            <v>全介助</v>
          </cell>
          <cell r="GD34" t="str">
            <v>現在は奥様の介助を受けている。今後は施設サービスを受けつつ、奥様の援助も受けて生活される。</v>
          </cell>
          <cell r="GG34" t="str">
            <v>特になし。</v>
          </cell>
          <cell r="GH34">
            <v>30</v>
          </cell>
        </row>
        <row r="35">
          <cell r="C35" t="str">
            <v>濱口　よし子</v>
          </cell>
          <cell r="D35" t="str">
            <v>c62dd14b</v>
          </cell>
          <cell r="I35">
            <v>45717</v>
          </cell>
          <cell r="J35" t="str">
            <v>山川　和輝</v>
          </cell>
          <cell r="K35" t="str">
            <v>新規</v>
          </cell>
          <cell r="L35" t="str">
            <v>本人の居室</v>
          </cell>
          <cell r="M35" t="str">
            <v>津市で生まれ兄との二人兄弟。戦後に結婚し、専業主婦として娘2人を育てる。子育て後は兄の会社を夫と共に手伝ってきた。60年程前から現住所で暮らし、25年前に夫が亡くなり一人暮らしとなる。
高齢になり90歳を機に次女夫婦が同居となり、今の家に新しく建て替えた。同居してからもなるべくお多大の生活を尊重し、本人が主体的に生活できるよう家族は見守りながらお互いに自立して生活してきた。</v>
          </cell>
          <cell r="N35" t="str">
            <v>出来ることは自分で続けながら、安全に生活を続けたいです。</v>
          </cell>
          <cell r="O35" t="str">
            <v>安濃津ろまんの環境に慣れて、ここで安心して生活してもらいたいです。</v>
          </cell>
          <cell r="Q35" t="str">
            <v>入力</v>
          </cell>
          <cell r="R35" t="str">
            <v>要介護１</v>
          </cell>
          <cell r="S35" t="str">
            <v>令和6年4月1日</v>
          </cell>
          <cell r="T35" t="str">
            <v>令和6年4月1日</v>
          </cell>
          <cell r="U35" t="str">
            <v>令和7年3月31日</v>
          </cell>
          <cell r="V35" t="str">
            <v>１割負担</v>
          </cell>
          <cell r="W35" t="str">
            <v>後期高齢者医療保険</v>
          </cell>
          <cell r="X35" t="str">
            <v>無</v>
          </cell>
          <cell r="Z35" t="str">
            <v>無</v>
          </cell>
          <cell r="AA35" t="str">
            <v>無</v>
          </cell>
          <cell r="AB35" t="str">
            <v>J2</v>
          </cell>
          <cell r="AC35" t="str">
            <v>Ⅱa</v>
          </cell>
          <cell r="AE35" t="str">
            <v>入力</v>
          </cell>
          <cell r="AF35" t="str">
            <v>田川　由美子</v>
          </cell>
          <cell r="AG35" t="str">
            <v>次女</v>
          </cell>
          <cell r="AI35" t="str">
            <v>別居</v>
          </cell>
          <cell r="AJ35" t="str">
            <v>介護する</v>
          </cell>
          <cell r="AK35" t="str">
            <v>無</v>
          </cell>
          <cell r="AL35" t="str">
            <v>080-3077-3415</v>
          </cell>
          <cell r="AM35" t="str">
            <v>KP</v>
          </cell>
          <cell r="AW35" t="str">
            <v>入力</v>
          </cell>
          <cell r="AX35" t="str">
            <v>一人暮らし</v>
          </cell>
          <cell r="AY35" t="str">
            <v>集合住宅</v>
          </cell>
          <cell r="AZ35" t="str">
            <v>エレベーター有</v>
          </cell>
          <cell r="BA35" t="str">
            <v>賃貸</v>
          </cell>
          <cell r="BB35" t="str">
            <v>有</v>
          </cell>
          <cell r="BC35" t="str">
            <v>有</v>
          </cell>
          <cell r="BD35" t="str">
            <v>洋式</v>
          </cell>
          <cell r="BE35" t="str">
            <v>手すり有</v>
          </cell>
          <cell r="BF35" t="str">
            <v>段差無</v>
          </cell>
          <cell r="BG35" t="str">
            <v>有</v>
          </cell>
          <cell r="BH35" t="str">
            <v>手すり有</v>
          </cell>
          <cell r="BI35" t="str">
            <v>リクライニングベッド</v>
          </cell>
          <cell r="BJ35" t="str">
            <v>無</v>
          </cell>
          <cell r="BK35" t="str">
            <v>無</v>
          </cell>
          <cell r="BL35" t="str">
            <v>無</v>
          </cell>
          <cell r="BM35" t="str">
            <v>無</v>
          </cell>
          <cell r="BO35" t="str">
            <v>入力</v>
          </cell>
          <cell r="BP35" t="str">
            <v>訪問介護 , 訪問看護 , 通所介護</v>
          </cell>
          <cell r="BQ35" t="str">
            <v>手すり</v>
          </cell>
          <cell r="BR35" t="str">
            <v>自費で介護用ベッド貸与</v>
          </cell>
          <cell r="BS35" t="str">
            <v>食事支援 , リネンリース , 洗濯</v>
          </cell>
          <cell r="BT35" t="str">
            <v>デイサービスも利用しており、社会交流は良好。</v>
          </cell>
          <cell r="BW35" t="str">
            <v>入力</v>
          </cell>
          <cell r="BX35" t="str">
            <v>高血圧症</v>
          </cell>
          <cell r="BY35" t="str">
            <v>令和3年12月</v>
          </cell>
          <cell r="BZ35" t="str">
            <v>認知症</v>
          </cell>
          <cell r="CA35" t="str">
            <v>令和3年12月</v>
          </cell>
          <cell r="CB35" t="str">
            <v>腰痛症</v>
          </cell>
          <cell r="CC35" t="str">
            <v>令和3年12月</v>
          </cell>
          <cell r="CJ35" t="str">
            <v>主治医を中森内科から加藤医院往診に切り替えることで今後通院の必要性はない。腰痛症に関しては、現在慢性痛となっており、特に整形受診は必要ない。痛みが増悪する場合に受診を検討。</v>
          </cell>
          <cell r="CS35" t="str">
            <v>その他、令和3年12月にサルコペニアや変形性膝関節症となっている。</v>
          </cell>
          <cell r="CT35" t="str">
            <v>・ロサルタンK
・アムロジピン
服薬管理はローレル薬局と施設で管理を行う。
お薬の袋を開封しお渡しすることでご自身で内服できる。</v>
          </cell>
          <cell r="GG35" t="str">
            <v>96歳の頃くらいから「終活」と言い出すようになり荷物の整理を始めた。おしゃれでたくさんの洋服を持っていたが捨ててしまい、現在は同じ服ばかり着ている。外へ出ることがなく家の片づけなどをして過ごしているが、物忘れの為できていないことが増えてきた。</v>
          </cell>
          <cell r="GH35">
            <v>30</v>
          </cell>
        </row>
        <row r="36">
          <cell r="C36" t="str">
            <v>倉田　欣一郎</v>
          </cell>
          <cell r="D36" t="str">
            <v>6c952829</v>
          </cell>
          <cell r="I36">
            <v>45731</v>
          </cell>
          <cell r="J36" t="str">
            <v>山川　和輝</v>
          </cell>
          <cell r="K36" t="str">
            <v>新規</v>
          </cell>
          <cell r="L36" t="str">
            <v>本人の自宅</v>
          </cell>
          <cell r="M36" t="str">
            <v>自宅にて妻と2人暮らし。同敷地内に三男夫婦が住んでいる。三男夫婦が支援介入していたが、数ヶ月前に三男が癌により入院。以来、三男妻が介入しているものの、妻に任せきりになることが多かった。本人の希望を妻がそのまま聞いてしまうため、食事が減りビールばかり飲んでいたり、動かないことが増え、半年前は歩行移動できたが、急激にADLが低下し、現在は歩行・立位が難しく、排泄もオムツを使用している状態。
他者との関わりを嫌うため、デイは利用していない。何とか先月よりヘルパーを利用開始した。妻も高齢で理解力・介護力が低いため、早期の入居を希望された。</v>
          </cell>
          <cell r="O36" t="str">
            <v>介護が大変になってきたので、施設に入って安心して生活してほしい。</v>
          </cell>
          <cell r="AE36" t="str">
            <v>入力</v>
          </cell>
          <cell r="AF36" t="str">
            <v>倉田　弘子</v>
          </cell>
          <cell r="AG36" t="str">
            <v>妻</v>
          </cell>
          <cell r="AI36" t="str">
            <v>同居</v>
          </cell>
          <cell r="AJ36" t="str">
            <v>介護する</v>
          </cell>
          <cell r="AK36" t="str">
            <v>無</v>
          </cell>
          <cell r="AL36" t="str">
            <v>090-4182-2345</v>
          </cell>
          <cell r="AM36" t="str">
            <v>KP</v>
          </cell>
          <cell r="AN36" t="str">
            <v>倉田　勇人</v>
          </cell>
          <cell r="AO36" t="str">
            <v>三男</v>
          </cell>
          <cell r="AQ36" t="str">
            <v>別居</v>
          </cell>
          <cell r="AR36" t="str">
            <v>介護しない</v>
          </cell>
          <cell r="AT36" t="str">
            <v>090-3448-0420</v>
          </cell>
          <cell r="AU36" t="str">
            <v>癌にて入院。</v>
          </cell>
          <cell r="AW36" t="str">
            <v>入力</v>
          </cell>
          <cell r="AX36" t="str">
            <v>高齢所帯</v>
          </cell>
          <cell r="AY36" t="str">
            <v>一戸建て</v>
          </cell>
          <cell r="BA36" t="str">
            <v>所有</v>
          </cell>
          <cell r="BB36" t="str">
            <v>有</v>
          </cell>
          <cell r="BC36" t="str">
            <v>有</v>
          </cell>
          <cell r="BD36" t="str">
            <v>洋式</v>
          </cell>
          <cell r="BE36" t="str">
            <v>手すり有</v>
          </cell>
          <cell r="BF36" t="str">
            <v>段差無</v>
          </cell>
          <cell r="BG36" t="str">
            <v>有</v>
          </cell>
          <cell r="BH36" t="str">
            <v>手すり有</v>
          </cell>
          <cell r="BI36" t="str">
            <v>リクライニングベッド</v>
          </cell>
          <cell r="BJ36" t="str">
            <v>無</v>
          </cell>
          <cell r="BK36" t="str">
            <v>無</v>
          </cell>
          <cell r="BL36" t="str">
            <v>無</v>
          </cell>
          <cell r="BM36" t="str">
            <v>無</v>
          </cell>
          <cell r="BO36" t="str">
            <v>入力</v>
          </cell>
          <cell r="BP36" t="str">
            <v>訪問介護</v>
          </cell>
          <cell r="BQ36" t="str">
            <v>特殊寝台</v>
          </cell>
          <cell r="BT36" t="str">
            <v>他の方との交流は多くない。苦手なほう。</v>
          </cell>
          <cell r="BW36" t="str">
            <v>入力</v>
          </cell>
          <cell r="BX36" t="str">
            <v>高血圧症</v>
          </cell>
          <cell r="BY36" t="str">
            <v>平成10年</v>
          </cell>
          <cell r="CJ36" t="str">
            <v>もともとは通院を行っていたが、付き添っていた妻も高齢となり通院しなくなった。それにより高血圧症の薬も飲まなくなった。</v>
          </cell>
          <cell r="CS36" t="str">
            <v>肺結核(昭和26年頃）、盲腸(昭和26年頃）、大腸がん(昭和51年頃）</v>
          </cell>
          <cell r="CT36" t="str">
            <v>上記記載の通り、通院を行っていないことで処方なし。</v>
          </cell>
          <cell r="CX36" t="str">
            <v>入力</v>
          </cell>
          <cell r="CY36" t="str">
            <v>無</v>
          </cell>
          <cell r="CZ36" t="str">
            <v>無</v>
          </cell>
          <cell r="DA36" t="str">
            <v>無</v>
          </cell>
          <cell r="DB36" t="str">
            <v>なし</v>
          </cell>
          <cell r="DC36" t="str">
            <v>なし</v>
          </cell>
          <cell r="DD36">
            <v>168</v>
          </cell>
          <cell r="DF36" t="str">
            <v>正常</v>
          </cell>
          <cell r="DG36" t="str">
            <v>有</v>
          </cell>
          <cell r="DH36" t="str">
            <v>大きい声は可</v>
          </cell>
          <cell r="DI36" t="str">
            <v>無</v>
          </cell>
          <cell r="DJ36" t="str">
            <v>生まれつき右眼が失明しており眼球を切除している。現在義眼で生活されている。（朝にご自身で装着）</v>
          </cell>
          <cell r="DL36" t="str">
            <v>入力</v>
          </cell>
          <cell r="DM36" t="str">
            <v>無</v>
          </cell>
          <cell r="DO36" t="str">
            <v>作話</v>
          </cell>
          <cell r="DP36" t="str">
            <v>可能</v>
          </cell>
          <cell r="DQ36" t="str">
            <v>可能</v>
          </cell>
          <cell r="DR36" t="str">
            <v>年相応の物忘れ程度。施設入居を拒むための口実として、作話することもある。</v>
          </cell>
          <cell r="DU36" t="str">
            <v>入力</v>
          </cell>
          <cell r="DV36" t="str">
            <v>何かにつかまればできる</v>
          </cell>
          <cell r="DW36" t="str">
            <v>何かにつかまればできる</v>
          </cell>
          <cell r="DX36" t="str">
            <v>自分の手で支えればできる</v>
          </cell>
          <cell r="DY36" t="str">
            <v>何かにつかまればできる</v>
          </cell>
          <cell r="DZ36" t="str">
            <v>何か支えがあればできる</v>
          </cell>
          <cell r="EA36" t="str">
            <v>自立</v>
          </cell>
          <cell r="EB36" t="str">
            <v>自立</v>
          </cell>
          <cell r="EC36" t="str">
            <v>独歩</v>
          </cell>
          <cell r="ED36" t="str">
            <v>一部介助</v>
          </cell>
          <cell r="EE36" t="str">
            <v>独歩</v>
          </cell>
          <cell r="EF36" t="str">
            <v>部屋の中は独歩で移動している。移動の動線は、ベッドから炬燵間、ベッドからトイレ間となっている。起居動作や移動はご自身で行うことができている。</v>
          </cell>
          <cell r="EH36" t="str">
            <v>入力</v>
          </cell>
          <cell r="EI36" t="str">
            <v>入力</v>
          </cell>
          <cell r="EJ36" t="str">
            <v>経口摂取</v>
          </cell>
          <cell r="EK36" t="str">
            <v>自立</v>
          </cell>
          <cell r="EL36" t="str">
            <v>できる</v>
          </cell>
          <cell r="EM36" t="str">
            <v>普通</v>
          </cell>
          <cell r="EN36" t="str">
            <v>普通</v>
          </cell>
          <cell r="EO36" t="str">
            <v>無</v>
          </cell>
          <cell r="EP36" t="str">
            <v>無</v>
          </cell>
          <cell r="EQ36" t="str">
            <v>箸 , スプーン</v>
          </cell>
          <cell r="ER36" t="str">
            <v>食事は奥様が作っており、奥様と同じ形態の食事を食べられている。
奥様より食事中に時折むせることもあると言われており、嚥下の低下も考えられる。水分でむせるというより、食事でひっかかる感じがあるとのこと。（食事形態の工夫も検討）</v>
          </cell>
          <cell r="ET36" t="str">
            <v>入力</v>
          </cell>
          <cell r="EU36" t="str">
            <v>自立</v>
          </cell>
          <cell r="EV36" t="str">
            <v>無</v>
          </cell>
          <cell r="EW36" t="str">
            <v>無</v>
          </cell>
          <cell r="EZ36" t="str">
            <v>朝にご自身で歯磨きを行っている。口腔ケアは１日１回、朝のみとなっている。</v>
          </cell>
          <cell r="FB36" t="str">
            <v>入力</v>
          </cell>
          <cell r="FC36" t="str">
            <v>全介助</v>
          </cell>
          <cell r="FE36" t="str">
            <v>無</v>
          </cell>
          <cell r="FG36" t="str">
            <v>自立</v>
          </cell>
          <cell r="FH36" t="str">
            <v>自立</v>
          </cell>
          <cell r="FI36" t="str">
            <v>入浴は行っておらず、週1回ヘルパーが支援に入った際に清拭を行っている。その際に更衣も行っており、更衣は基本ご自身で可能だが、手直しが必要なことが多い。</v>
          </cell>
          <cell r="FK36" t="str">
            <v>入力</v>
          </cell>
          <cell r="FL36" t="str">
            <v>自立</v>
          </cell>
          <cell r="FM36" t="str">
            <v>有</v>
          </cell>
          <cell r="FN36" t="str">
            <v>無</v>
          </cell>
          <cell r="FO36" t="str">
            <v>有</v>
          </cell>
          <cell r="FP36" t="str">
            <v>無</v>
          </cell>
          <cell r="FR36" t="str">
            <v>トイレ</v>
          </cell>
          <cell r="FS36" t="str">
            <v>トイレ</v>
          </cell>
          <cell r="FT36" t="str">
            <v>リハビリパンツ</v>
          </cell>
          <cell r="FU36" t="str">
            <v>ベッドからトイレまで近いため、移動は独歩で可能。
トイレはご自身で行うことができており、失敗もなし。ウォシュレットを使用するため清潔も保たれている。</v>
          </cell>
          <cell r="FX36" t="str">
            <v>入力</v>
          </cell>
          <cell r="FY36" t="str">
            <v>全介助</v>
          </cell>
          <cell r="FZ36" t="str">
            <v>全介助</v>
          </cell>
          <cell r="GA36" t="str">
            <v>全介助</v>
          </cell>
          <cell r="GB36" t="str">
            <v>全介助</v>
          </cell>
          <cell r="GC36" t="str">
            <v>自立</v>
          </cell>
          <cell r="GD36" t="str">
            <v>調理や掃除、洗濯は妻が行っているが圧迫骨折となってからはなかなかできていない。買い物はどう敷地内に住む三男妻が行っている。</v>
          </cell>
          <cell r="GG36" t="str">
            <v>2/21ご自宅で転倒。同居する妻が起こそうとした際に、妻が圧迫骨折を呈した。現在はコルセット固定となっている。そのころから介護ができなくなりヘルパーを利用することとなった。
ヘルパーの支援では更衣やシーツ交換を行い、介護拒否はない。むしろ色々やってもらうのが当然という考え方。
奥様より「介護が大変だから施設に入れたい。」と言われており、長男や三男ともに同じ意見だが、本人は施設入居の受け入れで出来ていない。何かしらの理由を付けて入居を拒んでいた。（例えば、18歳の時に肺結核をしていて、今でも完治していないから人に移る。等）
長男様は四日市。教師をされていた。長男の言うことは比較的素直に聞くと言われている。
長男
倉田和典様
08052940423</v>
          </cell>
          <cell r="GH36">
            <v>30</v>
          </cell>
        </row>
        <row r="37">
          <cell r="C37" t="str">
            <v>松本　よ志子</v>
          </cell>
          <cell r="D37" t="str">
            <v>63aaea41</v>
          </cell>
          <cell r="I37">
            <v>45741</v>
          </cell>
          <cell r="J37" t="str">
            <v>山川　和輝</v>
          </cell>
          <cell r="K37" t="str">
            <v>新規</v>
          </cell>
          <cell r="L37" t="str">
            <v>入院先の病院</v>
          </cell>
          <cell r="M37" t="str">
            <v>自宅で独居生活をされていたが、令和7年1月中旬に第二岩崎病院へ入院。長男・次男はともに東京在住のため、退院後も身近での支援が難しく、本人より施設入居を希望されている。入院後はADLが低下し、夜間はオムツを着用していた時期もあったが、徐々に回復され、現在は歩行器を使用しての歩行が可能な状態である。</v>
          </cell>
          <cell r="N37" t="str">
            <v>今まで週1回程度習い事や公民館で嚥下体操を行っていたので、今後も継続したいと思っています。</v>
          </cell>
          <cell r="Q37" t="str">
            <v>入力</v>
          </cell>
          <cell r="R37" t="str">
            <v>要介護１</v>
          </cell>
          <cell r="S37" t="str">
            <v>令和6年8月20日</v>
          </cell>
          <cell r="T37" t="str">
            <v>令和6年9月1日</v>
          </cell>
          <cell r="U37" t="str">
            <v>令和7年8月31日</v>
          </cell>
          <cell r="V37" t="str">
            <v>１割負担</v>
          </cell>
          <cell r="W37" t="str">
            <v>後期高齢者医療保険</v>
          </cell>
          <cell r="X37" t="str">
            <v>有</v>
          </cell>
          <cell r="Y37" t="str">
            <v>3級2種</v>
          </cell>
          <cell r="Z37" t="str">
            <v>無</v>
          </cell>
          <cell r="AE37" t="str">
            <v>入力</v>
          </cell>
          <cell r="AF37" t="str">
            <v>松本　剛</v>
          </cell>
          <cell r="AG37" t="str">
            <v>長男</v>
          </cell>
          <cell r="AI37" t="str">
            <v>別居</v>
          </cell>
          <cell r="AJ37" t="str">
            <v>介護しない</v>
          </cell>
          <cell r="AK37" t="str">
            <v>有</v>
          </cell>
          <cell r="AL37" t="str">
            <v>090-6491-1929</v>
          </cell>
          <cell r="AM37" t="str">
            <v>東京在住。</v>
          </cell>
          <cell r="AW37" t="str">
            <v>入力</v>
          </cell>
          <cell r="AX37" t="str">
            <v>一人暮らし</v>
          </cell>
          <cell r="AY37" t="str">
            <v>集合住宅</v>
          </cell>
          <cell r="AZ37" t="str">
            <v>エレベーター有</v>
          </cell>
          <cell r="BA37" t="str">
            <v>賃貸</v>
          </cell>
          <cell r="BB37" t="str">
            <v>有</v>
          </cell>
          <cell r="BC37" t="str">
            <v>有</v>
          </cell>
          <cell r="BD37" t="str">
            <v>洋式</v>
          </cell>
          <cell r="BE37" t="str">
            <v>手すり有</v>
          </cell>
          <cell r="BF37" t="str">
            <v>段差無</v>
          </cell>
          <cell r="BG37" t="str">
            <v>無</v>
          </cell>
          <cell r="BI37" t="str">
            <v>リクライニングベッド</v>
          </cell>
          <cell r="BJ37" t="str">
            <v>無</v>
          </cell>
          <cell r="BK37" t="str">
            <v>無</v>
          </cell>
          <cell r="BL37" t="str">
            <v>無</v>
          </cell>
          <cell r="BM37" t="str">
            <v>無</v>
          </cell>
          <cell r="BO37" t="str">
            <v>入力</v>
          </cell>
          <cell r="BW37" t="str">
            <v>入力</v>
          </cell>
          <cell r="BX37" t="str">
            <v>廃用症候群</v>
          </cell>
          <cell r="BY37" t="str">
            <v>コロナ後の廃用症候群</v>
          </cell>
          <cell r="CJ37" t="str">
            <v>三重大学病院(甲状腺、リウマチ）へ定期受診。岩崎(内分泌）へ定期受診。内服薬を処方して頂いている。
退院後も、介護タクシーで岩崎、三重大へ通院する。</v>
          </cell>
          <cell r="CS37" t="str">
            <v>リウマチ(35歳）　白内障(20年前）手術ずみ）　糖尿病(40歳）　甲状腺(30年前）</v>
          </cell>
          <cell r="CX37" t="str">
            <v>入力</v>
          </cell>
          <cell r="CY37" t="str">
            <v>無</v>
          </cell>
          <cell r="CZ37" t="str">
            <v>無</v>
          </cell>
          <cell r="DA37" t="str">
            <v>無</v>
          </cell>
          <cell r="DB37" t="str">
            <v>なし</v>
          </cell>
          <cell r="DC37" t="str">
            <v>肘関節から先に痛み</v>
          </cell>
          <cell r="DF37" t="str">
            <v>正常</v>
          </cell>
          <cell r="DG37" t="str">
            <v>無</v>
          </cell>
          <cell r="DH37" t="str">
            <v>正常</v>
          </cell>
          <cell r="DI37" t="str">
            <v>無</v>
          </cell>
          <cell r="DU37" t="str">
            <v>入力</v>
          </cell>
          <cell r="DV37" t="str">
            <v>何かにつかまればできる</v>
          </cell>
          <cell r="DW37" t="str">
            <v>何かにつかまればできる</v>
          </cell>
          <cell r="DX37" t="str">
            <v>自分の手で支えればできる</v>
          </cell>
          <cell r="DY37" t="str">
            <v>何かにつかまればできる</v>
          </cell>
          <cell r="DZ37" t="str">
            <v>何か支えがあればできる</v>
          </cell>
          <cell r="EA37" t="str">
            <v>自立</v>
          </cell>
          <cell r="EB37" t="str">
            <v>自立</v>
          </cell>
          <cell r="EC37" t="str">
            <v>歩行器</v>
          </cell>
          <cell r="EF37" t="str">
            <v>30mくらい
腰が曲がってしまう。
リハビリで、独歩の練習も行う。</v>
          </cell>
          <cell r="EH37" t="str">
            <v>入力</v>
          </cell>
          <cell r="EI37" t="str">
            <v>入力</v>
          </cell>
          <cell r="EJ37" t="str">
            <v>経口摂取</v>
          </cell>
          <cell r="EK37" t="str">
            <v>自立</v>
          </cell>
          <cell r="EL37" t="str">
            <v>できる</v>
          </cell>
          <cell r="EM37" t="str">
            <v>全粥</v>
          </cell>
          <cell r="EN37" t="str">
            <v>普通</v>
          </cell>
          <cell r="EO37" t="str">
            <v>無</v>
          </cell>
          <cell r="EP37" t="str">
            <v>有</v>
          </cell>
          <cell r="EQ37" t="str">
            <v>箸 , スプーン</v>
          </cell>
          <cell r="ER37" t="str">
            <v>糖尿病食　揚げ物禁止　カレー
柔らかめの副食
なぜ揚げ物禁止なのか</v>
          </cell>
          <cell r="ET37" t="str">
            <v>入力</v>
          </cell>
          <cell r="EU37" t="str">
            <v>自立</v>
          </cell>
          <cell r="EV37" t="str">
            <v>有</v>
          </cell>
          <cell r="EW37" t="str">
            <v>無</v>
          </cell>
          <cell r="EZ37" t="str">
            <v>毎食後。
朝夜はきちんと。歯間ブラシも使用。
少し気になるところはある。</v>
          </cell>
          <cell r="FB37" t="str">
            <v>入力</v>
          </cell>
          <cell r="FC37" t="str">
            <v>一部介助</v>
          </cell>
          <cell r="FD37" t="str">
            <v>一般浴</v>
          </cell>
          <cell r="FE37" t="str">
            <v>無</v>
          </cell>
          <cell r="FI37" t="str">
            <v>頭は左手で。今は背中だけ洗ってもらっている。
ボタンはなしのもの。</v>
          </cell>
          <cell r="FK37" t="str">
            <v>入力</v>
          </cell>
          <cell r="FL37" t="str">
            <v>自立</v>
          </cell>
          <cell r="FM37" t="str">
            <v>有</v>
          </cell>
          <cell r="FN37" t="str">
            <v>無</v>
          </cell>
          <cell r="FO37" t="str">
            <v>有</v>
          </cell>
          <cell r="FP37" t="str">
            <v>無</v>
          </cell>
          <cell r="FR37" t="str">
            <v>トイレ</v>
          </cell>
          <cell r="FS37" t="str">
            <v>トイレ</v>
          </cell>
          <cell r="FT37" t="str">
            <v>リハビリパンツ , 小パット</v>
          </cell>
          <cell r="FU37" t="str">
            <v>歩行器で</v>
          </cell>
          <cell r="GG37" t="str">
            <v>4/13 
長男　会社員　海外にも
次男　国家公務員　税理士
通帳も息子へ
オルミエン、
4/5.6で契約　12、13くらいで退院。</v>
          </cell>
          <cell r="GH37">
            <v>30</v>
          </cell>
        </row>
        <row r="38">
          <cell r="C38" t="str">
            <v>吉川　たね子</v>
          </cell>
          <cell r="D38" t="str">
            <v>915c47fd</v>
          </cell>
          <cell r="I38">
            <v>45780</v>
          </cell>
          <cell r="J38" t="str">
            <v>山川　和輝</v>
          </cell>
          <cell r="K38" t="str">
            <v>新規</v>
          </cell>
          <cell r="L38" t="str">
            <v>病院</v>
          </cell>
          <cell r="M38" t="str">
            <v>娘と孫2人でご自宅で同居されていたが、令和7年1月14日に洗濯物を干していた際に足がもつれ転倒。右大腿骨頸部骨折と診断され、1月22日に人口骨頭置換術を施行。2月18日にリハビリ目的で大門病院へ転院。その後、自宅で生活することは難しく安濃津ろまんへ申し込まれた。</v>
          </cell>
          <cell r="N38" t="str">
            <v>安濃津ろまんに入居したあともリハビリを続けたい。</v>
          </cell>
          <cell r="O38" t="str">
            <v>安濃津ろまんで安心して生活してもらいたいと思っている。</v>
          </cell>
          <cell r="Q38" t="str">
            <v>入力</v>
          </cell>
          <cell r="R38" t="str">
            <v>要介護３</v>
          </cell>
          <cell r="V38" t="str">
            <v>２割負担</v>
          </cell>
          <cell r="AE38" t="str">
            <v>入力</v>
          </cell>
          <cell r="AF38" t="str">
            <v>吉川　徹</v>
          </cell>
          <cell r="AG38" t="str">
            <v>長男</v>
          </cell>
          <cell r="AI38" t="str">
            <v>別居</v>
          </cell>
          <cell r="AJ38" t="str">
            <v>介護する</v>
          </cell>
          <cell r="AL38" t="str">
            <v>090-5854-2441</v>
          </cell>
          <cell r="AM38" t="str">
            <v>KP</v>
          </cell>
          <cell r="AN38" t="str">
            <v>井上　朱美</v>
          </cell>
          <cell r="AO38" t="str">
            <v>長女</v>
          </cell>
          <cell r="AQ38" t="str">
            <v>同居</v>
          </cell>
          <cell r="AR38" t="str">
            <v>介護する</v>
          </cell>
          <cell r="AU38" t="str">
            <v>注意</v>
          </cell>
          <cell r="AW38" t="str">
            <v>入力</v>
          </cell>
          <cell r="BW38" t="str">
            <v>入力</v>
          </cell>
          <cell r="BX38" t="str">
            <v>右大腿骨頸部骨折（OPE1/22：人工骨頭置換術）</v>
          </cell>
          <cell r="BY38" t="str">
            <v>令和7年1月14日</v>
          </cell>
          <cell r="CJ38" t="str">
            <v>大門病院退院後の主治医は、加藤医院となる。</v>
          </cell>
          <cell r="CS38" t="str">
            <v>大球性貧血（時期不詳）</v>
          </cell>
          <cell r="CT38" t="str">
            <v>今後ローレル薬局契約
・カンデサルタンOD錠
・アムロジピンOD錠
・ビソプロロールフマル酸塩錠
・リクシアナOD錠
・デノタスチュアブル配合錠</v>
          </cell>
          <cell r="CX38" t="str">
            <v>入力</v>
          </cell>
          <cell r="CY38" t="str">
            <v>無</v>
          </cell>
          <cell r="CZ38" t="str">
            <v>無</v>
          </cell>
          <cell r="DA38" t="str">
            <v>無</v>
          </cell>
          <cell r="DB38" t="str">
            <v>無</v>
          </cell>
          <cell r="DC38" t="str">
            <v>無</v>
          </cell>
          <cell r="DF38" t="str">
            <v>正常</v>
          </cell>
          <cell r="DG38" t="str">
            <v>無</v>
          </cell>
          <cell r="DH38" t="str">
            <v>正常</v>
          </cell>
          <cell r="DI38" t="str">
            <v>無</v>
          </cell>
          <cell r="DJ38" t="str">
            <v>右大腿骨に人口骨頭置換術されており、脱臼姿位に注意する必要がある。無意識で、脱臼姿位を取ることが多い。（股関節内転内旋屈曲位）</v>
          </cell>
          <cell r="DL38" t="str">
            <v>入力</v>
          </cell>
          <cell r="DM38" t="str">
            <v>有</v>
          </cell>
          <cell r="DN38" t="str">
            <v>軽度</v>
          </cell>
          <cell r="DO38" t="str">
            <v>感情の不安定</v>
          </cell>
          <cell r="DP38" t="str">
            <v>可能</v>
          </cell>
          <cell r="DQ38" t="str">
            <v>可能</v>
          </cell>
          <cell r="DR38" t="str">
            <v>日常会話や意思の疎通は可能なものの、年相応の認知機能の低下はありい。また家庭の問題で、精神や感情の乱れが大きい状態。</v>
          </cell>
          <cell r="DU38" t="str">
            <v>入力</v>
          </cell>
          <cell r="DV38" t="str">
            <v>何かにつかまればできる</v>
          </cell>
          <cell r="DW38" t="str">
            <v>何かにつかまればできる</v>
          </cell>
          <cell r="DX38" t="str">
            <v>自分の手で支えればできる</v>
          </cell>
          <cell r="DY38" t="str">
            <v>何かにつかまればできる</v>
          </cell>
          <cell r="DZ38" t="str">
            <v>何か支えがあればできる</v>
          </cell>
          <cell r="EA38" t="str">
            <v>見守り</v>
          </cell>
          <cell r="EB38" t="str">
            <v>見守り</v>
          </cell>
          <cell r="EC38" t="str">
            <v>歩行器</v>
          </cell>
          <cell r="ED38" t="str">
            <v>一部介助</v>
          </cell>
          <cell r="EE38" t="str">
            <v>歩行器</v>
          </cell>
          <cell r="EF38" t="str">
            <v>基本動作はご自身で行うことができるものの、ベッドから立ち上がったり移動に関しては病院では見守りを行っている。
移動はシルバーカーを用いることで比較的安定して歩くことが可能だが、靴を履く際に脱臼姿位を取りやすく注意が必要。
ベッドから立ち上がって移動する際は必ずNCコールをきちんと押すことができている。</v>
          </cell>
          <cell r="EH38" t="str">
            <v>入力</v>
          </cell>
          <cell r="EI38" t="str">
            <v>入力</v>
          </cell>
          <cell r="EJ38" t="str">
            <v>経口摂取</v>
          </cell>
          <cell r="EK38" t="str">
            <v>自立</v>
          </cell>
          <cell r="EL38" t="str">
            <v>できる</v>
          </cell>
          <cell r="EM38" t="str">
            <v>普通</v>
          </cell>
          <cell r="EN38" t="str">
            <v>普通</v>
          </cell>
          <cell r="EO38" t="str">
            <v>無</v>
          </cell>
          <cell r="EP38" t="str">
            <v>有</v>
          </cell>
          <cell r="EQ38" t="str">
            <v>箸 , スプーン</v>
          </cell>
          <cell r="ER38" t="str">
            <v>食事摂取はご自身で可能。食事制限があり、療養食（心臓食1400kcal　米飯130　塩分6g未満）となっている。</v>
          </cell>
          <cell r="ET38" t="str">
            <v>入力</v>
          </cell>
          <cell r="EU38" t="str">
            <v>見守り</v>
          </cell>
          <cell r="EV38" t="str">
            <v>有</v>
          </cell>
          <cell r="EZ38" t="str">
            <v>口腔ケアは病院では見守りで行っているものの、手伝いはほとんど必要がない。義歯の有無は入居後に確認。</v>
          </cell>
          <cell r="FB38" t="str">
            <v>入力</v>
          </cell>
          <cell r="FC38" t="str">
            <v>一部介助</v>
          </cell>
          <cell r="FD38" t="str">
            <v>一般浴</v>
          </cell>
          <cell r="FE38" t="str">
            <v>無</v>
          </cell>
          <cell r="FG38" t="str">
            <v>見守り</v>
          </cell>
          <cell r="FH38" t="str">
            <v>一部介助</v>
          </cell>
          <cell r="FI38" t="str">
            <v>浴室までの移動の際に支えるところがないと不安定となるため職員による介助が必要。また浴槽へ跨ぐ際に、脱臼姿位を取ってしまう可能性があるため介助を行う必要がある。
更衣も同様の理由から介助が必要。</v>
          </cell>
          <cell r="FK38" t="str">
            <v>入力</v>
          </cell>
          <cell r="FL38" t="str">
            <v>自立</v>
          </cell>
          <cell r="FM38" t="str">
            <v>有</v>
          </cell>
          <cell r="FN38" t="str">
            <v>無</v>
          </cell>
          <cell r="FO38" t="str">
            <v>有</v>
          </cell>
          <cell r="FP38" t="str">
            <v>無</v>
          </cell>
          <cell r="FR38" t="str">
            <v>トイレ</v>
          </cell>
          <cell r="FS38" t="str">
            <v>トイレ</v>
          </cell>
          <cell r="FT38" t="str">
            <v>リハビリパンツ</v>
          </cell>
          <cell r="FU38" t="str">
            <v>排泄はご自身で可能。</v>
          </cell>
          <cell r="FX38" t="str">
            <v>入力</v>
          </cell>
          <cell r="FY38" t="str">
            <v>全介助</v>
          </cell>
          <cell r="FZ38" t="str">
            <v>全介助</v>
          </cell>
          <cell r="GA38" t="str">
            <v>全介助</v>
          </cell>
          <cell r="GB38" t="str">
            <v>全介助</v>
          </cell>
          <cell r="GC38" t="str">
            <v>全介助</v>
          </cell>
          <cell r="GD38" t="str">
            <v>施設サービスを受けたり、長男様の手伝いが必要。</v>
          </cell>
          <cell r="GG38" t="str">
            <v>家庭環境に問題あり。
入院前は自宅で、長女とその子ども（孫にあたる長男・長女）の4人で同居していた。生活の中で、たね子様が孫（長男）から経済的・身体的な負担を強いられていた様子があり、これまでの貯金4000万円も使い切っていたとの情報がある。
退院後の生活については、大門病院MSWがそのような家庭への帰宅は難しいと判断し、安濃津ろまんへの入居につながった。今後のキーパーソンは長男となる。孫（長男）は安濃津ろまんへの出入り禁止とし、長女にもたね子さんに関する情報提供は行わない方針。
施設内での安心・安全を守るため、不適切な言動（大声、威圧的な態度など）があった場合には、即時退居の対応を取ることを事前に説明済み。孫（長男）は病院でも大声を出す、物を壊すといったトラブルがあり、すでに出入り禁止となっている。</v>
          </cell>
          <cell r="GH38">
            <v>30</v>
          </cell>
        </row>
        <row r="39">
          <cell r="C39" t="str">
            <v>川村　宗夫</v>
          </cell>
          <cell r="D39" t="str">
            <v>dacb6e53</v>
          </cell>
          <cell r="I39">
            <v>45794</v>
          </cell>
          <cell r="J39" t="str">
            <v>山川　和輝</v>
          </cell>
          <cell r="K39" t="str">
            <v>新規</v>
          </cell>
          <cell r="L39" t="str">
            <v>施設</v>
          </cell>
          <cell r="M39" t="str">
            <v>長年三重県で暮らし、これまで自宅で家族とともに生活してきた。ここ数年で物忘れが進み、昼夜が逆転したり、外に出て帰れなくなることも増え、同居する息子様は仕事をしながらの見守りや対応には限界があり、安全や生活の安定を第一に考え、入所の申し込みに至った。</v>
          </cell>
          <cell r="N39" t="str">
            <v>認知機能の低下から具体的な希望の聴取は困難であった。</v>
          </cell>
          <cell r="O39" t="str">
            <v>家族としても無理のないかたちで関わりを続け、見守りやサポートを安心して任せられる体制を望んでいる。</v>
          </cell>
          <cell r="Q39" t="str">
            <v>入力</v>
          </cell>
          <cell r="R39" t="str">
            <v>要介護１</v>
          </cell>
          <cell r="AE39" t="str">
            <v>入力</v>
          </cell>
          <cell r="AF39" t="str">
            <v>川村　眞次</v>
          </cell>
          <cell r="AG39" t="str">
            <v>長男</v>
          </cell>
          <cell r="AI39" t="str">
            <v>同居</v>
          </cell>
          <cell r="AJ39" t="str">
            <v>介護する</v>
          </cell>
          <cell r="AK39" t="str">
            <v>有</v>
          </cell>
          <cell r="AL39" t="str">
            <v>090-7858-3763</v>
          </cell>
          <cell r="AM39" t="str">
            <v>KP</v>
          </cell>
          <cell r="BO39" t="str">
            <v>入力</v>
          </cell>
          <cell r="BP39" t="str">
            <v>通所介護</v>
          </cell>
          <cell r="BR39" t="str">
            <v>無</v>
          </cell>
          <cell r="BT39" t="str">
            <v>認知機能の低下があり他の利用者様とコミュニケーションはあまりないが、トラブルもなし。</v>
          </cell>
          <cell r="BW39" t="str">
            <v>入力</v>
          </cell>
          <cell r="BX39" t="str">
            <v>認知症</v>
          </cell>
          <cell r="BY39" t="str">
            <v>不詳</v>
          </cell>
          <cell r="BZ39" t="str">
            <v>高血圧症</v>
          </cell>
          <cell r="CA39" t="str">
            <v>不詳</v>
          </cell>
          <cell r="CJ39" t="str">
            <v>現在、吉田クリニック（2ヶ月毎）とベタニヤ内科・神経内科クリニック（1ヶ月毎）に受診を行っているが、今後は往診へ切り替える。</v>
          </cell>
          <cell r="CK39" t="str">
            <v>加藤医院</v>
          </cell>
          <cell r="CL39" t="str">
            <v>加藤　裕也</v>
          </cell>
          <cell r="CO39" t="str">
            <v>吉田クリニック</v>
          </cell>
          <cell r="CP39" t="str">
            <v>ベタニヤ内科・神経内科クリニック</v>
          </cell>
          <cell r="CS39" t="str">
            <v>前立腺がん（10年前、現在再発・転移なし）</v>
          </cell>
          <cell r="CT39" t="str">
            <v>・クラシエ抑肝散　・チアプリド錠　・プロチゾラム錠　・イルベサルタン錠
薬の管理は息子様が行っている。</v>
          </cell>
          <cell r="CU39" t="str">
            <v>無</v>
          </cell>
          <cell r="CX39" t="str">
            <v>入力</v>
          </cell>
          <cell r="CY39" t="str">
            <v>無</v>
          </cell>
          <cell r="CZ39" t="str">
            <v>無</v>
          </cell>
          <cell r="DA39" t="str">
            <v>無</v>
          </cell>
          <cell r="DB39" t="str">
            <v>無</v>
          </cell>
          <cell r="DC39" t="str">
            <v>無</v>
          </cell>
          <cell r="DF39" t="str">
            <v>正常</v>
          </cell>
          <cell r="DG39" t="str">
            <v>無</v>
          </cell>
          <cell r="DH39" t="str">
            <v>正常</v>
          </cell>
          <cell r="DI39" t="str">
            <v>無</v>
          </cell>
          <cell r="DJ39" t="str">
            <v>前立腺がんの手術歴があり（10年以上前、三重大にて）、現在は再発や転移は認められていない。高血圧および脂質異常症に対しては吉田クリニックで定期的に投薬管理を受けており、認知症に対してはベタニア病院（物忘れ外来）で治療を継続中。服薬は主に息子が夜間に手渡しで対応しており、朝の内服は本人の状況により中止されている。入居後は加藤医院への主治医変更を予定。
視力・聴力ともに大きな支障はないが、約2年前に白内障手術を受けている。</v>
          </cell>
          <cell r="DL39" t="str">
            <v>入力</v>
          </cell>
          <cell r="DM39" t="str">
            <v>有</v>
          </cell>
          <cell r="DN39" t="str">
            <v>中等度</v>
          </cell>
          <cell r="DO39" t="str">
            <v>昼夜逆転 , 徘徊</v>
          </cell>
          <cell r="DP39" t="str">
            <v>不明瞭</v>
          </cell>
          <cell r="DQ39" t="str">
            <v>やや不自由</v>
          </cell>
          <cell r="DR39" t="str">
            <v>会話自体は成立するものの、内容の理解に時間がかかり、短期記憶障害が顕著にみられる。同じ話題を繰り返すことや一人言が多く、時間や場所、人の認識にも混乱がある。昼夜逆転傾向が強く、夜間に「誰かに呼ばれている」と訴えたり、徘徊行動が見られることがある。過去には深夜に自転車や徒歩で外出し、デイサービスに向かうなどのエピソードもあり、安全確保が重要な課題となっている。また、転倒歴や幻聴様の訴えもあるが、暴力行為や強い興奮はなく、混乱時には落ち込む傾向がある。</v>
          </cell>
          <cell r="DU39" t="str">
            <v>入力</v>
          </cell>
          <cell r="DV39" t="str">
            <v>何かにつかまればできる</v>
          </cell>
          <cell r="DW39" t="str">
            <v>何かにつかまればできる</v>
          </cell>
          <cell r="DX39" t="str">
            <v>自分の手で支えればできる</v>
          </cell>
          <cell r="DY39" t="str">
            <v>何かにつかまればできる</v>
          </cell>
          <cell r="DZ39" t="str">
            <v>何か支えがあればできる</v>
          </cell>
          <cell r="EA39" t="str">
            <v>自立</v>
          </cell>
          <cell r="EB39" t="str">
            <v>自立</v>
          </cell>
          <cell r="EC39" t="str">
            <v>独歩</v>
          </cell>
          <cell r="ED39" t="str">
            <v>自立</v>
          </cell>
          <cell r="EE39" t="str">
            <v>独歩</v>
          </cell>
          <cell r="EF39" t="str">
            <v>移動は自立しており、屋内では概ね安定して歩行可能だが、屋外や夜間はふらつきや不安定さが見られ、転倒のリスクがある。</v>
          </cell>
          <cell r="EH39" t="str">
            <v>入力</v>
          </cell>
          <cell r="EI39" t="str">
            <v>入力</v>
          </cell>
          <cell r="EJ39" t="str">
            <v>経口摂取</v>
          </cell>
          <cell r="EK39" t="str">
            <v>自立</v>
          </cell>
          <cell r="EL39" t="str">
            <v>できる</v>
          </cell>
          <cell r="EM39" t="str">
            <v>普通</v>
          </cell>
          <cell r="EN39" t="str">
            <v>普通</v>
          </cell>
          <cell r="EO39" t="str">
            <v>無</v>
          </cell>
          <cell r="EP39" t="str">
            <v>無</v>
          </cell>
          <cell r="EQ39" t="str">
            <v>箸 , スプーン</v>
          </cell>
          <cell r="ER39" t="str">
            <v>食事は自宅およびデイサービスにて1日3食しっかり摂取できており、食欲も良好である。現在のところ、摂食や嚥下に関する問題は見られておらず、介助も不要。</v>
          </cell>
          <cell r="ET39" t="str">
            <v>入力</v>
          </cell>
          <cell r="EU39" t="str">
            <v>一部介助</v>
          </cell>
          <cell r="EV39" t="str">
            <v>有</v>
          </cell>
          <cell r="EW39" t="str">
            <v>有</v>
          </cell>
          <cell r="EX39" t="str">
            <v>部分義歯</v>
          </cell>
          <cell r="EY39" t="str">
            <v>下</v>
          </cell>
          <cell r="EZ39" t="str">
            <v>上顎は総義歯を使用、下顎には一部自歯が残存しているが、義歯の不適合を訴えている。入れ歯の清掃状況は不十分であり、口腔衛生面の支援が必要。今後は往診歯科による対応を検討している。</v>
          </cell>
          <cell r="FB39" t="str">
            <v>入力</v>
          </cell>
          <cell r="FC39" t="str">
            <v>自立</v>
          </cell>
          <cell r="FD39" t="str">
            <v>一般浴</v>
          </cell>
          <cell r="FE39" t="str">
            <v>無</v>
          </cell>
          <cell r="FG39" t="str">
            <v>自立</v>
          </cell>
          <cell r="FH39" t="str">
            <v>自立</v>
          </cell>
          <cell r="FI39" t="str">
            <v>入浴はデイサービスにて週2回利用しており、自宅でも継続して入浴を行っていた。入居後は週3回の入浴を希望しており、清潔保持の意識は保たれている。
更衣は自立可能であるものの、衣類の選択に混乱があり、色柄や季節に合わない服を選ぶ場面があるため、今後は見守りや支援が必要。</v>
          </cell>
          <cell r="FK39" t="str">
            <v>入力</v>
          </cell>
          <cell r="FL39" t="str">
            <v>自立</v>
          </cell>
          <cell r="FM39" t="str">
            <v>有</v>
          </cell>
          <cell r="FN39" t="str">
            <v>有</v>
          </cell>
          <cell r="FO39" t="str">
            <v>有</v>
          </cell>
          <cell r="FP39" t="str">
            <v>無</v>
          </cell>
          <cell r="FR39" t="str">
            <v>トイレ</v>
          </cell>
          <cell r="FS39" t="str">
            <v>トイレ</v>
          </cell>
          <cell r="FT39" t="str">
            <v>リハビリパンツ , 小パット</v>
          </cell>
          <cell r="FU39" t="str">
            <v>排泄は概ね自立しているが、失禁がありパッドを常用している。本人の自覚が乏しく、管理は主に家族が行っている。</v>
          </cell>
          <cell r="FX39" t="str">
            <v>入力</v>
          </cell>
          <cell r="FY39" t="str">
            <v>全介助</v>
          </cell>
          <cell r="FZ39" t="str">
            <v>全介助</v>
          </cell>
          <cell r="GA39" t="str">
            <v>全介助</v>
          </cell>
          <cell r="GB39" t="str">
            <v>全介助</v>
          </cell>
          <cell r="GC39" t="str">
            <v>全介助</v>
          </cell>
          <cell r="GD39" t="str">
            <v>すべて息子様や奥様が行っている。</v>
          </cell>
          <cell r="GG39" t="str">
            <v>夜間に「誰かに呼ばれている」と訴えることがあり、実際に深夜の外出や徘徊の既往があるため、安全確保の観点から夜間の見守り体制や外出防止策が必要である。また、歩行は基本的に自立しているが、屋外や夜間は不安定で転倒歴もあることから、転倒予防を含めた環境整備が求められる。
現在、要介護1で認定の区分変更申請を行っている。</v>
          </cell>
          <cell r="GH39">
            <v>30</v>
          </cell>
        </row>
        <row r="40">
          <cell r="C40" t="str">
            <v>渡辺　三津子</v>
          </cell>
          <cell r="D40" t="str">
            <v>d7b0bce7</v>
          </cell>
          <cell r="I40">
            <v>45828</v>
          </cell>
          <cell r="J40" t="str">
            <v>山川　和輝</v>
          </cell>
          <cell r="K40" t="str">
            <v>新規</v>
          </cell>
          <cell r="L40" t="str">
            <v>施設</v>
          </cell>
          <cell r="M40" t="str">
            <v>自宅にて独居。子供はいない。脊柱管狭窄症にて下肢の動きが緩慢になった事や、膠原病、肝機能低下などがあり、令和6年10月にゴールドエイジ一身田に入居したが、昨年コロナに罹患した際に、状態の報告がなかったり、「人手不足のためトイレではなくオムツを使用させて下さい。」と言われたことで不信感が積もり、安濃津ろまんへの入居の流れとなった。</v>
          </cell>
          <cell r="N40" t="str">
            <v>施設で安心して生活を続けたい。</v>
          </cell>
          <cell r="O40" t="str">
            <v>本人が安心して過ごせる環境と、信頼できる支援体制を希望している。</v>
          </cell>
          <cell r="Q40" t="str">
            <v>入力</v>
          </cell>
          <cell r="R40" t="str">
            <v>要介護３</v>
          </cell>
          <cell r="S40" t="str">
            <v>令和6年9月10日</v>
          </cell>
          <cell r="T40" t="str">
            <v>令和6年8月14日</v>
          </cell>
          <cell r="U40" t="str">
            <v>令和7年8月31日</v>
          </cell>
          <cell r="V40" t="str">
            <v>１割負担</v>
          </cell>
          <cell r="AE40" t="str">
            <v>入力</v>
          </cell>
          <cell r="AF40" t="str">
            <v>岡垣　勝子</v>
          </cell>
          <cell r="AG40" t="str">
            <v>姪</v>
          </cell>
          <cell r="AH40" t="str">
            <v>鳥取県鳥取市江崎町91番地</v>
          </cell>
          <cell r="AI40" t="str">
            <v>別居</v>
          </cell>
          <cell r="AJ40" t="str">
            <v>介護しない</v>
          </cell>
          <cell r="AL40" t="str">
            <v>090-7891-6813</v>
          </cell>
          <cell r="AM40" t="str">
            <v>KP</v>
          </cell>
          <cell r="AN40" t="str">
            <v>岡垣　智也</v>
          </cell>
          <cell r="AO40" t="str">
            <v>姪の子</v>
          </cell>
          <cell r="AP40" t="str">
            <v>鳥取県倉吉市駄経寺町41-1</v>
          </cell>
          <cell r="AQ40" t="str">
            <v>別居</v>
          </cell>
          <cell r="AR40" t="str">
            <v>介護しない</v>
          </cell>
          <cell r="AT40" t="str">
            <v>090-3173-8533</v>
          </cell>
          <cell r="AW40" t="str">
            <v>入力</v>
          </cell>
          <cell r="AX40" t="str">
            <v>一人暮らし</v>
          </cell>
          <cell r="AY40" t="str">
            <v>集合住宅</v>
          </cell>
          <cell r="AZ40" t="str">
            <v>エレベーター有</v>
          </cell>
          <cell r="BA40" t="str">
            <v>賃貸</v>
          </cell>
          <cell r="BB40" t="str">
            <v>有</v>
          </cell>
          <cell r="BC40" t="str">
            <v>有</v>
          </cell>
          <cell r="BD40" t="str">
            <v>洋式</v>
          </cell>
          <cell r="BE40" t="str">
            <v>手すり有</v>
          </cell>
          <cell r="BF40" t="str">
            <v>段差無</v>
          </cell>
          <cell r="BG40" t="str">
            <v>無</v>
          </cell>
          <cell r="BI40" t="str">
            <v>リクライニングベッド</v>
          </cell>
          <cell r="BJ40" t="str">
            <v>無</v>
          </cell>
          <cell r="BK40" t="str">
            <v>無</v>
          </cell>
          <cell r="BL40" t="str">
            <v>無</v>
          </cell>
          <cell r="BM40" t="str">
            <v>無</v>
          </cell>
          <cell r="BO40" t="str">
            <v>入力</v>
          </cell>
          <cell r="BP40" t="str">
            <v>通所介護</v>
          </cell>
          <cell r="BQ40" t="str">
            <v>車いす , 特殊寝台 , 特殊寝台付属品</v>
          </cell>
          <cell r="BR40" t="str">
            <v>訪問マッサージ（週3回）</v>
          </cell>
          <cell r="BT40" t="str">
            <v>自発的にコミュニケーションは取ろうとしないが、話しかけられたら話す。</v>
          </cell>
          <cell r="BW40" t="str">
            <v>入力</v>
          </cell>
          <cell r="BX40" t="str">
            <v>認知症</v>
          </cell>
          <cell r="BY40" t="str">
            <v>令和6年頃</v>
          </cell>
          <cell r="BZ40" t="str">
            <v>慢性心不全</v>
          </cell>
          <cell r="CA40" t="str">
            <v>不詳</v>
          </cell>
          <cell r="CB40" t="str">
            <v>骨粗鬆症</v>
          </cell>
          <cell r="CC40" t="str">
            <v>不詳</v>
          </cell>
          <cell r="CJ40" t="str">
            <v>現在通院は行っておらず、津生協病院の往診を受けている。</v>
          </cell>
          <cell r="CK40" t="str">
            <v>津生協病院　往診（確認）</v>
          </cell>
          <cell r="CL40" t="str">
            <v>不詳</v>
          </cell>
          <cell r="CM40" t="str">
            <v>津生協病院　往診</v>
          </cell>
          <cell r="CN40" t="str">
            <v>不詳</v>
          </cell>
          <cell r="CO40" t="str">
            <v>無</v>
          </cell>
          <cell r="CS40" t="str">
            <v>膠原病、肝機能障害、脊柱管狭窄症</v>
          </cell>
          <cell r="CX40" t="str">
            <v>入力</v>
          </cell>
          <cell r="CY40" t="str">
            <v>無</v>
          </cell>
          <cell r="CZ40" t="str">
            <v>無</v>
          </cell>
          <cell r="DA40" t="str">
            <v>無</v>
          </cell>
          <cell r="DB40" t="str">
            <v>無</v>
          </cell>
          <cell r="DC40" t="str">
            <v>腰、足（場所は曖昧）</v>
          </cell>
          <cell r="DF40" t="str">
            <v>大きい字は可</v>
          </cell>
          <cell r="DH40" t="str">
            <v>大きい声は可</v>
          </cell>
          <cell r="DI40" t="str">
            <v>無</v>
          </cell>
          <cell r="DJ40" t="str">
            <v>4ヶ月前のコロナ罹患以降、ADLが著しく低下しており、以前は自立して行えていた排泄や移動にも全面的な支援が必要となっている。
皮膚状態に褥瘡は見られず、むくみ対策として包帯による下肢の圧迫が行われている（ストッキングは締め付けが強く本人が拒否）。腰部や足などに不定愁訴的な痛みを訴えることがある。
浮腫の軽減を目的に訪問マッサージを週3回受けており、疼痛の軽減や身体機能の維持に寄与している。</v>
          </cell>
          <cell r="DL40" t="str">
            <v>入力</v>
          </cell>
          <cell r="DM40" t="str">
            <v>有</v>
          </cell>
          <cell r="DN40" t="str">
            <v>中等度</v>
          </cell>
          <cell r="DO40" t="str">
            <v>大声・奇声</v>
          </cell>
          <cell r="DP40" t="str">
            <v>可能</v>
          </cell>
          <cell r="DQ40" t="str">
            <v>その場のみ可</v>
          </cell>
          <cell r="DR40" t="str">
            <v>記憶力の低下が顕著であり、新しい情報の保持が困難。短期記憶障害が強く、伝えた内容をすぐに忘れる場面が多くみられる。不安が強く、特に夜間や周囲に人がいない状況では「助けて」と大声で訴えることがあるが、日中や他者が近くにいる場面では落ち着いて過ごすことができる。
見当識に一部混乱が見られ、時間や状況の把握が不安定な傾向がある。問題行動（徘徊、暴力、不適切行動等）は現時点で認められていない。人との関わりは受動的ではあるが、促しにより応じることは可能。</v>
          </cell>
          <cell r="DU40" t="str">
            <v>入力</v>
          </cell>
          <cell r="DV40" t="str">
            <v>何かにつかまればできる</v>
          </cell>
          <cell r="DW40" t="str">
            <v>何かにつかまればできる</v>
          </cell>
          <cell r="DX40" t="str">
            <v>自分の手で支えればできる</v>
          </cell>
          <cell r="DY40" t="str">
            <v>できない</v>
          </cell>
          <cell r="DZ40" t="str">
            <v>できない</v>
          </cell>
          <cell r="EA40" t="str">
            <v>一部介助</v>
          </cell>
          <cell r="EB40" t="str">
            <v>全介助</v>
          </cell>
          <cell r="EC40" t="str">
            <v>車椅子</v>
          </cell>
          <cell r="ED40" t="str">
            <v>全介助</v>
          </cell>
          <cell r="EE40" t="str">
            <v>車椅子</v>
          </cell>
          <cell r="EF40" t="str">
            <v>起き上がりは、自力でも可能な場面があるが、全体的に時間を要し、介助を必要とする場面が多い。立ち上がりは支えがあれば可能であり、立ち上がろうとする意欲は保たれている。
移乗動作は一人で行うことはなく、ベッドに車椅子を横付けし、支えながらの介助によって実施されている。中等度の介助が必要である。
車椅子への移乗後は安定して座位を保つことができ、座位保持は見守りで対応できている。ベッドからの離床は介助を要するが、環境設定と声かけにより可能な範囲で実施されている。
車椅子の自操は現在行っていない。以前は自操できていたが、現在は足の痛みや筋力の低下により、自力での移動は行われていない。ベッド上での体位変換も、介助が必要な場面が多い。</v>
          </cell>
          <cell r="EH40" t="str">
            <v>入力</v>
          </cell>
          <cell r="EI40" t="str">
            <v>入力</v>
          </cell>
          <cell r="EJ40" t="str">
            <v>経口摂取</v>
          </cell>
          <cell r="EK40" t="str">
            <v>自立</v>
          </cell>
          <cell r="EL40" t="str">
            <v>できる</v>
          </cell>
          <cell r="EM40" t="str">
            <v>全粥</v>
          </cell>
          <cell r="EN40" t="str">
            <v>キザミ</v>
          </cell>
          <cell r="EO40" t="str">
            <v>無</v>
          </cell>
          <cell r="EP40" t="str">
            <v>無</v>
          </cell>
          <cell r="EQ40" t="str">
            <v>箸 , スプーン</v>
          </cell>
          <cell r="ER40" t="str">
            <v>食事は全粥、キザミ食で提供されているが、パンは好きなようでクロワッサンが提供されている。摂取量は全体の約5割程度。ご家族様が持ちこんだお菓子やパンなどをデイサービス利用時に提供され間食されている。1回の摂取量が少ないため、空腹感は感じやすい。
朝食にパンを提供した場合は比較的よく食べている。カロリーメイトパウチなどの栄養補助食品を過去に家族が持参していたが、現在は使用されていない。必要に応じて補助食品の再導入が望まれる状態である。
食事動作は自力で可能であり、スプーンや箸を使用して摂取している。食事中の見守りや声かけは必要であるが、介助は不要である。嚥下状態は安定しており、とろみ剤等の使用はしていない。食事制限（塩分・水分等）はなく、特別な食事療法も行っていない。</v>
          </cell>
          <cell r="ET40" t="str">
            <v>入力</v>
          </cell>
          <cell r="EU40" t="str">
            <v>一部介助</v>
          </cell>
          <cell r="EV40" t="str">
            <v>有</v>
          </cell>
          <cell r="EW40" t="str">
            <v>無</v>
          </cell>
          <cell r="EZ40" t="str">
            <v>歯ブラシやコップを準備し、洗面所へ誘導することでご自身で歯みがきされる。義歯は使用していないが、下の歯はなく、上は少しのみ。</v>
          </cell>
          <cell r="FB40" t="str">
            <v>入力</v>
          </cell>
          <cell r="FC40" t="str">
            <v>全介助</v>
          </cell>
          <cell r="FD40" t="str">
            <v>寝台浴</v>
          </cell>
          <cell r="FE40" t="str">
            <v>無</v>
          </cell>
          <cell r="FG40" t="str">
            <v>一部介助</v>
          </cell>
          <cell r="FH40" t="str">
            <v>全介助</v>
          </cell>
          <cell r="FI40" t="str">
            <v>入浴は機械浴を使用して実施されている。寝たままの姿勢での入浴であり、全身の洗身・洗髪ともに全介助が必要である。身体状況および安全面を考慮し、一般浴や個浴での対応は行っていない。
更衣は上下ともに介助を要する。本人に協力動作は見られ、声かけや支えによって動作に参加することは可能である。衣類の着脱においては、手足の痛みや関節の不安定さから、スムーズに進まない場面もあるため、時間に余裕を持った対応が必要。</v>
          </cell>
          <cell r="FK40" t="str">
            <v>入力</v>
          </cell>
          <cell r="FL40" t="str">
            <v>全介助</v>
          </cell>
          <cell r="FM40" t="str">
            <v>有</v>
          </cell>
          <cell r="FN40" t="str">
            <v>有</v>
          </cell>
          <cell r="FO40" t="str">
            <v>有</v>
          </cell>
          <cell r="FP40" t="str">
            <v>有</v>
          </cell>
          <cell r="FR40" t="str">
            <v>オムツ</v>
          </cell>
          <cell r="FS40" t="str">
            <v>オムツ</v>
          </cell>
          <cell r="FT40" t="str">
            <v>紙おむつ , 大パット</v>
          </cell>
          <cell r="FU40" t="str">
            <v>現在、パッド内での対応となっており、定期的な交換によって管理されている。排便・排尿ともにトイレでの排泄は行っておらず、トイレ誘導は基本的には実施されていない。ただし、まれに訴えがあった際に誘導を行う場合があるが、実際に排便・排尿があるかどうかは不明である。
おむついじりや排泄に関する問題行動（不適切な排泄行動、失禁後の不潔行動など）は認められていない。パッド類は定額制のサブスクリプションを利用し、施設での支給が行われている。</v>
          </cell>
          <cell r="FX40" t="str">
            <v>入力</v>
          </cell>
          <cell r="FY40" t="str">
            <v>全介助</v>
          </cell>
          <cell r="FZ40" t="str">
            <v>全介助</v>
          </cell>
          <cell r="GA40" t="str">
            <v>全介助</v>
          </cell>
          <cell r="GB40" t="str">
            <v>全介助</v>
          </cell>
          <cell r="GC40" t="str">
            <v>全介助</v>
          </cell>
          <cell r="GD40" t="str">
            <v>現在サービス付き高齢者向け住宅に入居されており、IADLは施設のサポートがある状況。安濃津ろまんへ入居となった後も、同様に施設サービスを活用していく。</v>
          </cell>
          <cell r="GG40" t="str">
            <v>・一人になると不安から「助けて」と大声を出すことがあるが、人の気配があると落ち着いて過ごせている。環境調整や声かけによる安心の確保が必要である。
・家族は2ヶ月に1回訪問。関与は限定的だが本人の意向を尊重している。
・水分の摂取に関して、視界に飲み物が入っていないと飲まない。ストローマグをベッドの横に置いて対応。</v>
          </cell>
          <cell r="GH40">
            <v>30</v>
          </cell>
        </row>
        <row r="41">
          <cell r="C41" t="str">
            <v>生駒　潤一</v>
          </cell>
          <cell r="D41" t="str">
            <v>48e6da85</v>
          </cell>
          <cell r="I41">
            <v>45855</v>
          </cell>
          <cell r="J41" t="str">
            <v>山川　和輝</v>
          </cell>
          <cell r="K41" t="str">
            <v>新規</v>
          </cell>
          <cell r="L41" t="str">
            <v>病院</v>
          </cell>
          <cell r="M41" t="str">
            <v>自宅で母親と妹の3人暮らし。5年程前に、糖尿病の悪化から自宅での生活が困難となる。妹は実母の面倒を見ており、潤一様のお世話まではできず、サ高住さくらに入居した。糖尿病の合併症により透析が必要となり、月・水・金と透析に通っていた。今年5月に狭心症によりバイパス手術のため、三重大学病院に入院、その後はリハビリのため武内病院に転院となる。退院後はサ高住さくらに戻ることは難しく、透析の通院ができる施設として安濃津ろまんへ入居の流れとなった。</v>
          </cell>
          <cell r="Q41" t="str">
            <v>入力</v>
          </cell>
          <cell r="R41" t="str">
            <v>区分変更</v>
          </cell>
          <cell r="AE41" t="str">
            <v>入力</v>
          </cell>
          <cell r="AF41" t="str">
            <v>生駒　恭平</v>
          </cell>
          <cell r="AG41" t="str">
            <v>子</v>
          </cell>
          <cell r="AH41" t="str">
            <v>静岡健浜松市中央区5-4-6　コンフォート103</v>
          </cell>
          <cell r="AI41" t="str">
            <v>別居</v>
          </cell>
          <cell r="AJ41" t="str">
            <v>介護する</v>
          </cell>
          <cell r="AL41" t="str">
            <v>090-2578-9458</v>
          </cell>
          <cell r="BW41" t="str">
            <v>入力</v>
          </cell>
          <cell r="BX41" t="str">
            <v>冠動脈バイパス手術後</v>
          </cell>
          <cell r="BY41" t="str">
            <v>令和7年5月6日</v>
          </cell>
          <cell r="BZ41" t="str">
            <v>糖尿病</v>
          </cell>
          <cell r="CA41" t="str">
            <v>不詳</v>
          </cell>
          <cell r="CB41" t="str">
            <v>閉塞性動脈硬化症</v>
          </cell>
          <cell r="CC41" t="str">
            <v>不詳</v>
          </cell>
          <cell r="CD41" t="str">
            <v>逆流性食道炎</v>
          </cell>
          <cell r="CE41" t="str">
            <v>不詳</v>
          </cell>
          <cell r="CJ41" t="str">
            <v>透析のため津腎クリニックへ月・水・金で通院。通院はおたすけ工房を利用。</v>
          </cell>
          <cell r="CK41" t="str">
            <v>津腎クリニック</v>
          </cell>
          <cell r="CM41" t="str">
            <v>加藤医院</v>
          </cell>
          <cell r="CN41" t="str">
            <v>加藤裕也先生</v>
          </cell>
          <cell r="CO41" t="str">
            <v>武内病院</v>
          </cell>
          <cell r="CS41" t="str">
            <v>アルコール依存症の指摘有（2019年）、人口股関節手術（2022年）</v>
          </cell>
          <cell r="CT41" t="str">
            <v>現在入院中のため、病院で管理を行い、看護師が配薬を行う。最近では内服の拒否に拒否があり、必要に応じて時間を空けて提供したり、職員を変えて提供する。口に入れて飲み込むまでの確認が必要。よく落としてそのままになっていることが多いため。</v>
          </cell>
          <cell r="CX41" t="str">
            <v>入力</v>
          </cell>
          <cell r="CZ41" t="str">
            <v>無</v>
          </cell>
          <cell r="DA41" t="str">
            <v>点滴の管理 , 透析</v>
          </cell>
          <cell r="DB41" t="str">
            <v>無</v>
          </cell>
          <cell r="DC41" t="str">
            <v>有</v>
          </cell>
          <cell r="DF41" t="str">
            <v>正常</v>
          </cell>
          <cell r="DG41" t="str">
            <v>無</v>
          </cell>
          <cell r="DH41" t="str">
            <v>正常</v>
          </cell>
          <cell r="DI41" t="str">
            <v>無</v>
          </cell>
          <cell r="DJ41" t="str">
            <v>現在は武内病院で透析を受けているが、透析の必要性は理解しているものの「針が怖い」と透析自体を拒否することも多々ある。説得することで渋々行かれることもあるが、完全に拒否がある場合は都度先生に相談を行っている。</v>
          </cell>
          <cell r="DL41" t="str">
            <v>入力</v>
          </cell>
          <cell r="DM41" t="str">
            <v>有</v>
          </cell>
          <cell r="DN41" t="str">
            <v>軽度</v>
          </cell>
          <cell r="DO41" t="str">
            <v>介護抵抗</v>
          </cell>
          <cell r="DP41" t="str">
            <v>可能</v>
          </cell>
          <cell r="DQ41" t="str">
            <v>その場のみ可</v>
          </cell>
          <cell r="DR41" t="str">
            <v>明確な認知症はなく、人の識別や状況理解は可能。性格は気難しい面があり、気分によって態度が変わる。
前施設への強い愛着があり、転居に対して非常に落ち込まれている。
コミュニケーションは可能だが、嫌な時ははっきり拒否を示す。</v>
          </cell>
          <cell r="DU41" t="str">
            <v>入力</v>
          </cell>
          <cell r="DV41" t="str">
            <v>何かにつかまればできる</v>
          </cell>
          <cell r="DW41" t="str">
            <v>何かにつかまればできる</v>
          </cell>
          <cell r="DX41" t="str">
            <v>支えてもらえればできる</v>
          </cell>
          <cell r="DY41" t="str">
            <v>できない</v>
          </cell>
          <cell r="DZ41" t="str">
            <v>できない</v>
          </cell>
          <cell r="EA41" t="str">
            <v>一部介助</v>
          </cell>
          <cell r="EB41" t="str">
            <v>全介助</v>
          </cell>
          <cell r="EC41" t="str">
            <v>車椅子</v>
          </cell>
          <cell r="ED41" t="str">
            <v>全介助</v>
          </cell>
          <cell r="EE41" t="str">
            <v>車椅子</v>
          </cell>
          <cell r="EF41" t="str">
            <v>杖で歩行練習を行っていたが、現在は気分の落ち込みでリハビリの拒否がある。寝返りや起き上がりは何かにつかまればご自身で行うことが可能だが、職員がいると依存的になる。
起立や立位は手すりがあればご自身で行うことができるものの、膝折れ、転倒のリスクは高い。
動作は全体的に見守り～全介助を要す。</v>
          </cell>
          <cell r="EH41" t="str">
            <v>入力</v>
          </cell>
          <cell r="EI41" t="str">
            <v>入力</v>
          </cell>
          <cell r="EJ41" t="str">
            <v>経口摂取</v>
          </cell>
          <cell r="EK41" t="str">
            <v>自立</v>
          </cell>
          <cell r="EL41" t="str">
            <v>できる</v>
          </cell>
          <cell r="EM41" t="str">
            <v>普通</v>
          </cell>
          <cell r="EN41" t="str">
            <v>普通</v>
          </cell>
          <cell r="EO41" t="str">
            <v>無</v>
          </cell>
          <cell r="EP41" t="str">
            <v>有</v>
          </cell>
          <cell r="EQ41" t="str">
            <v>箸 , スプーン</v>
          </cell>
          <cell r="ER41" t="str">
            <v>食事は腎臓食を提供。「おいしくない」と拒否傾向があり摂取量は少ない。（現在点滴を併用している。）
妹様がお菓子やヤクルトを持ってくるため、お部屋で食べていることが多い。ヤクルトを１日で数本飲んでしまうことがあり、便が緩いため、食べすぎ、飲みすぎ防止のため家族からの差し入れは管理が必要。</v>
          </cell>
          <cell r="ET41" t="str">
            <v>入力</v>
          </cell>
          <cell r="EU41" t="str">
            <v>全介助</v>
          </cell>
          <cell r="EV41" t="str">
            <v>有</v>
          </cell>
          <cell r="EW41" t="str">
            <v>無</v>
          </cell>
          <cell r="EZ41" t="str">
            <v>現在、病院では看護師が全介助を行っている。</v>
          </cell>
          <cell r="FB41" t="str">
            <v>入力</v>
          </cell>
          <cell r="FC41" t="str">
            <v>一部介助</v>
          </cell>
          <cell r="FD41" t="str">
            <v>チェアー浴</v>
          </cell>
          <cell r="FE41" t="str">
            <v>無</v>
          </cell>
          <cell r="FG41" t="str">
            <v>全介助</v>
          </cell>
          <cell r="FH41" t="str">
            <v>全介助</v>
          </cell>
          <cell r="FI41" t="str">
            <v>入浴はチェアー浴を利用しており、基本依存的で全介助を要す。</v>
          </cell>
          <cell r="FK41" t="str">
            <v>入力</v>
          </cell>
          <cell r="FL41" t="str">
            <v>全介助</v>
          </cell>
          <cell r="FN41" t="str">
            <v>有</v>
          </cell>
          <cell r="FP41" t="str">
            <v>有</v>
          </cell>
          <cell r="FR41" t="str">
            <v>オムツ</v>
          </cell>
          <cell r="FS41" t="str">
            <v>オムツ</v>
          </cell>
          <cell r="FT41" t="str">
            <v>紙おむつ , 大パット</v>
          </cell>
          <cell r="FU41" t="str">
            <v>2週間前まではトイレを使用していたが、前施設へ退院できないことが分かってから、気分が落ち込み、現在は紙おむつ内に失禁され、定期的に交換を行っている。トイレへ誘導すると行けるときもあるが、気分次第な部分が大きい。汚染に気づかないことも多々ある。
便が緩く、肛門にびらんあり。軟膏処置を行っている。</v>
          </cell>
          <cell r="FX41" t="str">
            <v>入力</v>
          </cell>
          <cell r="FY41" t="str">
            <v>全介助</v>
          </cell>
          <cell r="FZ41" t="str">
            <v>全介助</v>
          </cell>
          <cell r="GA41" t="str">
            <v>全介助</v>
          </cell>
          <cell r="GB41" t="str">
            <v>全介助</v>
          </cell>
          <cell r="GC41" t="str">
            <v>全介助</v>
          </cell>
          <cell r="GD41" t="str">
            <v>今後は施設サービスを利用する。</v>
          </cell>
          <cell r="GG41" t="str">
            <v>課題
・透析：週3回、津腎クリニックへの透析
・服薬管理：拒否傾向がある為、タイミングや声掛けの工夫が必要
・食事：腎臓食の継続と摂取量の確保
・皮膚ケア：肛門付近のびらんの処置継続</v>
          </cell>
          <cell r="GH41">
            <v>30</v>
          </cell>
        </row>
      </sheetData>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救急医療情報"/>
      <sheetName val="チェックシート"/>
      <sheetName val="HOME"/>
      <sheetName val="（最新）アセスメントシート"/>
      <sheetName val="居宅届"/>
      <sheetName val="居宅届 (予防)"/>
      <sheetName val="フェースシート"/>
      <sheetName val="医療・介護連携シート"/>
      <sheetName val="(貼付作成)入院時情報提供"/>
      <sheetName val="(手入力)入院時情報提供"/>
      <sheetName val="モニタリングシート"/>
      <sheetName val="担会案内"/>
      <sheetName val="更新・新規申請書"/>
      <sheetName val="区分変更申請書 "/>
      <sheetName val="資料提供申請書"/>
      <sheetName val="確認書（原本）"/>
      <sheetName val="入退去連絡"/>
      <sheetName val="リスト"/>
      <sheetName val="確認書（ヘルパー）"/>
      <sheetName val="確認書（デイ）"/>
      <sheetName val="確認書（福祉用具）"/>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5">
          <cell r="H5" t="str">
            <v>区分変更</v>
          </cell>
        </row>
        <row r="7">
          <cell r="D7">
            <v>45566</v>
          </cell>
        </row>
      </sheetData>
      <sheetData sheetId="16"/>
      <sheetData sheetId="17"/>
      <sheetData sheetId="18"/>
      <sheetData sheetId="19"/>
      <sheetData sheetId="2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algn="l">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28.xml"/><Relationship Id="rId18" Type="http://schemas.openxmlformats.org/officeDocument/2006/relationships/ctrlProp" Target="../ctrlProps/ctrlProp33.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ctrlProp" Target="../ctrlProps/ctrlProp36.xml"/><Relationship Id="rId34" Type="http://schemas.openxmlformats.org/officeDocument/2006/relationships/ctrlProp" Target="../ctrlProps/ctrlProp49.xml"/><Relationship Id="rId42" Type="http://schemas.openxmlformats.org/officeDocument/2006/relationships/ctrlProp" Target="../ctrlProps/ctrlProp57.xml"/><Relationship Id="rId47" Type="http://schemas.openxmlformats.org/officeDocument/2006/relationships/ctrlProp" Target="../ctrlProps/ctrlProp62.xml"/><Relationship Id="rId50" Type="http://schemas.openxmlformats.org/officeDocument/2006/relationships/ctrlProp" Target="../ctrlProps/ctrlProp65.xml"/><Relationship Id="rId55" Type="http://schemas.openxmlformats.org/officeDocument/2006/relationships/ctrlProp" Target="../ctrlProps/ctrlProp70.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2" Type="http://schemas.openxmlformats.org/officeDocument/2006/relationships/hyperlink" Target="https://docs.google.com/spreadsheets/d/1jBdUa1jje6yLHEHi_Gid-P7i_jYToejD/edit?gid=1643144463" TargetMode="External"/><Relationship Id="rId16" Type="http://schemas.openxmlformats.org/officeDocument/2006/relationships/ctrlProp" Target="../ctrlProps/ctrlProp31.xml"/><Relationship Id="rId20" Type="http://schemas.openxmlformats.org/officeDocument/2006/relationships/ctrlProp" Target="../ctrlProps/ctrlProp35.xml"/><Relationship Id="rId29" Type="http://schemas.openxmlformats.org/officeDocument/2006/relationships/ctrlProp" Target="../ctrlProps/ctrlProp44.xml"/><Relationship Id="rId41" Type="http://schemas.openxmlformats.org/officeDocument/2006/relationships/ctrlProp" Target="../ctrlProps/ctrlProp56.xml"/><Relationship Id="rId54" Type="http://schemas.openxmlformats.org/officeDocument/2006/relationships/ctrlProp" Target="../ctrlProps/ctrlProp69.xml"/><Relationship Id="rId1" Type="http://schemas.openxmlformats.org/officeDocument/2006/relationships/hyperlink" Target="https://drive.google.com/drive/folders/1ZmfSMNSVSKNVMoadaExsYeJqguduflUC" TargetMode="External"/><Relationship Id="rId6" Type="http://schemas.openxmlformats.org/officeDocument/2006/relationships/ctrlProp" Target="../ctrlProps/ctrlProp21.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 Type="http://schemas.openxmlformats.org/officeDocument/2006/relationships/vmlDrawing" Target="../drawings/vmlDrawing2.v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10" Type="http://schemas.openxmlformats.org/officeDocument/2006/relationships/ctrlProp" Target="../ctrlProps/ctrlProp25.xml"/><Relationship Id="rId19" Type="http://schemas.openxmlformats.org/officeDocument/2006/relationships/ctrlProp" Target="../ctrlProps/ctrlProp34.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4" Type="http://schemas.openxmlformats.org/officeDocument/2006/relationships/drawing" Target="../drawings/drawing2.xml"/><Relationship Id="rId9" Type="http://schemas.openxmlformats.org/officeDocument/2006/relationships/ctrlProp" Target="../ctrlProps/ctrlProp2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8" Type="http://schemas.openxmlformats.org/officeDocument/2006/relationships/ctrlProp" Target="../ctrlProps/ctrlProp23.xml"/><Relationship Id="rId51" Type="http://schemas.openxmlformats.org/officeDocument/2006/relationships/ctrlProp" Target="../ctrlProps/ctrlProp66.xml"/><Relationship Id="rId3"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12304;&#20837;&#23621;&#32773;&#12305;&#12362;&#34220;&#24773;&#22577;/&#20966;&#29702;&#28168;/&#12414;&#34892;/&#32209;&#38745;&#30007;" TargetMode="External"/><Relationship Id="rId2" Type="http://schemas.openxmlformats.org/officeDocument/2006/relationships/hyperlink" Target="../../&#12487;&#12452;&#12469;&#12540;&#12499;&#12473;/&#9733;&#38651;&#23376;&#12459;&#12523;&#12486;/&#32209;&#38745;&#30007;" TargetMode="External"/><Relationship Id="rId1" Type="http://schemas.openxmlformats.org/officeDocument/2006/relationships/hyperlink" Target="../../&#9670;&#9671;&#35370;&#21839;&#20171;&#35703;%20&#12469;&#36012;&#9671;&#9670;/&#12304;&#12514;&#12491;&#12479;&#12522;&#12531;&#12464;&#12305;/3F/&#32209;&#12288;&#38745;&#30007;" TargetMode="External"/><Relationship Id="rId5" Type="http://schemas.openxmlformats.org/officeDocument/2006/relationships/drawing" Target="../drawings/drawing3.xml"/><Relationship Id="rId4" Type="http://schemas.openxmlformats.org/officeDocument/2006/relationships/hyperlink" Target="../../&#35370;&#21839;&#30475;&#35703;/&#22577;&#21578;&#26360;&#65288;PDF&#65289;/&#12414;&#34892;/&#12415;&#12393;&#12426;&#12288;&#12375;&#12378;&#12362;"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vmlDrawing" Target="../drawings/vmlDrawing3.vml"/><Relationship Id="rId7" Type="http://schemas.openxmlformats.org/officeDocument/2006/relationships/ctrlProp" Target="../ctrlProps/ctrlProp7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74.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4.vml"/><Relationship Id="rId7" Type="http://schemas.openxmlformats.org/officeDocument/2006/relationships/ctrlProp" Target="../ctrlProps/ctrlProp82.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7.xml.rels><?xml version="1.0" encoding="UTF-8" standalone="yes"?>
<Relationships xmlns="http://schemas.openxmlformats.org/package/2006/relationships"><Relationship Id="rId26" Type="http://schemas.openxmlformats.org/officeDocument/2006/relationships/ctrlProp" Target="../ctrlProps/ctrlProp109.xml"/><Relationship Id="rId117" Type="http://schemas.openxmlformats.org/officeDocument/2006/relationships/ctrlProp" Target="../ctrlProps/ctrlProp200.xml"/><Relationship Id="rId21" Type="http://schemas.openxmlformats.org/officeDocument/2006/relationships/ctrlProp" Target="../ctrlProps/ctrlProp104.xml"/><Relationship Id="rId42" Type="http://schemas.openxmlformats.org/officeDocument/2006/relationships/ctrlProp" Target="../ctrlProps/ctrlProp125.xml"/><Relationship Id="rId47" Type="http://schemas.openxmlformats.org/officeDocument/2006/relationships/ctrlProp" Target="../ctrlProps/ctrlProp130.xml"/><Relationship Id="rId63" Type="http://schemas.openxmlformats.org/officeDocument/2006/relationships/ctrlProp" Target="../ctrlProps/ctrlProp146.xml"/><Relationship Id="rId68" Type="http://schemas.openxmlformats.org/officeDocument/2006/relationships/ctrlProp" Target="../ctrlProps/ctrlProp151.xml"/><Relationship Id="rId84" Type="http://schemas.openxmlformats.org/officeDocument/2006/relationships/ctrlProp" Target="../ctrlProps/ctrlProp167.xml"/><Relationship Id="rId89" Type="http://schemas.openxmlformats.org/officeDocument/2006/relationships/ctrlProp" Target="../ctrlProps/ctrlProp172.xml"/><Relationship Id="rId112" Type="http://schemas.openxmlformats.org/officeDocument/2006/relationships/ctrlProp" Target="../ctrlProps/ctrlProp195.xml"/><Relationship Id="rId133" Type="http://schemas.openxmlformats.org/officeDocument/2006/relationships/ctrlProp" Target="../ctrlProps/ctrlProp216.xml"/><Relationship Id="rId138" Type="http://schemas.openxmlformats.org/officeDocument/2006/relationships/ctrlProp" Target="../ctrlProps/ctrlProp221.xml"/><Relationship Id="rId154" Type="http://schemas.openxmlformats.org/officeDocument/2006/relationships/ctrlProp" Target="../ctrlProps/ctrlProp237.xml"/><Relationship Id="rId159" Type="http://schemas.openxmlformats.org/officeDocument/2006/relationships/ctrlProp" Target="../ctrlProps/ctrlProp242.xml"/><Relationship Id="rId175" Type="http://schemas.openxmlformats.org/officeDocument/2006/relationships/ctrlProp" Target="../ctrlProps/ctrlProp258.xml"/><Relationship Id="rId170" Type="http://schemas.openxmlformats.org/officeDocument/2006/relationships/ctrlProp" Target="../ctrlProps/ctrlProp253.xml"/><Relationship Id="rId16" Type="http://schemas.openxmlformats.org/officeDocument/2006/relationships/ctrlProp" Target="../ctrlProps/ctrlProp99.xml"/><Relationship Id="rId107" Type="http://schemas.openxmlformats.org/officeDocument/2006/relationships/ctrlProp" Target="../ctrlProps/ctrlProp190.xml"/><Relationship Id="rId11" Type="http://schemas.openxmlformats.org/officeDocument/2006/relationships/ctrlProp" Target="../ctrlProps/ctrlProp94.xml"/><Relationship Id="rId32" Type="http://schemas.openxmlformats.org/officeDocument/2006/relationships/ctrlProp" Target="../ctrlProps/ctrlProp115.xml"/><Relationship Id="rId37" Type="http://schemas.openxmlformats.org/officeDocument/2006/relationships/ctrlProp" Target="../ctrlProps/ctrlProp120.xml"/><Relationship Id="rId53" Type="http://schemas.openxmlformats.org/officeDocument/2006/relationships/ctrlProp" Target="../ctrlProps/ctrlProp136.xml"/><Relationship Id="rId58" Type="http://schemas.openxmlformats.org/officeDocument/2006/relationships/ctrlProp" Target="../ctrlProps/ctrlProp141.xml"/><Relationship Id="rId74" Type="http://schemas.openxmlformats.org/officeDocument/2006/relationships/ctrlProp" Target="../ctrlProps/ctrlProp157.xml"/><Relationship Id="rId79" Type="http://schemas.openxmlformats.org/officeDocument/2006/relationships/ctrlProp" Target="../ctrlProps/ctrlProp162.xml"/><Relationship Id="rId102" Type="http://schemas.openxmlformats.org/officeDocument/2006/relationships/ctrlProp" Target="../ctrlProps/ctrlProp185.xml"/><Relationship Id="rId123" Type="http://schemas.openxmlformats.org/officeDocument/2006/relationships/ctrlProp" Target="../ctrlProps/ctrlProp206.xml"/><Relationship Id="rId128" Type="http://schemas.openxmlformats.org/officeDocument/2006/relationships/ctrlProp" Target="../ctrlProps/ctrlProp211.xml"/><Relationship Id="rId144" Type="http://schemas.openxmlformats.org/officeDocument/2006/relationships/ctrlProp" Target="../ctrlProps/ctrlProp227.xml"/><Relationship Id="rId149" Type="http://schemas.openxmlformats.org/officeDocument/2006/relationships/ctrlProp" Target="../ctrlProps/ctrlProp232.xml"/><Relationship Id="rId5" Type="http://schemas.openxmlformats.org/officeDocument/2006/relationships/ctrlProp" Target="../ctrlProps/ctrlProp88.xml"/><Relationship Id="rId90" Type="http://schemas.openxmlformats.org/officeDocument/2006/relationships/ctrlProp" Target="../ctrlProps/ctrlProp173.xml"/><Relationship Id="rId95" Type="http://schemas.openxmlformats.org/officeDocument/2006/relationships/ctrlProp" Target="../ctrlProps/ctrlProp178.xml"/><Relationship Id="rId160" Type="http://schemas.openxmlformats.org/officeDocument/2006/relationships/ctrlProp" Target="../ctrlProps/ctrlProp243.xml"/><Relationship Id="rId165" Type="http://schemas.openxmlformats.org/officeDocument/2006/relationships/ctrlProp" Target="../ctrlProps/ctrlProp248.xml"/><Relationship Id="rId22" Type="http://schemas.openxmlformats.org/officeDocument/2006/relationships/ctrlProp" Target="../ctrlProps/ctrlProp105.xml"/><Relationship Id="rId27" Type="http://schemas.openxmlformats.org/officeDocument/2006/relationships/ctrlProp" Target="../ctrlProps/ctrlProp110.xml"/><Relationship Id="rId43" Type="http://schemas.openxmlformats.org/officeDocument/2006/relationships/ctrlProp" Target="../ctrlProps/ctrlProp126.xml"/><Relationship Id="rId48" Type="http://schemas.openxmlformats.org/officeDocument/2006/relationships/ctrlProp" Target="../ctrlProps/ctrlProp131.xml"/><Relationship Id="rId64" Type="http://schemas.openxmlformats.org/officeDocument/2006/relationships/ctrlProp" Target="../ctrlProps/ctrlProp147.xml"/><Relationship Id="rId69" Type="http://schemas.openxmlformats.org/officeDocument/2006/relationships/ctrlProp" Target="../ctrlProps/ctrlProp152.xml"/><Relationship Id="rId113" Type="http://schemas.openxmlformats.org/officeDocument/2006/relationships/ctrlProp" Target="../ctrlProps/ctrlProp196.xml"/><Relationship Id="rId118" Type="http://schemas.openxmlformats.org/officeDocument/2006/relationships/ctrlProp" Target="../ctrlProps/ctrlProp201.xml"/><Relationship Id="rId134" Type="http://schemas.openxmlformats.org/officeDocument/2006/relationships/ctrlProp" Target="../ctrlProps/ctrlProp217.xml"/><Relationship Id="rId139" Type="http://schemas.openxmlformats.org/officeDocument/2006/relationships/ctrlProp" Target="../ctrlProps/ctrlProp222.xml"/><Relationship Id="rId80" Type="http://schemas.openxmlformats.org/officeDocument/2006/relationships/ctrlProp" Target="../ctrlProps/ctrlProp163.xml"/><Relationship Id="rId85" Type="http://schemas.openxmlformats.org/officeDocument/2006/relationships/ctrlProp" Target="../ctrlProps/ctrlProp168.xml"/><Relationship Id="rId150" Type="http://schemas.openxmlformats.org/officeDocument/2006/relationships/ctrlProp" Target="../ctrlProps/ctrlProp233.xml"/><Relationship Id="rId155" Type="http://schemas.openxmlformats.org/officeDocument/2006/relationships/ctrlProp" Target="../ctrlProps/ctrlProp238.xml"/><Relationship Id="rId171" Type="http://schemas.openxmlformats.org/officeDocument/2006/relationships/ctrlProp" Target="../ctrlProps/ctrlProp254.xml"/><Relationship Id="rId12" Type="http://schemas.openxmlformats.org/officeDocument/2006/relationships/ctrlProp" Target="../ctrlProps/ctrlProp95.xml"/><Relationship Id="rId17" Type="http://schemas.openxmlformats.org/officeDocument/2006/relationships/ctrlProp" Target="../ctrlProps/ctrlProp100.xml"/><Relationship Id="rId33" Type="http://schemas.openxmlformats.org/officeDocument/2006/relationships/ctrlProp" Target="../ctrlProps/ctrlProp116.xml"/><Relationship Id="rId38" Type="http://schemas.openxmlformats.org/officeDocument/2006/relationships/ctrlProp" Target="../ctrlProps/ctrlProp121.xml"/><Relationship Id="rId59" Type="http://schemas.openxmlformats.org/officeDocument/2006/relationships/ctrlProp" Target="../ctrlProps/ctrlProp142.xml"/><Relationship Id="rId103" Type="http://schemas.openxmlformats.org/officeDocument/2006/relationships/ctrlProp" Target="../ctrlProps/ctrlProp186.xml"/><Relationship Id="rId108" Type="http://schemas.openxmlformats.org/officeDocument/2006/relationships/ctrlProp" Target="../ctrlProps/ctrlProp191.xml"/><Relationship Id="rId124" Type="http://schemas.openxmlformats.org/officeDocument/2006/relationships/ctrlProp" Target="../ctrlProps/ctrlProp207.xml"/><Relationship Id="rId129" Type="http://schemas.openxmlformats.org/officeDocument/2006/relationships/ctrlProp" Target="../ctrlProps/ctrlProp212.xml"/><Relationship Id="rId54" Type="http://schemas.openxmlformats.org/officeDocument/2006/relationships/ctrlProp" Target="../ctrlProps/ctrlProp137.xml"/><Relationship Id="rId70" Type="http://schemas.openxmlformats.org/officeDocument/2006/relationships/ctrlProp" Target="../ctrlProps/ctrlProp153.xml"/><Relationship Id="rId75" Type="http://schemas.openxmlformats.org/officeDocument/2006/relationships/ctrlProp" Target="../ctrlProps/ctrlProp158.xml"/><Relationship Id="rId91" Type="http://schemas.openxmlformats.org/officeDocument/2006/relationships/ctrlProp" Target="../ctrlProps/ctrlProp174.xml"/><Relationship Id="rId96" Type="http://schemas.openxmlformats.org/officeDocument/2006/relationships/ctrlProp" Target="../ctrlProps/ctrlProp179.xml"/><Relationship Id="rId140" Type="http://schemas.openxmlformats.org/officeDocument/2006/relationships/ctrlProp" Target="../ctrlProps/ctrlProp223.xml"/><Relationship Id="rId145" Type="http://schemas.openxmlformats.org/officeDocument/2006/relationships/ctrlProp" Target="../ctrlProps/ctrlProp228.xml"/><Relationship Id="rId161" Type="http://schemas.openxmlformats.org/officeDocument/2006/relationships/ctrlProp" Target="../ctrlProps/ctrlProp244.xml"/><Relationship Id="rId166" Type="http://schemas.openxmlformats.org/officeDocument/2006/relationships/ctrlProp" Target="../ctrlProps/ctrlProp249.xml"/><Relationship Id="rId1" Type="http://schemas.openxmlformats.org/officeDocument/2006/relationships/printerSettings" Target="../printerSettings/printerSettings6.bin"/><Relationship Id="rId6" Type="http://schemas.openxmlformats.org/officeDocument/2006/relationships/ctrlProp" Target="../ctrlProps/ctrlProp89.xml"/><Relationship Id="rId23" Type="http://schemas.openxmlformats.org/officeDocument/2006/relationships/ctrlProp" Target="../ctrlProps/ctrlProp106.xml"/><Relationship Id="rId28" Type="http://schemas.openxmlformats.org/officeDocument/2006/relationships/ctrlProp" Target="../ctrlProps/ctrlProp111.xml"/><Relationship Id="rId49" Type="http://schemas.openxmlformats.org/officeDocument/2006/relationships/ctrlProp" Target="../ctrlProps/ctrlProp132.xml"/><Relationship Id="rId114" Type="http://schemas.openxmlformats.org/officeDocument/2006/relationships/ctrlProp" Target="../ctrlProps/ctrlProp197.xml"/><Relationship Id="rId119" Type="http://schemas.openxmlformats.org/officeDocument/2006/relationships/ctrlProp" Target="../ctrlProps/ctrlProp202.xml"/><Relationship Id="rId10" Type="http://schemas.openxmlformats.org/officeDocument/2006/relationships/ctrlProp" Target="../ctrlProps/ctrlProp93.xml"/><Relationship Id="rId31" Type="http://schemas.openxmlformats.org/officeDocument/2006/relationships/ctrlProp" Target="../ctrlProps/ctrlProp114.xml"/><Relationship Id="rId44" Type="http://schemas.openxmlformats.org/officeDocument/2006/relationships/ctrlProp" Target="../ctrlProps/ctrlProp127.xml"/><Relationship Id="rId52" Type="http://schemas.openxmlformats.org/officeDocument/2006/relationships/ctrlProp" Target="../ctrlProps/ctrlProp135.xml"/><Relationship Id="rId60" Type="http://schemas.openxmlformats.org/officeDocument/2006/relationships/ctrlProp" Target="../ctrlProps/ctrlProp143.xml"/><Relationship Id="rId65" Type="http://schemas.openxmlformats.org/officeDocument/2006/relationships/ctrlProp" Target="../ctrlProps/ctrlProp148.xml"/><Relationship Id="rId73" Type="http://schemas.openxmlformats.org/officeDocument/2006/relationships/ctrlProp" Target="../ctrlProps/ctrlProp156.xml"/><Relationship Id="rId78" Type="http://schemas.openxmlformats.org/officeDocument/2006/relationships/ctrlProp" Target="../ctrlProps/ctrlProp161.xml"/><Relationship Id="rId81" Type="http://schemas.openxmlformats.org/officeDocument/2006/relationships/ctrlProp" Target="../ctrlProps/ctrlProp164.xml"/><Relationship Id="rId86" Type="http://schemas.openxmlformats.org/officeDocument/2006/relationships/ctrlProp" Target="../ctrlProps/ctrlProp169.xml"/><Relationship Id="rId94" Type="http://schemas.openxmlformats.org/officeDocument/2006/relationships/ctrlProp" Target="../ctrlProps/ctrlProp177.xml"/><Relationship Id="rId99" Type="http://schemas.openxmlformats.org/officeDocument/2006/relationships/ctrlProp" Target="../ctrlProps/ctrlProp182.xml"/><Relationship Id="rId101" Type="http://schemas.openxmlformats.org/officeDocument/2006/relationships/ctrlProp" Target="../ctrlProps/ctrlProp184.xml"/><Relationship Id="rId122" Type="http://schemas.openxmlformats.org/officeDocument/2006/relationships/ctrlProp" Target="../ctrlProps/ctrlProp205.xml"/><Relationship Id="rId130" Type="http://schemas.openxmlformats.org/officeDocument/2006/relationships/ctrlProp" Target="../ctrlProps/ctrlProp213.xml"/><Relationship Id="rId135" Type="http://schemas.openxmlformats.org/officeDocument/2006/relationships/ctrlProp" Target="../ctrlProps/ctrlProp218.xml"/><Relationship Id="rId143" Type="http://schemas.openxmlformats.org/officeDocument/2006/relationships/ctrlProp" Target="../ctrlProps/ctrlProp226.xml"/><Relationship Id="rId148" Type="http://schemas.openxmlformats.org/officeDocument/2006/relationships/ctrlProp" Target="../ctrlProps/ctrlProp231.xml"/><Relationship Id="rId151" Type="http://schemas.openxmlformats.org/officeDocument/2006/relationships/ctrlProp" Target="../ctrlProps/ctrlProp234.xml"/><Relationship Id="rId156" Type="http://schemas.openxmlformats.org/officeDocument/2006/relationships/ctrlProp" Target="../ctrlProps/ctrlProp239.xml"/><Relationship Id="rId164" Type="http://schemas.openxmlformats.org/officeDocument/2006/relationships/ctrlProp" Target="../ctrlProps/ctrlProp247.xml"/><Relationship Id="rId169" Type="http://schemas.openxmlformats.org/officeDocument/2006/relationships/ctrlProp" Target="../ctrlProps/ctrlProp252.xml"/><Relationship Id="rId4" Type="http://schemas.openxmlformats.org/officeDocument/2006/relationships/ctrlProp" Target="../ctrlProps/ctrlProp87.xml"/><Relationship Id="rId9" Type="http://schemas.openxmlformats.org/officeDocument/2006/relationships/ctrlProp" Target="../ctrlProps/ctrlProp92.xml"/><Relationship Id="rId172" Type="http://schemas.openxmlformats.org/officeDocument/2006/relationships/ctrlProp" Target="../ctrlProps/ctrlProp255.xml"/><Relationship Id="rId13" Type="http://schemas.openxmlformats.org/officeDocument/2006/relationships/ctrlProp" Target="../ctrlProps/ctrlProp96.xml"/><Relationship Id="rId18" Type="http://schemas.openxmlformats.org/officeDocument/2006/relationships/ctrlProp" Target="../ctrlProps/ctrlProp101.xml"/><Relationship Id="rId39" Type="http://schemas.openxmlformats.org/officeDocument/2006/relationships/ctrlProp" Target="../ctrlProps/ctrlProp122.xml"/><Relationship Id="rId109" Type="http://schemas.openxmlformats.org/officeDocument/2006/relationships/ctrlProp" Target="../ctrlProps/ctrlProp192.xml"/><Relationship Id="rId34" Type="http://schemas.openxmlformats.org/officeDocument/2006/relationships/ctrlProp" Target="../ctrlProps/ctrlProp117.xml"/><Relationship Id="rId50" Type="http://schemas.openxmlformats.org/officeDocument/2006/relationships/ctrlProp" Target="../ctrlProps/ctrlProp133.xml"/><Relationship Id="rId55" Type="http://schemas.openxmlformats.org/officeDocument/2006/relationships/ctrlProp" Target="../ctrlProps/ctrlProp138.xml"/><Relationship Id="rId76" Type="http://schemas.openxmlformats.org/officeDocument/2006/relationships/ctrlProp" Target="../ctrlProps/ctrlProp159.xml"/><Relationship Id="rId97" Type="http://schemas.openxmlformats.org/officeDocument/2006/relationships/ctrlProp" Target="../ctrlProps/ctrlProp180.xml"/><Relationship Id="rId104" Type="http://schemas.openxmlformats.org/officeDocument/2006/relationships/ctrlProp" Target="../ctrlProps/ctrlProp187.xml"/><Relationship Id="rId120" Type="http://schemas.openxmlformats.org/officeDocument/2006/relationships/ctrlProp" Target="../ctrlProps/ctrlProp203.xml"/><Relationship Id="rId125" Type="http://schemas.openxmlformats.org/officeDocument/2006/relationships/ctrlProp" Target="../ctrlProps/ctrlProp208.xml"/><Relationship Id="rId141" Type="http://schemas.openxmlformats.org/officeDocument/2006/relationships/ctrlProp" Target="../ctrlProps/ctrlProp224.xml"/><Relationship Id="rId146" Type="http://schemas.openxmlformats.org/officeDocument/2006/relationships/ctrlProp" Target="../ctrlProps/ctrlProp229.xml"/><Relationship Id="rId167" Type="http://schemas.openxmlformats.org/officeDocument/2006/relationships/ctrlProp" Target="../ctrlProps/ctrlProp250.xml"/><Relationship Id="rId7" Type="http://schemas.openxmlformats.org/officeDocument/2006/relationships/ctrlProp" Target="../ctrlProps/ctrlProp90.xml"/><Relationship Id="rId71" Type="http://schemas.openxmlformats.org/officeDocument/2006/relationships/ctrlProp" Target="../ctrlProps/ctrlProp154.xml"/><Relationship Id="rId92" Type="http://schemas.openxmlformats.org/officeDocument/2006/relationships/ctrlProp" Target="../ctrlProps/ctrlProp175.xml"/><Relationship Id="rId162" Type="http://schemas.openxmlformats.org/officeDocument/2006/relationships/ctrlProp" Target="../ctrlProps/ctrlProp245.xml"/><Relationship Id="rId2" Type="http://schemas.openxmlformats.org/officeDocument/2006/relationships/drawing" Target="../drawings/drawing7.xml"/><Relationship Id="rId29" Type="http://schemas.openxmlformats.org/officeDocument/2006/relationships/ctrlProp" Target="../ctrlProps/ctrlProp112.xml"/><Relationship Id="rId24" Type="http://schemas.openxmlformats.org/officeDocument/2006/relationships/ctrlProp" Target="../ctrlProps/ctrlProp107.xml"/><Relationship Id="rId40" Type="http://schemas.openxmlformats.org/officeDocument/2006/relationships/ctrlProp" Target="../ctrlProps/ctrlProp123.xml"/><Relationship Id="rId45" Type="http://schemas.openxmlformats.org/officeDocument/2006/relationships/ctrlProp" Target="../ctrlProps/ctrlProp128.xml"/><Relationship Id="rId66" Type="http://schemas.openxmlformats.org/officeDocument/2006/relationships/ctrlProp" Target="../ctrlProps/ctrlProp149.xml"/><Relationship Id="rId87" Type="http://schemas.openxmlformats.org/officeDocument/2006/relationships/ctrlProp" Target="../ctrlProps/ctrlProp170.xml"/><Relationship Id="rId110" Type="http://schemas.openxmlformats.org/officeDocument/2006/relationships/ctrlProp" Target="../ctrlProps/ctrlProp193.xml"/><Relationship Id="rId115" Type="http://schemas.openxmlformats.org/officeDocument/2006/relationships/ctrlProp" Target="../ctrlProps/ctrlProp198.xml"/><Relationship Id="rId131" Type="http://schemas.openxmlformats.org/officeDocument/2006/relationships/ctrlProp" Target="../ctrlProps/ctrlProp214.xml"/><Relationship Id="rId136" Type="http://schemas.openxmlformats.org/officeDocument/2006/relationships/ctrlProp" Target="../ctrlProps/ctrlProp219.xml"/><Relationship Id="rId157" Type="http://schemas.openxmlformats.org/officeDocument/2006/relationships/ctrlProp" Target="../ctrlProps/ctrlProp240.xml"/><Relationship Id="rId61" Type="http://schemas.openxmlformats.org/officeDocument/2006/relationships/ctrlProp" Target="../ctrlProps/ctrlProp144.xml"/><Relationship Id="rId82" Type="http://schemas.openxmlformats.org/officeDocument/2006/relationships/ctrlProp" Target="../ctrlProps/ctrlProp165.xml"/><Relationship Id="rId152" Type="http://schemas.openxmlformats.org/officeDocument/2006/relationships/ctrlProp" Target="../ctrlProps/ctrlProp235.xml"/><Relationship Id="rId173" Type="http://schemas.openxmlformats.org/officeDocument/2006/relationships/ctrlProp" Target="../ctrlProps/ctrlProp256.xml"/><Relationship Id="rId19" Type="http://schemas.openxmlformats.org/officeDocument/2006/relationships/ctrlProp" Target="../ctrlProps/ctrlProp102.xml"/><Relationship Id="rId14" Type="http://schemas.openxmlformats.org/officeDocument/2006/relationships/ctrlProp" Target="../ctrlProps/ctrlProp97.xml"/><Relationship Id="rId30" Type="http://schemas.openxmlformats.org/officeDocument/2006/relationships/ctrlProp" Target="../ctrlProps/ctrlProp113.xml"/><Relationship Id="rId35" Type="http://schemas.openxmlformats.org/officeDocument/2006/relationships/ctrlProp" Target="../ctrlProps/ctrlProp118.xml"/><Relationship Id="rId56" Type="http://schemas.openxmlformats.org/officeDocument/2006/relationships/ctrlProp" Target="../ctrlProps/ctrlProp139.xml"/><Relationship Id="rId77" Type="http://schemas.openxmlformats.org/officeDocument/2006/relationships/ctrlProp" Target="../ctrlProps/ctrlProp160.xml"/><Relationship Id="rId100" Type="http://schemas.openxmlformats.org/officeDocument/2006/relationships/ctrlProp" Target="../ctrlProps/ctrlProp183.xml"/><Relationship Id="rId105" Type="http://schemas.openxmlformats.org/officeDocument/2006/relationships/ctrlProp" Target="../ctrlProps/ctrlProp188.xml"/><Relationship Id="rId126" Type="http://schemas.openxmlformats.org/officeDocument/2006/relationships/ctrlProp" Target="../ctrlProps/ctrlProp209.xml"/><Relationship Id="rId147" Type="http://schemas.openxmlformats.org/officeDocument/2006/relationships/ctrlProp" Target="../ctrlProps/ctrlProp230.xml"/><Relationship Id="rId168" Type="http://schemas.openxmlformats.org/officeDocument/2006/relationships/ctrlProp" Target="../ctrlProps/ctrlProp251.xml"/><Relationship Id="rId8" Type="http://schemas.openxmlformats.org/officeDocument/2006/relationships/ctrlProp" Target="../ctrlProps/ctrlProp91.xml"/><Relationship Id="rId51" Type="http://schemas.openxmlformats.org/officeDocument/2006/relationships/ctrlProp" Target="../ctrlProps/ctrlProp134.xml"/><Relationship Id="rId72" Type="http://schemas.openxmlformats.org/officeDocument/2006/relationships/ctrlProp" Target="../ctrlProps/ctrlProp155.xml"/><Relationship Id="rId93" Type="http://schemas.openxmlformats.org/officeDocument/2006/relationships/ctrlProp" Target="../ctrlProps/ctrlProp176.xml"/><Relationship Id="rId98" Type="http://schemas.openxmlformats.org/officeDocument/2006/relationships/ctrlProp" Target="../ctrlProps/ctrlProp181.xml"/><Relationship Id="rId121" Type="http://schemas.openxmlformats.org/officeDocument/2006/relationships/ctrlProp" Target="../ctrlProps/ctrlProp204.xml"/><Relationship Id="rId142" Type="http://schemas.openxmlformats.org/officeDocument/2006/relationships/ctrlProp" Target="../ctrlProps/ctrlProp225.xml"/><Relationship Id="rId163" Type="http://schemas.openxmlformats.org/officeDocument/2006/relationships/ctrlProp" Target="../ctrlProps/ctrlProp246.xml"/><Relationship Id="rId3" Type="http://schemas.openxmlformats.org/officeDocument/2006/relationships/vmlDrawing" Target="../drawings/vmlDrawing5.vml"/><Relationship Id="rId25" Type="http://schemas.openxmlformats.org/officeDocument/2006/relationships/ctrlProp" Target="../ctrlProps/ctrlProp108.xml"/><Relationship Id="rId46" Type="http://schemas.openxmlformats.org/officeDocument/2006/relationships/ctrlProp" Target="../ctrlProps/ctrlProp129.xml"/><Relationship Id="rId67" Type="http://schemas.openxmlformats.org/officeDocument/2006/relationships/ctrlProp" Target="../ctrlProps/ctrlProp150.xml"/><Relationship Id="rId116" Type="http://schemas.openxmlformats.org/officeDocument/2006/relationships/ctrlProp" Target="../ctrlProps/ctrlProp199.xml"/><Relationship Id="rId137" Type="http://schemas.openxmlformats.org/officeDocument/2006/relationships/ctrlProp" Target="../ctrlProps/ctrlProp220.xml"/><Relationship Id="rId158" Type="http://schemas.openxmlformats.org/officeDocument/2006/relationships/ctrlProp" Target="../ctrlProps/ctrlProp241.xml"/><Relationship Id="rId20" Type="http://schemas.openxmlformats.org/officeDocument/2006/relationships/ctrlProp" Target="../ctrlProps/ctrlProp103.xml"/><Relationship Id="rId41" Type="http://schemas.openxmlformats.org/officeDocument/2006/relationships/ctrlProp" Target="../ctrlProps/ctrlProp124.xml"/><Relationship Id="rId62" Type="http://schemas.openxmlformats.org/officeDocument/2006/relationships/ctrlProp" Target="../ctrlProps/ctrlProp145.xml"/><Relationship Id="rId83" Type="http://schemas.openxmlformats.org/officeDocument/2006/relationships/ctrlProp" Target="../ctrlProps/ctrlProp166.xml"/><Relationship Id="rId88" Type="http://schemas.openxmlformats.org/officeDocument/2006/relationships/ctrlProp" Target="../ctrlProps/ctrlProp171.xml"/><Relationship Id="rId111" Type="http://schemas.openxmlformats.org/officeDocument/2006/relationships/ctrlProp" Target="../ctrlProps/ctrlProp194.xml"/><Relationship Id="rId132" Type="http://schemas.openxmlformats.org/officeDocument/2006/relationships/ctrlProp" Target="../ctrlProps/ctrlProp215.xml"/><Relationship Id="rId153" Type="http://schemas.openxmlformats.org/officeDocument/2006/relationships/ctrlProp" Target="../ctrlProps/ctrlProp236.xml"/><Relationship Id="rId174" Type="http://schemas.openxmlformats.org/officeDocument/2006/relationships/ctrlProp" Target="../ctrlProps/ctrlProp257.xml"/><Relationship Id="rId15" Type="http://schemas.openxmlformats.org/officeDocument/2006/relationships/ctrlProp" Target="../ctrlProps/ctrlProp98.xml"/><Relationship Id="rId36" Type="http://schemas.openxmlformats.org/officeDocument/2006/relationships/ctrlProp" Target="../ctrlProps/ctrlProp119.xml"/><Relationship Id="rId57" Type="http://schemas.openxmlformats.org/officeDocument/2006/relationships/ctrlProp" Target="../ctrlProps/ctrlProp140.xml"/><Relationship Id="rId106" Type="http://schemas.openxmlformats.org/officeDocument/2006/relationships/ctrlProp" Target="../ctrlProps/ctrlProp189.xml"/><Relationship Id="rId127" Type="http://schemas.openxmlformats.org/officeDocument/2006/relationships/ctrlProp" Target="../ctrlProps/ctrlProp210.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39" Type="http://schemas.openxmlformats.org/officeDocument/2006/relationships/ctrlProp" Target="../ctrlProps/ctrlProp294.xml"/><Relationship Id="rId21" Type="http://schemas.openxmlformats.org/officeDocument/2006/relationships/ctrlProp" Target="../ctrlProps/ctrlProp276.xml"/><Relationship Id="rId34" Type="http://schemas.openxmlformats.org/officeDocument/2006/relationships/ctrlProp" Target="../ctrlProps/ctrlProp289.xml"/><Relationship Id="rId42" Type="http://schemas.openxmlformats.org/officeDocument/2006/relationships/ctrlProp" Target="../ctrlProps/ctrlProp297.xml"/><Relationship Id="rId47" Type="http://schemas.openxmlformats.org/officeDocument/2006/relationships/ctrlProp" Target="../ctrlProps/ctrlProp302.xml"/><Relationship Id="rId50" Type="http://schemas.openxmlformats.org/officeDocument/2006/relationships/ctrlProp" Target="../ctrlProps/ctrlProp305.xml"/><Relationship Id="rId55" Type="http://schemas.openxmlformats.org/officeDocument/2006/relationships/ctrlProp" Target="../ctrlProps/ctrlProp310.xml"/><Relationship Id="rId63" Type="http://schemas.openxmlformats.org/officeDocument/2006/relationships/ctrlProp" Target="../ctrlProps/ctrlProp318.xml"/><Relationship Id="rId7" Type="http://schemas.openxmlformats.org/officeDocument/2006/relationships/ctrlProp" Target="../ctrlProps/ctrlProp262.xml"/><Relationship Id="rId2" Type="http://schemas.openxmlformats.org/officeDocument/2006/relationships/drawing" Target="../drawings/drawing8.xml"/><Relationship Id="rId16" Type="http://schemas.openxmlformats.org/officeDocument/2006/relationships/ctrlProp" Target="../ctrlProps/ctrlProp271.xml"/><Relationship Id="rId29" Type="http://schemas.openxmlformats.org/officeDocument/2006/relationships/ctrlProp" Target="../ctrlProps/ctrlProp284.xml"/><Relationship Id="rId1" Type="http://schemas.openxmlformats.org/officeDocument/2006/relationships/printerSettings" Target="../printerSettings/printerSettings7.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40" Type="http://schemas.openxmlformats.org/officeDocument/2006/relationships/ctrlProp" Target="../ctrlProps/ctrlProp295.xml"/><Relationship Id="rId45" Type="http://schemas.openxmlformats.org/officeDocument/2006/relationships/ctrlProp" Target="../ctrlProps/ctrlProp300.xml"/><Relationship Id="rId53" Type="http://schemas.openxmlformats.org/officeDocument/2006/relationships/ctrlProp" Target="../ctrlProps/ctrlProp308.xml"/><Relationship Id="rId58" Type="http://schemas.openxmlformats.org/officeDocument/2006/relationships/ctrlProp" Target="../ctrlProps/ctrlProp313.xml"/><Relationship Id="rId66" Type="http://schemas.openxmlformats.org/officeDocument/2006/relationships/ctrlProp" Target="../ctrlProps/ctrlProp321.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49" Type="http://schemas.openxmlformats.org/officeDocument/2006/relationships/ctrlProp" Target="../ctrlProps/ctrlProp304.xml"/><Relationship Id="rId57" Type="http://schemas.openxmlformats.org/officeDocument/2006/relationships/ctrlProp" Target="../ctrlProps/ctrlProp312.xml"/><Relationship Id="rId61" Type="http://schemas.openxmlformats.org/officeDocument/2006/relationships/ctrlProp" Target="../ctrlProps/ctrlProp316.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4" Type="http://schemas.openxmlformats.org/officeDocument/2006/relationships/ctrlProp" Target="../ctrlProps/ctrlProp299.xml"/><Relationship Id="rId52" Type="http://schemas.openxmlformats.org/officeDocument/2006/relationships/ctrlProp" Target="../ctrlProps/ctrlProp307.xml"/><Relationship Id="rId60" Type="http://schemas.openxmlformats.org/officeDocument/2006/relationships/ctrlProp" Target="../ctrlProps/ctrlProp315.xml"/><Relationship Id="rId65" Type="http://schemas.openxmlformats.org/officeDocument/2006/relationships/ctrlProp" Target="../ctrlProps/ctrlProp320.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43" Type="http://schemas.openxmlformats.org/officeDocument/2006/relationships/ctrlProp" Target="../ctrlProps/ctrlProp298.xml"/><Relationship Id="rId48" Type="http://schemas.openxmlformats.org/officeDocument/2006/relationships/ctrlProp" Target="../ctrlProps/ctrlProp303.xml"/><Relationship Id="rId56" Type="http://schemas.openxmlformats.org/officeDocument/2006/relationships/ctrlProp" Target="../ctrlProps/ctrlProp311.xml"/><Relationship Id="rId64" Type="http://schemas.openxmlformats.org/officeDocument/2006/relationships/ctrlProp" Target="../ctrlProps/ctrlProp319.xml"/><Relationship Id="rId8" Type="http://schemas.openxmlformats.org/officeDocument/2006/relationships/ctrlProp" Target="../ctrlProps/ctrlProp263.xml"/><Relationship Id="rId51" Type="http://schemas.openxmlformats.org/officeDocument/2006/relationships/ctrlProp" Target="../ctrlProps/ctrlProp306.xml"/><Relationship Id="rId3" Type="http://schemas.openxmlformats.org/officeDocument/2006/relationships/vmlDrawing" Target="../drawings/vmlDrawing6.v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46" Type="http://schemas.openxmlformats.org/officeDocument/2006/relationships/ctrlProp" Target="../ctrlProps/ctrlProp301.xml"/><Relationship Id="rId59" Type="http://schemas.openxmlformats.org/officeDocument/2006/relationships/ctrlProp" Target="../ctrlProps/ctrlProp314.xml"/><Relationship Id="rId67" Type="http://schemas.openxmlformats.org/officeDocument/2006/relationships/ctrlProp" Target="../ctrlProps/ctrlProp322.xml"/><Relationship Id="rId20" Type="http://schemas.openxmlformats.org/officeDocument/2006/relationships/ctrlProp" Target="../ctrlProps/ctrlProp275.xml"/><Relationship Id="rId41" Type="http://schemas.openxmlformats.org/officeDocument/2006/relationships/ctrlProp" Target="../ctrlProps/ctrlProp296.xml"/><Relationship Id="rId54" Type="http://schemas.openxmlformats.org/officeDocument/2006/relationships/ctrlProp" Target="../ctrlProps/ctrlProp309.xml"/><Relationship Id="rId62" Type="http://schemas.openxmlformats.org/officeDocument/2006/relationships/ctrlProp" Target="../ctrlProps/ctrlProp3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436.xml"/><Relationship Id="rId21" Type="http://schemas.openxmlformats.org/officeDocument/2006/relationships/ctrlProp" Target="../ctrlProps/ctrlProp340.xml"/><Relationship Id="rId42" Type="http://schemas.openxmlformats.org/officeDocument/2006/relationships/ctrlProp" Target="../ctrlProps/ctrlProp361.xml"/><Relationship Id="rId63" Type="http://schemas.openxmlformats.org/officeDocument/2006/relationships/ctrlProp" Target="../ctrlProps/ctrlProp382.xml"/><Relationship Id="rId84" Type="http://schemas.openxmlformats.org/officeDocument/2006/relationships/ctrlProp" Target="../ctrlProps/ctrlProp403.xml"/><Relationship Id="rId138" Type="http://schemas.openxmlformats.org/officeDocument/2006/relationships/ctrlProp" Target="../ctrlProps/ctrlProp457.xml"/><Relationship Id="rId159" Type="http://schemas.openxmlformats.org/officeDocument/2006/relationships/ctrlProp" Target="../ctrlProps/ctrlProp478.xml"/><Relationship Id="rId170" Type="http://schemas.openxmlformats.org/officeDocument/2006/relationships/ctrlProp" Target="../ctrlProps/ctrlProp489.xml"/><Relationship Id="rId191" Type="http://schemas.openxmlformats.org/officeDocument/2006/relationships/ctrlProp" Target="../ctrlProps/ctrlProp510.xml"/><Relationship Id="rId205" Type="http://schemas.openxmlformats.org/officeDocument/2006/relationships/ctrlProp" Target="../ctrlProps/ctrlProp524.xml"/><Relationship Id="rId226" Type="http://schemas.openxmlformats.org/officeDocument/2006/relationships/ctrlProp" Target="../ctrlProps/ctrlProp545.xml"/><Relationship Id="rId107" Type="http://schemas.openxmlformats.org/officeDocument/2006/relationships/ctrlProp" Target="../ctrlProps/ctrlProp426.xml"/><Relationship Id="rId11" Type="http://schemas.openxmlformats.org/officeDocument/2006/relationships/ctrlProp" Target="../ctrlProps/ctrlProp330.xml"/><Relationship Id="rId32" Type="http://schemas.openxmlformats.org/officeDocument/2006/relationships/ctrlProp" Target="../ctrlProps/ctrlProp351.xml"/><Relationship Id="rId53" Type="http://schemas.openxmlformats.org/officeDocument/2006/relationships/ctrlProp" Target="../ctrlProps/ctrlProp372.xml"/><Relationship Id="rId74" Type="http://schemas.openxmlformats.org/officeDocument/2006/relationships/ctrlProp" Target="../ctrlProps/ctrlProp393.xml"/><Relationship Id="rId128" Type="http://schemas.openxmlformats.org/officeDocument/2006/relationships/ctrlProp" Target="../ctrlProps/ctrlProp447.xml"/><Relationship Id="rId149" Type="http://schemas.openxmlformats.org/officeDocument/2006/relationships/ctrlProp" Target="../ctrlProps/ctrlProp468.xml"/><Relationship Id="rId5" Type="http://schemas.openxmlformats.org/officeDocument/2006/relationships/ctrlProp" Target="../ctrlProps/ctrlProp324.xml"/><Relationship Id="rId95" Type="http://schemas.openxmlformats.org/officeDocument/2006/relationships/ctrlProp" Target="../ctrlProps/ctrlProp414.xml"/><Relationship Id="rId160" Type="http://schemas.openxmlformats.org/officeDocument/2006/relationships/ctrlProp" Target="../ctrlProps/ctrlProp479.xml"/><Relationship Id="rId181" Type="http://schemas.openxmlformats.org/officeDocument/2006/relationships/ctrlProp" Target="../ctrlProps/ctrlProp500.xml"/><Relationship Id="rId216" Type="http://schemas.openxmlformats.org/officeDocument/2006/relationships/ctrlProp" Target="../ctrlProps/ctrlProp535.xml"/><Relationship Id="rId22" Type="http://schemas.openxmlformats.org/officeDocument/2006/relationships/ctrlProp" Target="../ctrlProps/ctrlProp341.xml"/><Relationship Id="rId27" Type="http://schemas.openxmlformats.org/officeDocument/2006/relationships/ctrlProp" Target="../ctrlProps/ctrlProp346.xml"/><Relationship Id="rId43" Type="http://schemas.openxmlformats.org/officeDocument/2006/relationships/ctrlProp" Target="../ctrlProps/ctrlProp362.xml"/><Relationship Id="rId48" Type="http://schemas.openxmlformats.org/officeDocument/2006/relationships/ctrlProp" Target="../ctrlProps/ctrlProp367.xml"/><Relationship Id="rId64" Type="http://schemas.openxmlformats.org/officeDocument/2006/relationships/ctrlProp" Target="../ctrlProps/ctrlProp383.xml"/><Relationship Id="rId69" Type="http://schemas.openxmlformats.org/officeDocument/2006/relationships/ctrlProp" Target="../ctrlProps/ctrlProp388.xml"/><Relationship Id="rId113" Type="http://schemas.openxmlformats.org/officeDocument/2006/relationships/ctrlProp" Target="../ctrlProps/ctrlProp432.xml"/><Relationship Id="rId118" Type="http://schemas.openxmlformats.org/officeDocument/2006/relationships/ctrlProp" Target="../ctrlProps/ctrlProp437.xml"/><Relationship Id="rId134" Type="http://schemas.openxmlformats.org/officeDocument/2006/relationships/ctrlProp" Target="../ctrlProps/ctrlProp453.xml"/><Relationship Id="rId139" Type="http://schemas.openxmlformats.org/officeDocument/2006/relationships/ctrlProp" Target="../ctrlProps/ctrlProp458.xml"/><Relationship Id="rId80" Type="http://schemas.openxmlformats.org/officeDocument/2006/relationships/ctrlProp" Target="../ctrlProps/ctrlProp399.xml"/><Relationship Id="rId85" Type="http://schemas.openxmlformats.org/officeDocument/2006/relationships/ctrlProp" Target="../ctrlProps/ctrlProp404.xml"/><Relationship Id="rId150" Type="http://schemas.openxmlformats.org/officeDocument/2006/relationships/ctrlProp" Target="../ctrlProps/ctrlProp469.xml"/><Relationship Id="rId155" Type="http://schemas.openxmlformats.org/officeDocument/2006/relationships/ctrlProp" Target="../ctrlProps/ctrlProp474.xml"/><Relationship Id="rId171" Type="http://schemas.openxmlformats.org/officeDocument/2006/relationships/ctrlProp" Target="../ctrlProps/ctrlProp490.xml"/><Relationship Id="rId176" Type="http://schemas.openxmlformats.org/officeDocument/2006/relationships/ctrlProp" Target="../ctrlProps/ctrlProp495.xml"/><Relationship Id="rId192" Type="http://schemas.openxmlformats.org/officeDocument/2006/relationships/ctrlProp" Target="../ctrlProps/ctrlProp511.xml"/><Relationship Id="rId197" Type="http://schemas.openxmlformats.org/officeDocument/2006/relationships/ctrlProp" Target="../ctrlProps/ctrlProp516.xml"/><Relationship Id="rId206" Type="http://schemas.openxmlformats.org/officeDocument/2006/relationships/ctrlProp" Target="../ctrlProps/ctrlProp525.xml"/><Relationship Id="rId227" Type="http://schemas.openxmlformats.org/officeDocument/2006/relationships/ctrlProp" Target="../ctrlProps/ctrlProp546.xml"/><Relationship Id="rId201" Type="http://schemas.openxmlformats.org/officeDocument/2006/relationships/ctrlProp" Target="../ctrlProps/ctrlProp520.xml"/><Relationship Id="rId222" Type="http://schemas.openxmlformats.org/officeDocument/2006/relationships/ctrlProp" Target="../ctrlProps/ctrlProp541.xml"/><Relationship Id="rId12" Type="http://schemas.openxmlformats.org/officeDocument/2006/relationships/ctrlProp" Target="../ctrlProps/ctrlProp331.xml"/><Relationship Id="rId17" Type="http://schemas.openxmlformats.org/officeDocument/2006/relationships/ctrlProp" Target="../ctrlProps/ctrlProp336.xml"/><Relationship Id="rId33" Type="http://schemas.openxmlformats.org/officeDocument/2006/relationships/ctrlProp" Target="../ctrlProps/ctrlProp352.xml"/><Relationship Id="rId38" Type="http://schemas.openxmlformats.org/officeDocument/2006/relationships/ctrlProp" Target="../ctrlProps/ctrlProp357.xml"/><Relationship Id="rId59" Type="http://schemas.openxmlformats.org/officeDocument/2006/relationships/ctrlProp" Target="../ctrlProps/ctrlProp378.xml"/><Relationship Id="rId103" Type="http://schemas.openxmlformats.org/officeDocument/2006/relationships/ctrlProp" Target="../ctrlProps/ctrlProp422.xml"/><Relationship Id="rId108" Type="http://schemas.openxmlformats.org/officeDocument/2006/relationships/ctrlProp" Target="../ctrlProps/ctrlProp427.xml"/><Relationship Id="rId124" Type="http://schemas.openxmlformats.org/officeDocument/2006/relationships/ctrlProp" Target="../ctrlProps/ctrlProp443.xml"/><Relationship Id="rId129" Type="http://schemas.openxmlformats.org/officeDocument/2006/relationships/ctrlProp" Target="../ctrlProps/ctrlProp448.xml"/><Relationship Id="rId54" Type="http://schemas.openxmlformats.org/officeDocument/2006/relationships/ctrlProp" Target="../ctrlProps/ctrlProp373.xml"/><Relationship Id="rId70" Type="http://schemas.openxmlformats.org/officeDocument/2006/relationships/ctrlProp" Target="../ctrlProps/ctrlProp389.xml"/><Relationship Id="rId75" Type="http://schemas.openxmlformats.org/officeDocument/2006/relationships/ctrlProp" Target="../ctrlProps/ctrlProp394.xml"/><Relationship Id="rId91" Type="http://schemas.openxmlformats.org/officeDocument/2006/relationships/ctrlProp" Target="../ctrlProps/ctrlProp410.xml"/><Relationship Id="rId96" Type="http://schemas.openxmlformats.org/officeDocument/2006/relationships/ctrlProp" Target="../ctrlProps/ctrlProp415.xml"/><Relationship Id="rId140" Type="http://schemas.openxmlformats.org/officeDocument/2006/relationships/ctrlProp" Target="../ctrlProps/ctrlProp459.xml"/><Relationship Id="rId145" Type="http://schemas.openxmlformats.org/officeDocument/2006/relationships/ctrlProp" Target="../ctrlProps/ctrlProp464.xml"/><Relationship Id="rId161" Type="http://schemas.openxmlformats.org/officeDocument/2006/relationships/ctrlProp" Target="../ctrlProps/ctrlProp480.xml"/><Relationship Id="rId166" Type="http://schemas.openxmlformats.org/officeDocument/2006/relationships/ctrlProp" Target="../ctrlProps/ctrlProp485.xml"/><Relationship Id="rId182" Type="http://schemas.openxmlformats.org/officeDocument/2006/relationships/ctrlProp" Target="../ctrlProps/ctrlProp501.xml"/><Relationship Id="rId187" Type="http://schemas.openxmlformats.org/officeDocument/2006/relationships/ctrlProp" Target="../ctrlProps/ctrlProp506.xml"/><Relationship Id="rId217" Type="http://schemas.openxmlformats.org/officeDocument/2006/relationships/ctrlProp" Target="../ctrlProps/ctrlProp536.xml"/><Relationship Id="rId1" Type="http://schemas.openxmlformats.org/officeDocument/2006/relationships/printerSettings" Target="../printerSettings/printerSettings10.bin"/><Relationship Id="rId6" Type="http://schemas.openxmlformats.org/officeDocument/2006/relationships/ctrlProp" Target="../ctrlProps/ctrlProp325.xml"/><Relationship Id="rId212" Type="http://schemas.openxmlformats.org/officeDocument/2006/relationships/ctrlProp" Target="../ctrlProps/ctrlProp531.xml"/><Relationship Id="rId23" Type="http://schemas.openxmlformats.org/officeDocument/2006/relationships/ctrlProp" Target="../ctrlProps/ctrlProp342.xml"/><Relationship Id="rId28" Type="http://schemas.openxmlformats.org/officeDocument/2006/relationships/ctrlProp" Target="../ctrlProps/ctrlProp347.xml"/><Relationship Id="rId49" Type="http://schemas.openxmlformats.org/officeDocument/2006/relationships/ctrlProp" Target="../ctrlProps/ctrlProp368.xml"/><Relationship Id="rId114" Type="http://schemas.openxmlformats.org/officeDocument/2006/relationships/ctrlProp" Target="../ctrlProps/ctrlProp433.xml"/><Relationship Id="rId119" Type="http://schemas.openxmlformats.org/officeDocument/2006/relationships/ctrlProp" Target="../ctrlProps/ctrlProp438.xml"/><Relationship Id="rId44" Type="http://schemas.openxmlformats.org/officeDocument/2006/relationships/ctrlProp" Target="../ctrlProps/ctrlProp363.xml"/><Relationship Id="rId60" Type="http://schemas.openxmlformats.org/officeDocument/2006/relationships/ctrlProp" Target="../ctrlProps/ctrlProp379.xml"/><Relationship Id="rId65" Type="http://schemas.openxmlformats.org/officeDocument/2006/relationships/ctrlProp" Target="../ctrlProps/ctrlProp384.xml"/><Relationship Id="rId81" Type="http://schemas.openxmlformats.org/officeDocument/2006/relationships/ctrlProp" Target="../ctrlProps/ctrlProp400.xml"/><Relationship Id="rId86" Type="http://schemas.openxmlformats.org/officeDocument/2006/relationships/ctrlProp" Target="../ctrlProps/ctrlProp405.xml"/><Relationship Id="rId130" Type="http://schemas.openxmlformats.org/officeDocument/2006/relationships/ctrlProp" Target="../ctrlProps/ctrlProp449.xml"/><Relationship Id="rId135" Type="http://schemas.openxmlformats.org/officeDocument/2006/relationships/ctrlProp" Target="../ctrlProps/ctrlProp454.xml"/><Relationship Id="rId151" Type="http://schemas.openxmlformats.org/officeDocument/2006/relationships/ctrlProp" Target="../ctrlProps/ctrlProp470.xml"/><Relationship Id="rId156" Type="http://schemas.openxmlformats.org/officeDocument/2006/relationships/ctrlProp" Target="../ctrlProps/ctrlProp475.xml"/><Relationship Id="rId177" Type="http://schemas.openxmlformats.org/officeDocument/2006/relationships/ctrlProp" Target="../ctrlProps/ctrlProp496.xml"/><Relationship Id="rId198" Type="http://schemas.openxmlformats.org/officeDocument/2006/relationships/ctrlProp" Target="../ctrlProps/ctrlProp517.xml"/><Relationship Id="rId172" Type="http://schemas.openxmlformats.org/officeDocument/2006/relationships/ctrlProp" Target="../ctrlProps/ctrlProp491.xml"/><Relationship Id="rId193" Type="http://schemas.openxmlformats.org/officeDocument/2006/relationships/ctrlProp" Target="../ctrlProps/ctrlProp512.xml"/><Relationship Id="rId202" Type="http://schemas.openxmlformats.org/officeDocument/2006/relationships/ctrlProp" Target="../ctrlProps/ctrlProp521.xml"/><Relationship Id="rId207" Type="http://schemas.openxmlformats.org/officeDocument/2006/relationships/ctrlProp" Target="../ctrlProps/ctrlProp526.xml"/><Relationship Id="rId223" Type="http://schemas.openxmlformats.org/officeDocument/2006/relationships/ctrlProp" Target="../ctrlProps/ctrlProp542.xml"/><Relationship Id="rId228" Type="http://schemas.openxmlformats.org/officeDocument/2006/relationships/ctrlProp" Target="../ctrlProps/ctrlProp547.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109" Type="http://schemas.openxmlformats.org/officeDocument/2006/relationships/ctrlProp" Target="../ctrlProps/ctrlProp42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 Id="rId104" Type="http://schemas.openxmlformats.org/officeDocument/2006/relationships/ctrlProp" Target="../ctrlProps/ctrlProp423.xml"/><Relationship Id="rId120" Type="http://schemas.openxmlformats.org/officeDocument/2006/relationships/ctrlProp" Target="../ctrlProps/ctrlProp439.xml"/><Relationship Id="rId125" Type="http://schemas.openxmlformats.org/officeDocument/2006/relationships/ctrlProp" Target="../ctrlProps/ctrlProp444.xml"/><Relationship Id="rId141" Type="http://schemas.openxmlformats.org/officeDocument/2006/relationships/ctrlProp" Target="../ctrlProps/ctrlProp460.xml"/><Relationship Id="rId146" Type="http://schemas.openxmlformats.org/officeDocument/2006/relationships/ctrlProp" Target="../ctrlProps/ctrlProp465.xml"/><Relationship Id="rId167" Type="http://schemas.openxmlformats.org/officeDocument/2006/relationships/ctrlProp" Target="../ctrlProps/ctrlProp486.xml"/><Relationship Id="rId188" Type="http://schemas.openxmlformats.org/officeDocument/2006/relationships/ctrlProp" Target="../ctrlProps/ctrlProp507.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162" Type="http://schemas.openxmlformats.org/officeDocument/2006/relationships/ctrlProp" Target="../ctrlProps/ctrlProp481.xml"/><Relationship Id="rId183" Type="http://schemas.openxmlformats.org/officeDocument/2006/relationships/ctrlProp" Target="../ctrlProps/ctrlProp502.xml"/><Relationship Id="rId213" Type="http://schemas.openxmlformats.org/officeDocument/2006/relationships/ctrlProp" Target="../ctrlProps/ctrlProp532.xml"/><Relationship Id="rId218" Type="http://schemas.openxmlformats.org/officeDocument/2006/relationships/ctrlProp" Target="../ctrlProps/ctrlProp537.xml"/><Relationship Id="rId2" Type="http://schemas.openxmlformats.org/officeDocument/2006/relationships/drawing" Target="../drawings/drawing11.xml"/><Relationship Id="rId29" Type="http://schemas.openxmlformats.org/officeDocument/2006/relationships/ctrlProp" Target="../ctrlProps/ctrlProp348.xml"/><Relationship Id="rId24" Type="http://schemas.openxmlformats.org/officeDocument/2006/relationships/ctrlProp" Target="../ctrlProps/ctrlProp343.xml"/><Relationship Id="rId40" Type="http://schemas.openxmlformats.org/officeDocument/2006/relationships/ctrlProp" Target="../ctrlProps/ctrlProp359.xml"/><Relationship Id="rId45" Type="http://schemas.openxmlformats.org/officeDocument/2006/relationships/ctrlProp" Target="../ctrlProps/ctrlProp364.xml"/><Relationship Id="rId66" Type="http://schemas.openxmlformats.org/officeDocument/2006/relationships/ctrlProp" Target="../ctrlProps/ctrlProp385.xml"/><Relationship Id="rId87" Type="http://schemas.openxmlformats.org/officeDocument/2006/relationships/ctrlProp" Target="../ctrlProps/ctrlProp406.xml"/><Relationship Id="rId110" Type="http://schemas.openxmlformats.org/officeDocument/2006/relationships/ctrlProp" Target="../ctrlProps/ctrlProp429.xml"/><Relationship Id="rId115" Type="http://schemas.openxmlformats.org/officeDocument/2006/relationships/ctrlProp" Target="../ctrlProps/ctrlProp434.xml"/><Relationship Id="rId131" Type="http://schemas.openxmlformats.org/officeDocument/2006/relationships/ctrlProp" Target="../ctrlProps/ctrlProp450.xml"/><Relationship Id="rId136" Type="http://schemas.openxmlformats.org/officeDocument/2006/relationships/ctrlProp" Target="../ctrlProps/ctrlProp455.xml"/><Relationship Id="rId157" Type="http://schemas.openxmlformats.org/officeDocument/2006/relationships/ctrlProp" Target="../ctrlProps/ctrlProp476.xml"/><Relationship Id="rId178" Type="http://schemas.openxmlformats.org/officeDocument/2006/relationships/ctrlProp" Target="../ctrlProps/ctrlProp497.xml"/><Relationship Id="rId61" Type="http://schemas.openxmlformats.org/officeDocument/2006/relationships/ctrlProp" Target="../ctrlProps/ctrlProp380.xml"/><Relationship Id="rId82" Type="http://schemas.openxmlformats.org/officeDocument/2006/relationships/ctrlProp" Target="../ctrlProps/ctrlProp401.xml"/><Relationship Id="rId152" Type="http://schemas.openxmlformats.org/officeDocument/2006/relationships/ctrlProp" Target="../ctrlProps/ctrlProp471.xml"/><Relationship Id="rId173" Type="http://schemas.openxmlformats.org/officeDocument/2006/relationships/ctrlProp" Target="../ctrlProps/ctrlProp492.xml"/><Relationship Id="rId194" Type="http://schemas.openxmlformats.org/officeDocument/2006/relationships/ctrlProp" Target="../ctrlProps/ctrlProp513.xml"/><Relationship Id="rId199" Type="http://schemas.openxmlformats.org/officeDocument/2006/relationships/ctrlProp" Target="../ctrlProps/ctrlProp518.xml"/><Relationship Id="rId203" Type="http://schemas.openxmlformats.org/officeDocument/2006/relationships/ctrlProp" Target="../ctrlProps/ctrlProp522.xml"/><Relationship Id="rId208" Type="http://schemas.openxmlformats.org/officeDocument/2006/relationships/ctrlProp" Target="../ctrlProps/ctrlProp527.xml"/><Relationship Id="rId229" Type="http://schemas.openxmlformats.org/officeDocument/2006/relationships/ctrlProp" Target="../ctrlProps/ctrlProp548.xml"/><Relationship Id="rId19" Type="http://schemas.openxmlformats.org/officeDocument/2006/relationships/ctrlProp" Target="../ctrlProps/ctrlProp338.xml"/><Relationship Id="rId224" Type="http://schemas.openxmlformats.org/officeDocument/2006/relationships/ctrlProp" Target="../ctrlProps/ctrlProp543.xml"/><Relationship Id="rId14" Type="http://schemas.openxmlformats.org/officeDocument/2006/relationships/ctrlProp" Target="../ctrlProps/ctrlProp333.xml"/><Relationship Id="rId30" Type="http://schemas.openxmlformats.org/officeDocument/2006/relationships/ctrlProp" Target="../ctrlProps/ctrlProp349.xml"/><Relationship Id="rId35" Type="http://schemas.openxmlformats.org/officeDocument/2006/relationships/ctrlProp" Target="../ctrlProps/ctrlProp354.xml"/><Relationship Id="rId56" Type="http://schemas.openxmlformats.org/officeDocument/2006/relationships/ctrlProp" Target="../ctrlProps/ctrlProp375.xml"/><Relationship Id="rId77" Type="http://schemas.openxmlformats.org/officeDocument/2006/relationships/ctrlProp" Target="../ctrlProps/ctrlProp396.xml"/><Relationship Id="rId100" Type="http://schemas.openxmlformats.org/officeDocument/2006/relationships/ctrlProp" Target="../ctrlProps/ctrlProp419.xml"/><Relationship Id="rId105" Type="http://schemas.openxmlformats.org/officeDocument/2006/relationships/ctrlProp" Target="../ctrlProps/ctrlProp424.xml"/><Relationship Id="rId126" Type="http://schemas.openxmlformats.org/officeDocument/2006/relationships/ctrlProp" Target="../ctrlProps/ctrlProp445.xml"/><Relationship Id="rId147" Type="http://schemas.openxmlformats.org/officeDocument/2006/relationships/ctrlProp" Target="../ctrlProps/ctrlProp466.xml"/><Relationship Id="rId168" Type="http://schemas.openxmlformats.org/officeDocument/2006/relationships/ctrlProp" Target="../ctrlProps/ctrlProp487.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93" Type="http://schemas.openxmlformats.org/officeDocument/2006/relationships/ctrlProp" Target="../ctrlProps/ctrlProp412.xml"/><Relationship Id="rId98" Type="http://schemas.openxmlformats.org/officeDocument/2006/relationships/ctrlProp" Target="../ctrlProps/ctrlProp417.xml"/><Relationship Id="rId121" Type="http://schemas.openxmlformats.org/officeDocument/2006/relationships/ctrlProp" Target="../ctrlProps/ctrlProp440.xml"/><Relationship Id="rId142" Type="http://schemas.openxmlformats.org/officeDocument/2006/relationships/ctrlProp" Target="../ctrlProps/ctrlProp461.xml"/><Relationship Id="rId163" Type="http://schemas.openxmlformats.org/officeDocument/2006/relationships/ctrlProp" Target="../ctrlProps/ctrlProp482.xml"/><Relationship Id="rId184" Type="http://schemas.openxmlformats.org/officeDocument/2006/relationships/ctrlProp" Target="../ctrlProps/ctrlProp503.xml"/><Relationship Id="rId189" Type="http://schemas.openxmlformats.org/officeDocument/2006/relationships/ctrlProp" Target="../ctrlProps/ctrlProp508.xml"/><Relationship Id="rId219" Type="http://schemas.openxmlformats.org/officeDocument/2006/relationships/ctrlProp" Target="../ctrlProps/ctrlProp538.xml"/><Relationship Id="rId3" Type="http://schemas.openxmlformats.org/officeDocument/2006/relationships/vmlDrawing" Target="../drawings/vmlDrawing7.vml"/><Relationship Id="rId214" Type="http://schemas.openxmlformats.org/officeDocument/2006/relationships/ctrlProp" Target="../ctrlProps/ctrlProp533.xml"/><Relationship Id="rId230" Type="http://schemas.openxmlformats.org/officeDocument/2006/relationships/ctrlProp" Target="../ctrlProps/ctrlProp549.xml"/><Relationship Id="rId25" Type="http://schemas.openxmlformats.org/officeDocument/2006/relationships/ctrlProp" Target="../ctrlProps/ctrlProp344.xml"/><Relationship Id="rId46" Type="http://schemas.openxmlformats.org/officeDocument/2006/relationships/ctrlProp" Target="../ctrlProps/ctrlProp365.xml"/><Relationship Id="rId67" Type="http://schemas.openxmlformats.org/officeDocument/2006/relationships/ctrlProp" Target="../ctrlProps/ctrlProp386.xml"/><Relationship Id="rId116" Type="http://schemas.openxmlformats.org/officeDocument/2006/relationships/ctrlProp" Target="../ctrlProps/ctrlProp435.xml"/><Relationship Id="rId137" Type="http://schemas.openxmlformats.org/officeDocument/2006/relationships/ctrlProp" Target="../ctrlProps/ctrlProp456.xml"/><Relationship Id="rId158" Type="http://schemas.openxmlformats.org/officeDocument/2006/relationships/ctrlProp" Target="../ctrlProps/ctrlProp477.xml"/><Relationship Id="rId20" Type="http://schemas.openxmlformats.org/officeDocument/2006/relationships/ctrlProp" Target="../ctrlProps/ctrlProp339.xml"/><Relationship Id="rId41" Type="http://schemas.openxmlformats.org/officeDocument/2006/relationships/ctrlProp" Target="../ctrlProps/ctrlProp360.xml"/><Relationship Id="rId62" Type="http://schemas.openxmlformats.org/officeDocument/2006/relationships/ctrlProp" Target="../ctrlProps/ctrlProp381.xml"/><Relationship Id="rId83" Type="http://schemas.openxmlformats.org/officeDocument/2006/relationships/ctrlProp" Target="../ctrlProps/ctrlProp402.xml"/><Relationship Id="rId88" Type="http://schemas.openxmlformats.org/officeDocument/2006/relationships/ctrlProp" Target="../ctrlProps/ctrlProp407.xml"/><Relationship Id="rId111" Type="http://schemas.openxmlformats.org/officeDocument/2006/relationships/ctrlProp" Target="../ctrlProps/ctrlProp430.xml"/><Relationship Id="rId132" Type="http://schemas.openxmlformats.org/officeDocument/2006/relationships/ctrlProp" Target="../ctrlProps/ctrlProp451.xml"/><Relationship Id="rId153" Type="http://schemas.openxmlformats.org/officeDocument/2006/relationships/ctrlProp" Target="../ctrlProps/ctrlProp472.xml"/><Relationship Id="rId174" Type="http://schemas.openxmlformats.org/officeDocument/2006/relationships/ctrlProp" Target="../ctrlProps/ctrlProp493.xml"/><Relationship Id="rId179" Type="http://schemas.openxmlformats.org/officeDocument/2006/relationships/ctrlProp" Target="../ctrlProps/ctrlProp498.xml"/><Relationship Id="rId195" Type="http://schemas.openxmlformats.org/officeDocument/2006/relationships/ctrlProp" Target="../ctrlProps/ctrlProp514.xml"/><Relationship Id="rId209" Type="http://schemas.openxmlformats.org/officeDocument/2006/relationships/ctrlProp" Target="../ctrlProps/ctrlProp528.xml"/><Relationship Id="rId190" Type="http://schemas.openxmlformats.org/officeDocument/2006/relationships/ctrlProp" Target="../ctrlProps/ctrlProp509.xml"/><Relationship Id="rId204" Type="http://schemas.openxmlformats.org/officeDocument/2006/relationships/ctrlProp" Target="../ctrlProps/ctrlProp523.xml"/><Relationship Id="rId220" Type="http://schemas.openxmlformats.org/officeDocument/2006/relationships/ctrlProp" Target="../ctrlProps/ctrlProp539.xml"/><Relationship Id="rId225" Type="http://schemas.openxmlformats.org/officeDocument/2006/relationships/ctrlProp" Target="../ctrlProps/ctrlProp544.xml"/><Relationship Id="rId15" Type="http://schemas.openxmlformats.org/officeDocument/2006/relationships/ctrlProp" Target="../ctrlProps/ctrlProp334.xml"/><Relationship Id="rId36" Type="http://schemas.openxmlformats.org/officeDocument/2006/relationships/ctrlProp" Target="../ctrlProps/ctrlProp355.xml"/><Relationship Id="rId57" Type="http://schemas.openxmlformats.org/officeDocument/2006/relationships/ctrlProp" Target="../ctrlProps/ctrlProp376.xml"/><Relationship Id="rId106" Type="http://schemas.openxmlformats.org/officeDocument/2006/relationships/ctrlProp" Target="../ctrlProps/ctrlProp425.xml"/><Relationship Id="rId127" Type="http://schemas.openxmlformats.org/officeDocument/2006/relationships/ctrlProp" Target="../ctrlProps/ctrlProp446.xml"/><Relationship Id="rId10" Type="http://schemas.openxmlformats.org/officeDocument/2006/relationships/ctrlProp" Target="../ctrlProps/ctrlProp329.xml"/><Relationship Id="rId31" Type="http://schemas.openxmlformats.org/officeDocument/2006/relationships/ctrlProp" Target="../ctrlProps/ctrlProp350.xml"/><Relationship Id="rId52" Type="http://schemas.openxmlformats.org/officeDocument/2006/relationships/ctrlProp" Target="../ctrlProps/ctrlProp371.xml"/><Relationship Id="rId73" Type="http://schemas.openxmlformats.org/officeDocument/2006/relationships/ctrlProp" Target="../ctrlProps/ctrlProp392.xml"/><Relationship Id="rId78" Type="http://schemas.openxmlformats.org/officeDocument/2006/relationships/ctrlProp" Target="../ctrlProps/ctrlProp397.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122" Type="http://schemas.openxmlformats.org/officeDocument/2006/relationships/ctrlProp" Target="../ctrlProps/ctrlProp441.xml"/><Relationship Id="rId143" Type="http://schemas.openxmlformats.org/officeDocument/2006/relationships/ctrlProp" Target="../ctrlProps/ctrlProp462.xml"/><Relationship Id="rId148" Type="http://schemas.openxmlformats.org/officeDocument/2006/relationships/ctrlProp" Target="../ctrlProps/ctrlProp467.xml"/><Relationship Id="rId164" Type="http://schemas.openxmlformats.org/officeDocument/2006/relationships/ctrlProp" Target="../ctrlProps/ctrlProp483.xml"/><Relationship Id="rId169" Type="http://schemas.openxmlformats.org/officeDocument/2006/relationships/ctrlProp" Target="../ctrlProps/ctrlProp488.xml"/><Relationship Id="rId185" Type="http://schemas.openxmlformats.org/officeDocument/2006/relationships/ctrlProp" Target="../ctrlProps/ctrlProp504.xml"/><Relationship Id="rId4" Type="http://schemas.openxmlformats.org/officeDocument/2006/relationships/ctrlProp" Target="../ctrlProps/ctrlProp323.xml"/><Relationship Id="rId9" Type="http://schemas.openxmlformats.org/officeDocument/2006/relationships/ctrlProp" Target="../ctrlProps/ctrlProp328.xml"/><Relationship Id="rId180" Type="http://schemas.openxmlformats.org/officeDocument/2006/relationships/ctrlProp" Target="../ctrlProps/ctrlProp499.xml"/><Relationship Id="rId210" Type="http://schemas.openxmlformats.org/officeDocument/2006/relationships/ctrlProp" Target="../ctrlProps/ctrlProp529.xml"/><Relationship Id="rId215" Type="http://schemas.openxmlformats.org/officeDocument/2006/relationships/ctrlProp" Target="../ctrlProps/ctrlProp534.xml"/><Relationship Id="rId26" Type="http://schemas.openxmlformats.org/officeDocument/2006/relationships/ctrlProp" Target="../ctrlProps/ctrlProp345.xml"/><Relationship Id="rId231" Type="http://schemas.openxmlformats.org/officeDocument/2006/relationships/ctrlProp" Target="../ctrlProps/ctrlProp550.xml"/><Relationship Id="rId47" Type="http://schemas.openxmlformats.org/officeDocument/2006/relationships/ctrlProp" Target="../ctrlProps/ctrlProp366.xml"/><Relationship Id="rId68" Type="http://schemas.openxmlformats.org/officeDocument/2006/relationships/ctrlProp" Target="../ctrlProps/ctrlProp387.xml"/><Relationship Id="rId89" Type="http://schemas.openxmlformats.org/officeDocument/2006/relationships/ctrlProp" Target="../ctrlProps/ctrlProp408.xml"/><Relationship Id="rId112" Type="http://schemas.openxmlformats.org/officeDocument/2006/relationships/ctrlProp" Target="../ctrlProps/ctrlProp431.xml"/><Relationship Id="rId133" Type="http://schemas.openxmlformats.org/officeDocument/2006/relationships/ctrlProp" Target="../ctrlProps/ctrlProp452.xml"/><Relationship Id="rId154" Type="http://schemas.openxmlformats.org/officeDocument/2006/relationships/ctrlProp" Target="../ctrlProps/ctrlProp473.xml"/><Relationship Id="rId175" Type="http://schemas.openxmlformats.org/officeDocument/2006/relationships/ctrlProp" Target="../ctrlProps/ctrlProp494.xml"/><Relationship Id="rId196" Type="http://schemas.openxmlformats.org/officeDocument/2006/relationships/ctrlProp" Target="../ctrlProps/ctrlProp515.xml"/><Relationship Id="rId200" Type="http://schemas.openxmlformats.org/officeDocument/2006/relationships/ctrlProp" Target="../ctrlProps/ctrlProp519.xml"/><Relationship Id="rId16" Type="http://schemas.openxmlformats.org/officeDocument/2006/relationships/ctrlProp" Target="../ctrlProps/ctrlProp335.xml"/><Relationship Id="rId221" Type="http://schemas.openxmlformats.org/officeDocument/2006/relationships/ctrlProp" Target="../ctrlProps/ctrlProp540.xml"/><Relationship Id="rId37" Type="http://schemas.openxmlformats.org/officeDocument/2006/relationships/ctrlProp" Target="../ctrlProps/ctrlProp356.xml"/><Relationship Id="rId58" Type="http://schemas.openxmlformats.org/officeDocument/2006/relationships/ctrlProp" Target="../ctrlProps/ctrlProp377.xml"/><Relationship Id="rId79" Type="http://schemas.openxmlformats.org/officeDocument/2006/relationships/ctrlProp" Target="../ctrlProps/ctrlProp398.xml"/><Relationship Id="rId102" Type="http://schemas.openxmlformats.org/officeDocument/2006/relationships/ctrlProp" Target="../ctrlProps/ctrlProp421.xml"/><Relationship Id="rId123" Type="http://schemas.openxmlformats.org/officeDocument/2006/relationships/ctrlProp" Target="../ctrlProps/ctrlProp442.xml"/><Relationship Id="rId144" Type="http://schemas.openxmlformats.org/officeDocument/2006/relationships/ctrlProp" Target="../ctrlProps/ctrlProp463.xml"/><Relationship Id="rId90" Type="http://schemas.openxmlformats.org/officeDocument/2006/relationships/ctrlProp" Target="../ctrlProps/ctrlProp409.xml"/><Relationship Id="rId165" Type="http://schemas.openxmlformats.org/officeDocument/2006/relationships/ctrlProp" Target="../ctrlProps/ctrlProp484.xml"/><Relationship Id="rId186" Type="http://schemas.openxmlformats.org/officeDocument/2006/relationships/ctrlProp" Target="../ctrlProps/ctrlProp505.xml"/><Relationship Id="rId211" Type="http://schemas.openxmlformats.org/officeDocument/2006/relationships/ctrlProp" Target="../ctrlProps/ctrlProp53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55.xml"/><Relationship Id="rId13" Type="http://schemas.openxmlformats.org/officeDocument/2006/relationships/ctrlProp" Target="../ctrlProps/ctrlProp560.xml"/><Relationship Id="rId18" Type="http://schemas.openxmlformats.org/officeDocument/2006/relationships/ctrlProp" Target="../ctrlProps/ctrlProp565.xml"/><Relationship Id="rId3" Type="http://schemas.openxmlformats.org/officeDocument/2006/relationships/vmlDrawing" Target="../drawings/vmlDrawing8.vml"/><Relationship Id="rId21" Type="http://schemas.openxmlformats.org/officeDocument/2006/relationships/ctrlProp" Target="../ctrlProps/ctrlProp568.xml"/><Relationship Id="rId7" Type="http://schemas.openxmlformats.org/officeDocument/2006/relationships/ctrlProp" Target="../ctrlProps/ctrlProp554.xml"/><Relationship Id="rId12" Type="http://schemas.openxmlformats.org/officeDocument/2006/relationships/ctrlProp" Target="../ctrlProps/ctrlProp559.xml"/><Relationship Id="rId17" Type="http://schemas.openxmlformats.org/officeDocument/2006/relationships/ctrlProp" Target="../ctrlProps/ctrlProp564.xml"/><Relationship Id="rId25" Type="http://schemas.openxmlformats.org/officeDocument/2006/relationships/ctrlProp" Target="../ctrlProps/ctrlProp572.xml"/><Relationship Id="rId2" Type="http://schemas.openxmlformats.org/officeDocument/2006/relationships/drawing" Target="../drawings/drawing17.xml"/><Relationship Id="rId16" Type="http://schemas.openxmlformats.org/officeDocument/2006/relationships/ctrlProp" Target="../ctrlProps/ctrlProp563.xml"/><Relationship Id="rId20" Type="http://schemas.openxmlformats.org/officeDocument/2006/relationships/ctrlProp" Target="../ctrlProps/ctrlProp567.xml"/><Relationship Id="rId1" Type="http://schemas.openxmlformats.org/officeDocument/2006/relationships/printerSettings" Target="../printerSettings/printerSettings16.bin"/><Relationship Id="rId6" Type="http://schemas.openxmlformats.org/officeDocument/2006/relationships/ctrlProp" Target="../ctrlProps/ctrlProp553.xml"/><Relationship Id="rId11" Type="http://schemas.openxmlformats.org/officeDocument/2006/relationships/ctrlProp" Target="../ctrlProps/ctrlProp558.xml"/><Relationship Id="rId24" Type="http://schemas.openxmlformats.org/officeDocument/2006/relationships/ctrlProp" Target="../ctrlProps/ctrlProp571.xml"/><Relationship Id="rId5" Type="http://schemas.openxmlformats.org/officeDocument/2006/relationships/ctrlProp" Target="../ctrlProps/ctrlProp552.xml"/><Relationship Id="rId15" Type="http://schemas.openxmlformats.org/officeDocument/2006/relationships/ctrlProp" Target="../ctrlProps/ctrlProp562.xml"/><Relationship Id="rId23" Type="http://schemas.openxmlformats.org/officeDocument/2006/relationships/ctrlProp" Target="../ctrlProps/ctrlProp570.xml"/><Relationship Id="rId10" Type="http://schemas.openxmlformats.org/officeDocument/2006/relationships/ctrlProp" Target="../ctrlProps/ctrlProp557.xml"/><Relationship Id="rId19" Type="http://schemas.openxmlformats.org/officeDocument/2006/relationships/ctrlProp" Target="../ctrlProps/ctrlProp566.xml"/><Relationship Id="rId4" Type="http://schemas.openxmlformats.org/officeDocument/2006/relationships/ctrlProp" Target="../ctrlProps/ctrlProp551.xml"/><Relationship Id="rId9" Type="http://schemas.openxmlformats.org/officeDocument/2006/relationships/ctrlProp" Target="../ctrlProps/ctrlProp556.xml"/><Relationship Id="rId14" Type="http://schemas.openxmlformats.org/officeDocument/2006/relationships/ctrlProp" Target="../ctrlProps/ctrlProp561.xml"/><Relationship Id="rId22" Type="http://schemas.openxmlformats.org/officeDocument/2006/relationships/ctrlProp" Target="../ctrlProps/ctrlProp56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5F7E-DE30-473C-883B-6EE1A1103E91}">
  <sheetPr codeName="Sheet19">
    <tabColor rgb="FFFF6600"/>
    <pageSetUpPr fitToPage="1"/>
  </sheetPr>
  <dimension ref="B1:X342"/>
  <sheetViews>
    <sheetView showZeros="0" tabSelected="1" workbookViewId="0">
      <selection activeCell="AK12" sqref="AK12"/>
    </sheetView>
  </sheetViews>
  <sheetFormatPr defaultRowHeight="18.75" x14ac:dyDescent="0.4"/>
  <cols>
    <col min="1" max="1" width="0.75" customWidth="1"/>
    <col min="2" max="4" width="5.5" style="229" customWidth="1"/>
    <col min="5" max="6" width="2.75" style="229" customWidth="1"/>
    <col min="7" max="11" width="5.5" customWidth="1"/>
    <col min="12" max="21" width="2.75" customWidth="1"/>
    <col min="22" max="22" width="5.5" customWidth="1"/>
    <col min="23" max="23" width="4.75" customWidth="1"/>
    <col min="24" max="24" width="6.25" customWidth="1"/>
    <col min="25" max="25" width="0.75" customWidth="1"/>
    <col min="26" max="55" width="5.625" customWidth="1"/>
  </cols>
  <sheetData>
    <row r="1" spans="2:24" ht="9" customHeight="1" x14ac:dyDescent="0.4">
      <c r="B1" s="580" t="s">
        <v>1079</v>
      </c>
      <c r="C1" s="580"/>
      <c r="D1" s="580"/>
      <c r="E1" s="580"/>
      <c r="F1" s="580"/>
      <c r="G1" s="580"/>
      <c r="H1" s="580"/>
      <c r="I1" s="580"/>
      <c r="J1" s="580"/>
      <c r="K1" s="580"/>
      <c r="L1" s="580"/>
      <c r="M1" s="580"/>
      <c r="N1" s="580"/>
      <c r="O1" s="580"/>
      <c r="P1" s="580"/>
      <c r="Q1" s="580"/>
      <c r="R1" s="580"/>
      <c r="S1" s="580"/>
      <c r="T1" s="580"/>
      <c r="U1" s="580"/>
      <c r="V1" s="580"/>
      <c r="W1" s="580"/>
      <c r="X1" s="580"/>
    </row>
    <row r="2" spans="2:24" ht="9" customHeight="1" x14ac:dyDescent="0.4">
      <c r="B2" s="580"/>
      <c r="C2" s="580"/>
      <c r="D2" s="580"/>
      <c r="E2" s="580"/>
      <c r="F2" s="580"/>
      <c r="G2" s="580"/>
      <c r="H2" s="580"/>
      <c r="I2" s="580"/>
      <c r="J2" s="580"/>
      <c r="K2" s="580"/>
      <c r="L2" s="580"/>
      <c r="M2" s="580"/>
      <c r="N2" s="580"/>
      <c r="O2" s="580"/>
      <c r="P2" s="580"/>
      <c r="Q2" s="580"/>
      <c r="R2" s="580"/>
      <c r="S2" s="580"/>
      <c r="T2" s="580"/>
      <c r="U2" s="580"/>
      <c r="V2" s="580"/>
      <c r="W2" s="580"/>
      <c r="X2" s="580"/>
    </row>
    <row r="3" spans="2:24" ht="9" customHeight="1" x14ac:dyDescent="0.4">
      <c r="B3" s="580"/>
      <c r="C3" s="580"/>
      <c r="D3" s="580"/>
      <c r="E3" s="580"/>
      <c r="F3" s="580"/>
      <c r="G3" s="580"/>
      <c r="H3" s="580"/>
      <c r="I3" s="580"/>
      <c r="J3" s="580"/>
      <c r="K3" s="580"/>
      <c r="L3" s="580"/>
      <c r="M3" s="580"/>
      <c r="N3" s="580"/>
      <c r="O3" s="580"/>
      <c r="P3" s="580"/>
      <c r="Q3" s="580"/>
      <c r="R3" s="580"/>
      <c r="S3" s="580"/>
      <c r="T3" s="580"/>
      <c r="U3" s="580"/>
      <c r="V3" s="580"/>
      <c r="W3" s="580"/>
      <c r="X3" s="580"/>
    </row>
    <row r="4" spans="2:24" ht="9" customHeight="1" x14ac:dyDescent="0.4">
      <c r="B4" s="580"/>
      <c r="C4" s="580"/>
      <c r="D4" s="580"/>
      <c r="E4" s="580"/>
      <c r="F4" s="580"/>
      <c r="G4" s="580"/>
      <c r="H4" s="580"/>
      <c r="I4" s="580"/>
      <c r="J4" s="580"/>
      <c r="K4" s="580"/>
      <c r="L4" s="580"/>
      <c r="M4" s="580"/>
      <c r="N4" s="580"/>
      <c r="O4" s="580"/>
      <c r="P4" s="580"/>
      <c r="Q4" s="580"/>
      <c r="R4" s="580"/>
      <c r="S4" s="580"/>
      <c r="T4" s="580"/>
      <c r="U4" s="580"/>
      <c r="V4" s="580"/>
      <c r="W4" s="580"/>
      <c r="X4" s="580"/>
    </row>
    <row r="5" spans="2:24" ht="10.5" customHeight="1" x14ac:dyDescent="0.4">
      <c r="O5" s="498" t="s">
        <v>1080</v>
      </c>
      <c r="P5" s="498"/>
      <c r="Q5" s="498"/>
      <c r="R5" s="177"/>
      <c r="S5" s="1273">
        <f ca="1">TODAY()</f>
        <v>46096</v>
      </c>
      <c r="T5" s="1273"/>
      <c r="U5" s="1273"/>
      <c r="V5" s="1273"/>
      <c r="W5" s="1273"/>
      <c r="X5" s="1273"/>
    </row>
    <row r="6" spans="2:24" ht="10.5" customHeight="1" thickBot="1" x14ac:dyDescent="0.45">
      <c r="O6" s="498"/>
      <c r="P6" s="498"/>
      <c r="Q6" s="498"/>
      <c r="R6" s="177"/>
      <c r="S6" s="1898"/>
      <c r="T6" s="1898"/>
      <c r="U6" s="1898"/>
      <c r="V6" s="1898"/>
      <c r="W6" s="1898"/>
      <c r="X6" s="1898"/>
    </row>
    <row r="7" spans="2:24" s="358" customFormat="1" ht="12.75" customHeight="1" x14ac:dyDescent="0.4">
      <c r="B7" s="489" t="s">
        <v>450</v>
      </c>
      <c r="C7" s="490"/>
      <c r="D7" s="503" t="s">
        <v>1081</v>
      </c>
      <c r="E7" s="504"/>
      <c r="F7" s="504"/>
      <c r="G7" s="504"/>
      <c r="H7" s="504"/>
      <c r="I7" s="504"/>
      <c r="J7" s="504"/>
      <c r="K7" s="504"/>
      <c r="L7" s="504"/>
      <c r="M7" s="504"/>
      <c r="N7" s="504"/>
      <c r="O7" s="504"/>
      <c r="P7" s="504"/>
      <c r="Q7" s="504"/>
      <c r="R7" s="504"/>
      <c r="S7" s="504"/>
      <c r="T7" s="504"/>
      <c r="U7" s="504"/>
      <c r="V7" s="504"/>
      <c r="W7" s="504"/>
      <c r="X7" s="505"/>
    </row>
    <row r="8" spans="2:24" ht="15" customHeight="1" x14ac:dyDescent="0.4">
      <c r="B8" s="491"/>
      <c r="C8" s="492"/>
      <c r="D8" s="222"/>
      <c r="E8" s="182"/>
      <c r="F8" s="581"/>
      <c r="G8" s="581"/>
      <c r="H8" s="581"/>
      <c r="I8" s="581"/>
      <c r="J8" s="581"/>
      <c r="K8" s="581"/>
      <c r="L8" s="581"/>
      <c r="M8" s="581"/>
      <c r="N8" s="581"/>
      <c r="O8" s="581"/>
      <c r="P8" s="581"/>
      <c r="Q8" s="581"/>
      <c r="R8" s="581"/>
      <c r="S8" s="506" t="s">
        <v>445</v>
      </c>
      <c r="T8" s="182"/>
      <c r="U8" s="182"/>
      <c r="V8" s="182"/>
      <c r="W8" s="508" t="s">
        <v>426</v>
      </c>
      <c r="X8" s="509"/>
    </row>
    <row r="9" spans="2:24" ht="15" customHeight="1" x14ac:dyDescent="0.4">
      <c r="B9" s="491"/>
      <c r="C9" s="492"/>
      <c r="D9" s="225"/>
      <c r="E9"/>
      <c r="F9" s="582"/>
      <c r="G9" s="582"/>
      <c r="H9" s="582"/>
      <c r="I9" s="582"/>
      <c r="J9" s="582"/>
      <c r="K9" s="582"/>
      <c r="L9" s="582"/>
      <c r="M9" s="582"/>
      <c r="N9" s="582"/>
      <c r="O9" s="582"/>
      <c r="P9" s="582"/>
      <c r="Q9" s="582"/>
      <c r="R9" s="582"/>
      <c r="S9" s="480"/>
      <c r="T9" s="498"/>
      <c r="U9" s="498"/>
      <c r="V9" s="498"/>
      <c r="W9" s="487"/>
      <c r="X9" s="488"/>
    </row>
    <row r="10" spans="2:24" ht="15" customHeight="1" x14ac:dyDescent="0.4">
      <c r="B10" s="493"/>
      <c r="C10" s="494"/>
      <c r="D10" s="227"/>
      <c r="E10" s="192"/>
      <c r="F10" s="583"/>
      <c r="G10" s="583"/>
      <c r="H10" s="583"/>
      <c r="I10" s="583"/>
      <c r="J10" s="583"/>
      <c r="K10" s="583"/>
      <c r="L10" s="583"/>
      <c r="M10" s="583"/>
      <c r="N10" s="583"/>
      <c r="O10" s="583"/>
      <c r="P10" s="583"/>
      <c r="Q10" s="583"/>
      <c r="R10" s="583"/>
      <c r="S10" s="507"/>
      <c r="T10" s="192"/>
      <c r="U10" s="192"/>
      <c r="V10" s="192"/>
      <c r="W10" s="510"/>
      <c r="X10" s="511"/>
    </row>
    <row r="11" spans="2:24" ht="12.75" customHeight="1" x14ac:dyDescent="0.4">
      <c r="B11" s="495" t="s">
        <v>3</v>
      </c>
      <c r="C11" s="496"/>
      <c r="D11" s="225"/>
      <c r="E11" s="406"/>
      <c r="F11" s="406"/>
      <c r="G11" s="406"/>
      <c r="H11" s="406"/>
      <c r="I11" s="406"/>
      <c r="J11" s="406"/>
      <c r="K11" s="406"/>
      <c r="L11" s="406"/>
      <c r="M11" s="406"/>
      <c r="N11" s="406"/>
      <c r="O11" s="406"/>
      <c r="P11" s="393"/>
      <c r="S11" s="480" t="s">
        <v>445</v>
      </c>
      <c r="T11" s="480"/>
      <c r="U11" s="480"/>
      <c r="V11" s="498" t="s">
        <v>1082</v>
      </c>
      <c r="W11" s="487" t="s">
        <v>426</v>
      </c>
      <c r="X11" s="488"/>
    </row>
    <row r="12" spans="2:24" ht="12.75" customHeight="1" x14ac:dyDescent="0.4">
      <c r="B12" s="493"/>
      <c r="C12" s="494"/>
      <c r="D12" s="225"/>
      <c r="E12" s="408"/>
      <c r="F12" s="408"/>
      <c r="G12" s="408"/>
      <c r="H12" s="408"/>
      <c r="I12" s="408"/>
      <c r="J12" s="408"/>
      <c r="K12" s="408"/>
      <c r="L12" s="408"/>
      <c r="M12" s="408"/>
      <c r="N12" s="408"/>
      <c r="O12" s="408"/>
      <c r="P12" s="393"/>
      <c r="S12" s="480"/>
      <c r="T12" s="480"/>
      <c r="U12" s="480"/>
      <c r="V12" s="498"/>
      <c r="W12" s="487"/>
      <c r="X12" s="488"/>
    </row>
    <row r="13" spans="2:24" ht="12.75" customHeight="1" x14ac:dyDescent="0.4">
      <c r="B13" s="495" t="s">
        <v>4</v>
      </c>
      <c r="C13" s="496"/>
      <c r="D13" s="222"/>
      <c r="E13" s="508"/>
      <c r="F13" s="508"/>
      <c r="G13" s="508"/>
      <c r="H13" s="508"/>
      <c r="I13" s="508"/>
      <c r="J13" s="508"/>
      <c r="K13" s="508"/>
      <c r="L13" s="508"/>
      <c r="M13" s="508"/>
      <c r="N13" s="508"/>
      <c r="O13" s="508"/>
      <c r="P13" s="508"/>
      <c r="Q13" s="508"/>
      <c r="R13" s="508"/>
      <c r="S13" s="481" t="s">
        <v>1083</v>
      </c>
      <c r="T13" s="481"/>
      <c r="U13" s="481"/>
      <c r="V13" s="481"/>
      <c r="W13" s="481"/>
      <c r="X13" s="482"/>
    </row>
    <row r="14" spans="2:24" ht="12.75" customHeight="1" x14ac:dyDescent="0.4">
      <c r="B14" s="491"/>
      <c r="C14" s="492"/>
      <c r="D14" s="225"/>
      <c r="E14" s="487"/>
      <c r="F14" s="487"/>
      <c r="G14" s="487"/>
      <c r="H14" s="487"/>
      <c r="I14" s="487"/>
      <c r="J14" s="487"/>
      <c r="K14" s="487"/>
      <c r="L14" s="487"/>
      <c r="M14" s="487"/>
      <c r="N14" s="487"/>
      <c r="O14" s="487"/>
      <c r="P14" s="487"/>
      <c r="Q14" s="487"/>
      <c r="R14" s="487"/>
      <c r="S14" s="483"/>
      <c r="T14" s="483"/>
      <c r="U14" s="483"/>
      <c r="V14" s="483"/>
      <c r="W14" s="483"/>
      <c r="X14" s="484"/>
    </row>
    <row r="15" spans="2:24" ht="12.75" customHeight="1" x14ac:dyDescent="0.4">
      <c r="B15" s="491"/>
      <c r="C15" s="492"/>
      <c r="D15" s="225"/>
      <c r="E15" s="487"/>
      <c r="F15" s="487"/>
      <c r="G15" s="487"/>
      <c r="H15" s="487"/>
      <c r="I15" s="487"/>
      <c r="J15" s="487"/>
      <c r="K15" s="487"/>
      <c r="L15" s="487"/>
      <c r="M15" s="487"/>
      <c r="N15" s="487"/>
      <c r="O15" s="487"/>
      <c r="P15" s="487"/>
      <c r="Q15" s="487"/>
      <c r="R15" s="487"/>
      <c r="S15" s="483"/>
      <c r="T15" s="483"/>
      <c r="U15" s="483"/>
      <c r="V15" s="483"/>
      <c r="W15" s="483"/>
      <c r="X15" s="484"/>
    </row>
    <row r="16" spans="2:24" ht="12.75" customHeight="1" x14ac:dyDescent="0.4">
      <c r="B16" s="493"/>
      <c r="C16" s="494"/>
      <c r="D16" s="227"/>
      <c r="E16" s="510"/>
      <c r="F16" s="510"/>
      <c r="G16" s="510"/>
      <c r="H16" s="510"/>
      <c r="I16" s="510"/>
      <c r="J16" s="510"/>
      <c r="K16" s="510"/>
      <c r="L16" s="510"/>
      <c r="M16" s="510"/>
      <c r="N16" s="510"/>
      <c r="O16" s="510"/>
      <c r="P16" s="510"/>
      <c r="Q16" s="510"/>
      <c r="R16" s="510"/>
      <c r="S16" s="485"/>
      <c r="T16" s="485"/>
      <c r="U16" s="485"/>
      <c r="V16" s="485"/>
      <c r="W16" s="485"/>
      <c r="X16" s="486"/>
    </row>
    <row r="17" spans="2:24" ht="12.75" customHeight="1" x14ac:dyDescent="0.4">
      <c r="B17" s="495" t="s">
        <v>16</v>
      </c>
      <c r="C17" s="496"/>
      <c r="D17" s="497"/>
      <c r="E17" s="498"/>
      <c r="F17" s="498"/>
      <c r="G17" s="498"/>
      <c r="H17" s="531"/>
      <c r="I17" s="591" t="s">
        <v>1084</v>
      </c>
      <c r="J17" s="559"/>
      <c r="K17" s="559"/>
      <c r="L17" s="559"/>
      <c r="M17" s="559"/>
      <c r="N17" s="492"/>
      <c r="O17" s="497"/>
      <c r="P17" s="498"/>
      <c r="Q17" s="498"/>
      <c r="R17" s="498"/>
      <c r="S17" s="498"/>
      <c r="T17" s="498"/>
      <c r="U17" s="498"/>
      <c r="V17" s="498"/>
      <c r="W17" s="498"/>
      <c r="X17" s="499"/>
    </row>
    <row r="18" spans="2:24" ht="12.75" customHeight="1" x14ac:dyDescent="0.4">
      <c r="B18" s="491"/>
      <c r="C18" s="492"/>
      <c r="D18" s="497"/>
      <c r="E18" s="498"/>
      <c r="F18" s="498"/>
      <c r="G18" s="498"/>
      <c r="H18" s="531"/>
      <c r="I18" s="591"/>
      <c r="J18" s="559"/>
      <c r="K18" s="559"/>
      <c r="L18" s="559"/>
      <c r="M18" s="559"/>
      <c r="N18" s="492"/>
      <c r="O18" s="497"/>
      <c r="P18" s="498"/>
      <c r="Q18" s="498"/>
      <c r="R18" s="498"/>
      <c r="S18" s="498"/>
      <c r="T18" s="498"/>
      <c r="U18" s="498"/>
      <c r="V18" s="498"/>
      <c r="W18" s="498"/>
      <c r="X18" s="499"/>
    </row>
    <row r="19" spans="2:24" ht="12.75" customHeight="1" x14ac:dyDescent="0.4">
      <c r="B19" s="491"/>
      <c r="C19" s="492"/>
      <c r="D19" s="497"/>
      <c r="E19" s="498"/>
      <c r="F19" s="498"/>
      <c r="G19" s="498"/>
      <c r="H19" s="531"/>
      <c r="I19" s="591"/>
      <c r="J19" s="559"/>
      <c r="K19" s="559"/>
      <c r="L19" s="559"/>
      <c r="M19" s="559"/>
      <c r="N19" s="492"/>
      <c r="O19" s="497"/>
      <c r="P19" s="498"/>
      <c r="Q19" s="498"/>
      <c r="R19" s="498"/>
      <c r="S19" s="498"/>
      <c r="T19" s="498"/>
      <c r="U19" s="498"/>
      <c r="V19" s="498"/>
      <c r="W19" s="498"/>
      <c r="X19" s="499"/>
    </row>
    <row r="20" spans="2:24" ht="12.75" customHeight="1" x14ac:dyDescent="0.4">
      <c r="B20" s="493"/>
      <c r="C20" s="494"/>
      <c r="D20" s="407"/>
      <c r="E20" s="408"/>
      <c r="F20" s="408"/>
      <c r="G20" s="408"/>
      <c r="H20" s="454"/>
      <c r="I20" s="592"/>
      <c r="J20" s="560"/>
      <c r="K20" s="560"/>
      <c r="L20" s="560"/>
      <c r="M20" s="560"/>
      <c r="N20" s="494"/>
      <c r="O20" s="497"/>
      <c r="P20" s="498"/>
      <c r="Q20" s="498"/>
      <c r="R20" s="498"/>
      <c r="S20" s="498"/>
      <c r="T20" s="498"/>
      <c r="U20" s="498"/>
      <c r="V20" s="498"/>
      <c r="W20" s="498"/>
      <c r="X20" s="499"/>
    </row>
    <row r="21" spans="2:24" s="359" customFormat="1" ht="12.75" customHeight="1" x14ac:dyDescent="0.4">
      <c r="B21" s="495" t="s">
        <v>449</v>
      </c>
      <c r="C21" s="496"/>
      <c r="D21" s="443" t="s">
        <v>450</v>
      </c>
      <c r="E21" s="443"/>
      <c r="F21" s="443"/>
      <c r="G21" s="443"/>
      <c r="H21" s="443"/>
      <c r="I21" s="443"/>
      <c r="J21" s="372" t="s">
        <v>451</v>
      </c>
      <c r="K21" s="500" t="s">
        <v>4</v>
      </c>
      <c r="L21" s="501"/>
      <c r="M21" s="501"/>
      <c r="N21" s="501"/>
      <c r="O21" s="501"/>
      <c r="P21" s="501"/>
      <c r="Q21" s="501"/>
      <c r="R21" s="501"/>
      <c r="S21" s="501"/>
      <c r="T21" s="522"/>
      <c r="U21" s="500" t="s">
        <v>448</v>
      </c>
      <c r="V21" s="501"/>
      <c r="W21" s="501"/>
      <c r="X21" s="502"/>
    </row>
    <row r="22" spans="2:24" ht="17.25" customHeight="1" x14ac:dyDescent="0.4">
      <c r="B22" s="491"/>
      <c r="C22" s="492"/>
      <c r="D22" s="588" t="s">
        <v>851</v>
      </c>
      <c r="E22" s="405"/>
      <c r="F22" s="406"/>
      <c r="G22" s="406"/>
      <c r="H22" s="406"/>
      <c r="I22" s="453"/>
      <c r="J22" s="590"/>
      <c r="K22" s="461"/>
      <c r="L22" s="462"/>
      <c r="M22" s="462"/>
      <c r="N22" s="462"/>
      <c r="O22" s="462"/>
      <c r="P22" s="462"/>
      <c r="Q22" s="462"/>
      <c r="R22" s="462"/>
      <c r="S22" s="462"/>
      <c r="T22" s="523"/>
      <c r="U22" s="497"/>
      <c r="V22" s="498"/>
      <c r="W22" s="498"/>
      <c r="X22" s="499"/>
    </row>
    <row r="23" spans="2:24" ht="17.25" customHeight="1" x14ac:dyDescent="0.4">
      <c r="B23" s="491"/>
      <c r="C23" s="492"/>
      <c r="D23" s="589"/>
      <c r="E23" s="407"/>
      <c r="F23" s="408"/>
      <c r="G23" s="408"/>
      <c r="H23" s="408"/>
      <c r="I23" s="454"/>
      <c r="J23" s="590"/>
      <c r="K23" s="464"/>
      <c r="L23" s="465"/>
      <c r="M23" s="465"/>
      <c r="N23" s="465"/>
      <c r="O23" s="465"/>
      <c r="P23" s="465"/>
      <c r="Q23" s="465"/>
      <c r="R23" s="465"/>
      <c r="S23" s="465"/>
      <c r="T23" s="524"/>
      <c r="U23" s="497"/>
      <c r="V23" s="498"/>
      <c r="W23" s="498"/>
      <c r="X23" s="499"/>
    </row>
    <row r="24" spans="2:24" ht="17.25" customHeight="1" x14ac:dyDescent="0.4">
      <c r="B24" s="491"/>
      <c r="C24" s="492"/>
      <c r="D24" s="593" t="s">
        <v>852</v>
      </c>
      <c r="E24" s="405"/>
      <c r="F24" s="406"/>
      <c r="G24" s="406"/>
      <c r="H24" s="406"/>
      <c r="I24" s="453"/>
      <c r="J24" s="590"/>
      <c r="K24" s="461"/>
      <c r="L24" s="462"/>
      <c r="M24" s="462"/>
      <c r="N24" s="462"/>
      <c r="O24" s="462"/>
      <c r="P24" s="462"/>
      <c r="Q24" s="462"/>
      <c r="R24" s="462"/>
      <c r="S24" s="462"/>
      <c r="T24" s="523"/>
      <c r="U24" s="405"/>
      <c r="V24" s="406"/>
      <c r="W24" s="406"/>
      <c r="X24" s="421"/>
    </row>
    <row r="25" spans="2:24" ht="17.25" customHeight="1" x14ac:dyDescent="0.4">
      <c r="B25" s="493"/>
      <c r="C25" s="494"/>
      <c r="D25" s="589"/>
      <c r="E25" s="407"/>
      <c r="F25" s="408"/>
      <c r="G25" s="408"/>
      <c r="H25" s="408"/>
      <c r="I25" s="454"/>
      <c r="J25" s="590"/>
      <c r="K25" s="464"/>
      <c r="L25" s="465"/>
      <c r="M25" s="465"/>
      <c r="N25" s="465"/>
      <c r="O25" s="465"/>
      <c r="P25" s="465"/>
      <c r="Q25" s="521"/>
      <c r="R25" s="521"/>
      <c r="S25" s="521"/>
      <c r="T25" s="525"/>
      <c r="U25" s="407"/>
      <c r="V25" s="408"/>
      <c r="W25" s="408"/>
      <c r="X25" s="422"/>
    </row>
    <row r="26" spans="2:24" s="358" customFormat="1" ht="12.75" customHeight="1" x14ac:dyDescent="0.4">
      <c r="B26" s="512" t="s">
        <v>1192</v>
      </c>
      <c r="C26" s="476"/>
      <c r="D26" s="500" t="s">
        <v>1190</v>
      </c>
      <c r="E26" s="501"/>
      <c r="F26" s="501"/>
      <c r="G26" s="501"/>
      <c r="H26" s="501"/>
      <c r="I26" s="501"/>
      <c r="J26" s="501"/>
      <c r="K26" s="501"/>
      <c r="L26" s="501"/>
      <c r="M26" s="501"/>
      <c r="N26" s="501"/>
      <c r="O26" s="501"/>
      <c r="P26" s="522"/>
      <c r="Q26" s="500" t="s">
        <v>1085</v>
      </c>
      <c r="R26" s="501"/>
      <c r="S26" s="501"/>
      <c r="T26" s="501"/>
      <c r="U26" s="501"/>
      <c r="V26" s="501"/>
      <c r="W26" s="501"/>
      <c r="X26" s="502"/>
    </row>
    <row r="27" spans="2:24" ht="17.25" customHeight="1" x14ac:dyDescent="0.4">
      <c r="B27" s="513"/>
      <c r="C27" s="514"/>
      <c r="D27" s="405"/>
      <c r="E27" s="406"/>
      <c r="F27" s="406"/>
      <c r="G27" s="406"/>
      <c r="H27" s="406"/>
      <c r="I27" s="453"/>
      <c r="J27" s="461"/>
      <c r="K27" s="462"/>
      <c r="L27" s="462"/>
      <c r="M27" s="462"/>
      <c r="N27" s="462"/>
      <c r="O27" s="462"/>
      <c r="P27" s="523"/>
      <c r="Q27" s="532"/>
      <c r="R27" s="533"/>
      <c r="S27" s="533"/>
      <c r="T27" s="533"/>
      <c r="U27" s="533"/>
      <c r="V27" s="533"/>
      <c r="W27" s="533"/>
      <c r="X27" s="534"/>
    </row>
    <row r="28" spans="2:24" ht="17.25" customHeight="1" x14ac:dyDescent="0.4">
      <c r="B28" s="513"/>
      <c r="C28" s="514"/>
      <c r="D28" s="407"/>
      <c r="E28" s="408"/>
      <c r="F28" s="408"/>
      <c r="G28" s="408"/>
      <c r="H28" s="408"/>
      <c r="I28" s="454"/>
      <c r="J28" s="464"/>
      <c r="K28" s="465"/>
      <c r="L28" s="465"/>
      <c r="M28" s="465"/>
      <c r="N28" s="465"/>
      <c r="O28" s="465"/>
      <c r="P28" s="524"/>
      <c r="Q28" s="532"/>
      <c r="R28" s="533"/>
      <c r="S28" s="533"/>
      <c r="T28" s="533"/>
      <c r="U28" s="533"/>
      <c r="V28" s="533"/>
      <c r="W28" s="533"/>
      <c r="X28" s="534"/>
    </row>
    <row r="29" spans="2:24" ht="17.25" customHeight="1" x14ac:dyDescent="0.4">
      <c r="B29" s="513"/>
      <c r="C29" s="514"/>
      <c r="D29" s="497"/>
      <c r="E29" s="498"/>
      <c r="F29" s="498"/>
      <c r="G29" s="498"/>
      <c r="H29" s="498"/>
      <c r="I29" s="531"/>
      <c r="J29" s="461"/>
      <c r="K29" s="462"/>
      <c r="L29" s="462"/>
      <c r="M29" s="462"/>
      <c r="N29" s="462"/>
      <c r="O29" s="462"/>
      <c r="P29" s="523"/>
      <c r="Q29" s="532"/>
      <c r="R29" s="533"/>
      <c r="S29" s="533"/>
      <c r="T29" s="533"/>
      <c r="U29" s="533"/>
      <c r="V29" s="533"/>
      <c r="W29" s="533"/>
      <c r="X29" s="534"/>
    </row>
    <row r="30" spans="2:24" ht="17.25" customHeight="1" x14ac:dyDescent="0.4">
      <c r="B30" s="513"/>
      <c r="C30" s="514"/>
      <c r="D30" s="407"/>
      <c r="E30" s="408"/>
      <c r="F30" s="408"/>
      <c r="G30" s="408"/>
      <c r="H30" s="408"/>
      <c r="I30" s="454"/>
      <c r="J30" s="464"/>
      <c r="K30" s="465"/>
      <c r="L30" s="465"/>
      <c r="M30" s="465"/>
      <c r="N30" s="465"/>
      <c r="O30" s="465"/>
      <c r="P30" s="524"/>
      <c r="Q30" s="532"/>
      <c r="R30" s="533"/>
      <c r="S30" s="533"/>
      <c r="T30" s="533"/>
      <c r="U30" s="533"/>
      <c r="V30" s="533"/>
      <c r="W30" s="533"/>
      <c r="X30" s="534"/>
    </row>
    <row r="31" spans="2:24" ht="17.25" customHeight="1" x14ac:dyDescent="0.4">
      <c r="B31" s="513"/>
      <c r="C31" s="514"/>
      <c r="D31" s="405"/>
      <c r="E31" s="406"/>
      <c r="F31" s="406"/>
      <c r="G31" s="406"/>
      <c r="H31" s="406"/>
      <c r="I31" s="453"/>
      <c r="J31" s="461"/>
      <c r="K31" s="462"/>
      <c r="L31" s="462"/>
      <c r="M31" s="462"/>
      <c r="N31" s="462"/>
      <c r="O31" s="462"/>
      <c r="P31" s="523"/>
      <c r="Q31" s="532"/>
      <c r="R31" s="533"/>
      <c r="S31" s="533"/>
      <c r="T31" s="533"/>
      <c r="U31" s="533"/>
      <c r="V31" s="533"/>
      <c r="W31" s="533"/>
      <c r="X31" s="534"/>
    </row>
    <row r="32" spans="2:24" ht="17.25" customHeight="1" x14ac:dyDescent="0.4">
      <c r="B32" s="515"/>
      <c r="C32" s="479"/>
      <c r="D32" s="407"/>
      <c r="E32" s="408"/>
      <c r="F32" s="408"/>
      <c r="G32" s="408"/>
      <c r="H32" s="408"/>
      <c r="I32" s="454"/>
      <c r="J32" s="464"/>
      <c r="K32" s="465"/>
      <c r="L32" s="465"/>
      <c r="M32" s="465"/>
      <c r="N32" s="465"/>
      <c r="O32" s="465"/>
      <c r="P32" s="524"/>
      <c r="Q32" s="532"/>
      <c r="R32" s="533"/>
      <c r="S32" s="533"/>
      <c r="T32" s="533"/>
      <c r="U32" s="533"/>
      <c r="V32" s="533"/>
      <c r="W32" s="533"/>
      <c r="X32" s="534"/>
    </row>
    <row r="33" spans="2:24" ht="12.75" customHeight="1" x14ac:dyDescent="0.4">
      <c r="B33" s="491" t="s">
        <v>1193</v>
      </c>
      <c r="C33" s="492"/>
      <c r="D33" s="467" t="s">
        <v>1199</v>
      </c>
      <c r="E33" s="467"/>
      <c r="F33" s="467"/>
      <c r="G33" s="467"/>
      <c r="H33" s="467"/>
      <c r="I33" s="467"/>
      <c r="J33" s="467"/>
      <c r="K33" s="469" t="s">
        <v>1200</v>
      </c>
      <c r="L33" s="470"/>
      <c r="M33" s="470"/>
      <c r="N33" s="470"/>
      <c r="O33" s="470"/>
      <c r="P33" s="470"/>
      <c r="Q33" s="470"/>
      <c r="R33" s="470"/>
      <c r="S33" s="471"/>
      <c r="T33" s="467" t="s">
        <v>1197</v>
      </c>
      <c r="U33" s="467"/>
      <c r="V33" s="467"/>
      <c r="W33" s="467"/>
      <c r="X33" s="535"/>
    </row>
    <row r="34" spans="2:24" ht="12.75" customHeight="1" x14ac:dyDescent="0.4">
      <c r="B34" s="491"/>
      <c r="C34" s="492"/>
      <c r="D34" s="518" t="s">
        <v>1194</v>
      </c>
      <c r="E34" s="518"/>
      <c r="F34" s="468"/>
      <c r="G34" s="468"/>
      <c r="H34" s="468"/>
      <c r="I34" s="468"/>
      <c r="J34" s="468"/>
      <c r="K34" s="457"/>
      <c r="L34" s="458"/>
      <c r="M34" s="458"/>
      <c r="N34" s="458"/>
      <c r="O34" s="458"/>
      <c r="P34" s="458"/>
      <c r="Q34" s="458"/>
      <c r="R34" s="462" t="s">
        <v>1198</v>
      </c>
      <c r="S34" s="526"/>
      <c r="T34" s="516"/>
      <c r="U34" s="516"/>
      <c r="V34" s="516"/>
      <c r="W34" s="516"/>
      <c r="X34" s="517"/>
    </row>
    <row r="35" spans="2:24" ht="12.75" customHeight="1" x14ac:dyDescent="0.4">
      <c r="B35" s="491"/>
      <c r="C35" s="492"/>
      <c r="D35" s="518"/>
      <c r="E35" s="518"/>
      <c r="F35" s="468"/>
      <c r="G35" s="468"/>
      <c r="H35" s="468"/>
      <c r="I35" s="468"/>
      <c r="J35" s="468"/>
      <c r="K35" s="472"/>
      <c r="L35" s="473"/>
      <c r="M35" s="473"/>
      <c r="N35" s="473"/>
      <c r="O35" s="473"/>
      <c r="P35" s="473"/>
      <c r="Q35" s="473"/>
      <c r="R35" s="527"/>
      <c r="S35" s="528"/>
      <c r="T35" s="516"/>
      <c r="U35" s="516"/>
      <c r="V35" s="516"/>
      <c r="W35" s="516"/>
      <c r="X35" s="517"/>
    </row>
    <row r="36" spans="2:24" ht="12.75" customHeight="1" x14ac:dyDescent="0.4">
      <c r="B36" s="491"/>
      <c r="C36" s="492"/>
      <c r="D36" s="518"/>
      <c r="E36" s="518"/>
      <c r="F36" s="468"/>
      <c r="G36" s="468"/>
      <c r="H36" s="468"/>
      <c r="I36" s="468"/>
      <c r="J36" s="468"/>
      <c r="K36" s="459"/>
      <c r="L36" s="460"/>
      <c r="M36" s="460"/>
      <c r="N36" s="460"/>
      <c r="O36" s="460"/>
      <c r="P36" s="460"/>
      <c r="Q36" s="460"/>
      <c r="R36" s="529"/>
      <c r="S36" s="530"/>
      <c r="T36" s="516"/>
      <c r="U36" s="516"/>
      <c r="V36" s="516"/>
      <c r="W36" s="516"/>
      <c r="X36" s="517"/>
    </row>
    <row r="37" spans="2:24" ht="12.75" customHeight="1" x14ac:dyDescent="0.4">
      <c r="B37" s="491"/>
      <c r="C37" s="492"/>
      <c r="D37" s="519" t="s">
        <v>1201</v>
      </c>
      <c r="E37" s="519"/>
      <c r="F37" s="456"/>
      <c r="G37" s="456"/>
      <c r="H37" s="456"/>
      <c r="I37" s="456"/>
      <c r="J37" s="456"/>
      <c r="K37" s="473"/>
      <c r="L37" s="473"/>
      <c r="M37" s="473"/>
      <c r="N37" s="473"/>
      <c r="O37" s="473"/>
      <c r="P37" s="473"/>
      <c r="Q37" s="473"/>
      <c r="R37" s="521" t="s">
        <v>1198</v>
      </c>
      <c r="S37" s="521"/>
      <c r="T37" s="456"/>
      <c r="U37" s="456"/>
      <c r="V37" s="456"/>
      <c r="W37" s="456"/>
      <c r="X37" s="520"/>
    </row>
    <row r="38" spans="2:24" ht="12.75" customHeight="1" x14ac:dyDescent="0.4">
      <c r="B38" s="491"/>
      <c r="C38" s="492"/>
      <c r="D38" s="519"/>
      <c r="E38" s="519"/>
      <c r="F38" s="456"/>
      <c r="G38" s="456"/>
      <c r="H38" s="456"/>
      <c r="I38" s="456"/>
      <c r="J38" s="456"/>
      <c r="K38" s="473"/>
      <c r="L38" s="473"/>
      <c r="M38" s="473"/>
      <c r="N38" s="473"/>
      <c r="O38" s="473"/>
      <c r="P38" s="473"/>
      <c r="Q38" s="473"/>
      <c r="R38" s="521"/>
      <c r="S38" s="521"/>
      <c r="T38" s="456"/>
      <c r="U38" s="456"/>
      <c r="V38" s="456"/>
      <c r="W38" s="456"/>
      <c r="X38" s="520"/>
    </row>
    <row r="39" spans="2:24" ht="12.75" customHeight="1" x14ac:dyDescent="0.4">
      <c r="B39" s="491"/>
      <c r="C39" s="492"/>
      <c r="D39" s="519"/>
      <c r="E39" s="519"/>
      <c r="F39" s="456"/>
      <c r="G39" s="456"/>
      <c r="H39" s="456"/>
      <c r="I39" s="456"/>
      <c r="J39" s="456"/>
      <c r="K39" s="473"/>
      <c r="L39" s="473"/>
      <c r="M39" s="473"/>
      <c r="N39" s="473"/>
      <c r="O39" s="473"/>
      <c r="P39" s="473"/>
      <c r="Q39" s="473"/>
      <c r="R39" s="521"/>
      <c r="S39" s="521"/>
      <c r="T39" s="456"/>
      <c r="U39" s="456"/>
      <c r="V39" s="456"/>
      <c r="W39" s="456"/>
      <c r="X39" s="520"/>
    </row>
    <row r="40" spans="2:24" ht="16.5" customHeight="1" x14ac:dyDescent="0.4">
      <c r="B40" s="491"/>
      <c r="C40" s="492"/>
      <c r="D40" s="455" t="s">
        <v>1195</v>
      </c>
      <c r="E40" s="455"/>
      <c r="F40" s="456"/>
      <c r="G40" s="456"/>
      <c r="H40" s="456"/>
      <c r="I40" s="456"/>
      <c r="J40" s="456"/>
      <c r="K40" s="457"/>
      <c r="L40" s="458"/>
      <c r="M40" s="458"/>
      <c r="N40" s="458"/>
      <c r="O40" s="458"/>
      <c r="P40" s="458"/>
      <c r="Q40" s="458"/>
      <c r="R40" s="462" t="s">
        <v>1198</v>
      </c>
      <c r="S40" s="523"/>
      <c r="T40" s="456"/>
      <c r="U40" s="456"/>
      <c r="V40" s="456"/>
      <c r="W40" s="456"/>
      <c r="X40" s="520"/>
    </row>
    <row r="41" spans="2:24" ht="16.5" customHeight="1" x14ac:dyDescent="0.4">
      <c r="B41" s="491"/>
      <c r="C41" s="492"/>
      <c r="D41" s="455"/>
      <c r="E41" s="455"/>
      <c r="F41" s="456"/>
      <c r="G41" s="456"/>
      <c r="H41" s="456"/>
      <c r="I41" s="456"/>
      <c r="J41" s="456"/>
      <c r="K41" s="459"/>
      <c r="L41" s="460"/>
      <c r="M41" s="460"/>
      <c r="N41" s="460"/>
      <c r="O41" s="460"/>
      <c r="P41" s="460"/>
      <c r="Q41" s="460"/>
      <c r="R41" s="465"/>
      <c r="S41" s="524"/>
      <c r="T41" s="456"/>
      <c r="U41" s="456"/>
      <c r="V41" s="456"/>
      <c r="W41" s="456"/>
      <c r="X41" s="520"/>
    </row>
    <row r="42" spans="2:24" ht="16.5" customHeight="1" x14ac:dyDescent="0.4">
      <c r="B42" s="491"/>
      <c r="C42" s="492"/>
      <c r="D42" s="455"/>
      <c r="E42" s="455"/>
      <c r="F42" s="456"/>
      <c r="G42" s="456"/>
      <c r="H42" s="456"/>
      <c r="I42" s="456"/>
      <c r="J42" s="456"/>
      <c r="K42" s="457"/>
      <c r="L42" s="458"/>
      <c r="M42" s="458"/>
      <c r="N42" s="458"/>
      <c r="O42" s="458"/>
      <c r="P42" s="458"/>
      <c r="Q42" s="458"/>
      <c r="R42" s="462" t="s">
        <v>1198</v>
      </c>
      <c r="S42" s="523"/>
      <c r="T42" s="456"/>
      <c r="U42" s="456"/>
      <c r="V42" s="456"/>
      <c r="W42" s="456"/>
      <c r="X42" s="520"/>
    </row>
    <row r="43" spans="2:24" ht="16.5" customHeight="1" x14ac:dyDescent="0.4">
      <c r="B43" s="491"/>
      <c r="C43" s="492"/>
      <c r="D43" s="455"/>
      <c r="E43" s="455"/>
      <c r="F43" s="456"/>
      <c r="G43" s="456"/>
      <c r="H43" s="456"/>
      <c r="I43" s="456"/>
      <c r="J43" s="456"/>
      <c r="K43" s="459"/>
      <c r="L43" s="460"/>
      <c r="M43" s="460"/>
      <c r="N43" s="460"/>
      <c r="O43" s="460"/>
      <c r="P43" s="460"/>
      <c r="Q43" s="460"/>
      <c r="R43" s="465"/>
      <c r="S43" s="524"/>
      <c r="T43" s="456"/>
      <c r="U43" s="456"/>
      <c r="V43" s="456"/>
      <c r="W43" s="456"/>
      <c r="X43" s="520"/>
    </row>
    <row r="44" spans="2:24" ht="16.5" customHeight="1" x14ac:dyDescent="0.4">
      <c r="B44" s="491"/>
      <c r="C44" s="492"/>
      <c r="D44" s="455"/>
      <c r="E44" s="455"/>
      <c r="F44" s="456"/>
      <c r="G44" s="456"/>
      <c r="H44" s="456"/>
      <c r="I44" s="456"/>
      <c r="J44" s="456"/>
      <c r="K44" s="460"/>
      <c r="L44" s="460"/>
      <c r="M44" s="460"/>
      <c r="N44" s="460"/>
      <c r="O44" s="460"/>
      <c r="P44" s="460"/>
      <c r="Q44" s="460"/>
      <c r="R44" s="465" t="s">
        <v>1198</v>
      </c>
      <c r="S44" s="465"/>
      <c r="T44" s="456"/>
      <c r="U44" s="456"/>
      <c r="V44" s="456"/>
      <c r="W44" s="456"/>
      <c r="X44" s="520"/>
    </row>
    <row r="45" spans="2:24" ht="16.5" customHeight="1" x14ac:dyDescent="0.4">
      <c r="B45" s="493"/>
      <c r="C45" s="494"/>
      <c r="D45" s="455"/>
      <c r="E45" s="455"/>
      <c r="F45" s="456"/>
      <c r="G45" s="456"/>
      <c r="H45" s="456"/>
      <c r="I45" s="456"/>
      <c r="J45" s="456"/>
      <c r="K45" s="460"/>
      <c r="L45" s="460"/>
      <c r="M45" s="460"/>
      <c r="N45" s="460"/>
      <c r="O45" s="460"/>
      <c r="P45" s="460"/>
      <c r="Q45" s="460"/>
      <c r="R45" s="465"/>
      <c r="S45" s="465"/>
      <c r="T45" s="456"/>
      <c r="U45" s="456"/>
      <c r="V45" s="456"/>
      <c r="W45" s="456"/>
      <c r="X45" s="520"/>
    </row>
    <row r="46" spans="2:24" ht="16.5" customHeight="1" x14ac:dyDescent="0.4">
      <c r="B46" s="495" t="s">
        <v>1196</v>
      </c>
      <c r="C46" s="496"/>
      <c r="D46" s="576" t="s">
        <v>1191</v>
      </c>
      <c r="E46" s="577"/>
      <c r="F46" s="577"/>
      <c r="G46" s="577"/>
      <c r="H46" s="577"/>
      <c r="I46" s="577"/>
      <c r="J46" s="577"/>
      <c r="K46" s="577"/>
      <c r="L46" s="474" t="s">
        <v>1202</v>
      </c>
      <c r="M46" s="475"/>
      <c r="N46" s="475"/>
      <c r="O46" s="476"/>
      <c r="P46" s="461"/>
      <c r="Q46" s="462"/>
      <c r="R46" s="463"/>
      <c r="S46" s="462"/>
      <c r="T46" s="462"/>
      <c r="U46" s="462"/>
      <c r="V46" s="462"/>
      <c r="W46" s="462"/>
      <c r="X46" s="569"/>
    </row>
    <row r="47" spans="2:24" ht="16.5" customHeight="1" x14ac:dyDescent="0.4">
      <c r="B47" s="493"/>
      <c r="C47" s="494"/>
      <c r="D47" s="578"/>
      <c r="E47" s="579"/>
      <c r="F47" s="579"/>
      <c r="G47" s="579"/>
      <c r="H47" s="579"/>
      <c r="I47" s="579"/>
      <c r="J47" s="579"/>
      <c r="K47" s="579"/>
      <c r="L47" s="477"/>
      <c r="M47" s="478"/>
      <c r="N47" s="478"/>
      <c r="O47" s="479"/>
      <c r="P47" s="464"/>
      <c r="Q47" s="465"/>
      <c r="R47" s="466"/>
      <c r="S47" s="465"/>
      <c r="T47" s="465"/>
      <c r="U47" s="465"/>
      <c r="V47" s="465"/>
      <c r="W47" s="465"/>
      <c r="X47" s="570"/>
    </row>
    <row r="48" spans="2:24" ht="16.5" customHeight="1" x14ac:dyDescent="0.4">
      <c r="B48" s="495" t="s">
        <v>1087</v>
      </c>
      <c r="C48" s="496"/>
      <c r="D48" s="409" t="s">
        <v>1086</v>
      </c>
      <c r="E48" s="410"/>
      <c r="F48" s="409" t="s">
        <v>30</v>
      </c>
      <c r="G48" s="411"/>
      <c r="H48" s="405"/>
      <c r="I48" s="406"/>
      <c r="J48" s="406"/>
      <c r="K48" s="406"/>
      <c r="L48" s="453"/>
      <c r="M48" s="409" t="s">
        <v>1088</v>
      </c>
      <c r="N48" s="410"/>
      <c r="O48" s="410"/>
      <c r="P48" s="409" t="s">
        <v>30</v>
      </c>
      <c r="Q48" s="410"/>
      <c r="R48" s="411"/>
      <c r="S48" s="406"/>
      <c r="T48" s="406"/>
      <c r="U48" s="406"/>
      <c r="V48" s="406"/>
      <c r="W48" s="406"/>
      <c r="X48" s="421"/>
    </row>
    <row r="49" spans="2:24" ht="16.5" customHeight="1" x14ac:dyDescent="0.4">
      <c r="B49" s="491"/>
      <c r="C49" s="492"/>
      <c r="D49" s="451"/>
      <c r="E49" s="452"/>
      <c r="F49" s="412"/>
      <c r="G49" s="414"/>
      <c r="H49" s="407"/>
      <c r="I49" s="408"/>
      <c r="J49" s="408"/>
      <c r="K49" s="408"/>
      <c r="L49" s="454"/>
      <c r="M49" s="451"/>
      <c r="N49" s="452"/>
      <c r="O49" s="452"/>
      <c r="P49" s="412"/>
      <c r="Q49" s="413"/>
      <c r="R49" s="414"/>
      <c r="S49" s="408"/>
      <c r="T49" s="408"/>
      <c r="U49" s="408"/>
      <c r="V49" s="408"/>
      <c r="W49" s="408"/>
      <c r="X49" s="422"/>
    </row>
    <row r="50" spans="2:24" ht="16.5" customHeight="1" x14ac:dyDescent="0.4">
      <c r="B50" s="491"/>
      <c r="C50" s="492"/>
      <c r="D50" s="451"/>
      <c r="E50" s="452"/>
      <c r="F50" s="415" t="s">
        <v>1060</v>
      </c>
      <c r="G50" s="417"/>
      <c r="H50" s="405"/>
      <c r="I50" s="406"/>
      <c r="J50" s="406"/>
      <c r="K50" s="406"/>
      <c r="L50" s="453"/>
      <c r="M50" s="451"/>
      <c r="N50" s="452"/>
      <c r="O50" s="452"/>
      <c r="P50" s="415" t="s">
        <v>1060</v>
      </c>
      <c r="Q50" s="416"/>
      <c r="R50" s="417"/>
      <c r="S50" s="405"/>
      <c r="T50" s="406"/>
      <c r="U50" s="406"/>
      <c r="V50" s="406"/>
      <c r="W50" s="406"/>
      <c r="X50" s="421"/>
    </row>
    <row r="51" spans="2:24" ht="16.5" customHeight="1" x14ac:dyDescent="0.4">
      <c r="B51" s="493"/>
      <c r="C51" s="494"/>
      <c r="D51" s="412"/>
      <c r="E51" s="413"/>
      <c r="F51" s="418"/>
      <c r="G51" s="420"/>
      <c r="H51" s="407"/>
      <c r="I51" s="408"/>
      <c r="J51" s="408"/>
      <c r="K51" s="408"/>
      <c r="L51" s="454"/>
      <c r="M51" s="412"/>
      <c r="N51" s="413"/>
      <c r="O51" s="413"/>
      <c r="P51" s="418"/>
      <c r="Q51" s="419"/>
      <c r="R51" s="420"/>
      <c r="S51" s="407"/>
      <c r="T51" s="408"/>
      <c r="U51" s="408"/>
      <c r="V51" s="408"/>
      <c r="W51" s="408"/>
      <c r="X51" s="422"/>
    </row>
    <row r="52" spans="2:24" s="359" customFormat="1" ht="12.75" customHeight="1" x14ac:dyDescent="0.4">
      <c r="B52" s="442" t="s">
        <v>1091</v>
      </c>
      <c r="C52" s="443"/>
      <c r="D52" s="443"/>
      <c r="E52" s="443"/>
      <c r="F52" s="443"/>
      <c r="G52" s="443"/>
      <c r="H52" s="443"/>
      <c r="I52" s="443" t="s">
        <v>1092</v>
      </c>
      <c r="J52" s="443"/>
      <c r="K52" s="443"/>
      <c r="L52" s="443"/>
      <c r="M52" s="443"/>
      <c r="N52" s="443" t="s">
        <v>1093</v>
      </c>
      <c r="O52" s="443"/>
      <c r="P52" s="443"/>
      <c r="Q52" s="443"/>
      <c r="R52" s="443"/>
      <c r="S52" s="443"/>
      <c r="T52" s="443"/>
      <c r="U52" s="443"/>
      <c r="V52" s="443"/>
      <c r="W52" s="443"/>
      <c r="X52" s="585"/>
    </row>
    <row r="53" spans="2:24" ht="12.75" customHeight="1" x14ac:dyDescent="0.4">
      <c r="B53" s="444"/>
      <c r="C53" s="445"/>
      <c r="D53" s="445"/>
      <c r="E53" s="445"/>
      <c r="F53" s="445"/>
      <c r="G53" s="445"/>
      <c r="H53" s="445"/>
      <c r="I53" s="574" t="s">
        <v>1094</v>
      </c>
      <c r="J53" s="574"/>
      <c r="K53" s="574"/>
      <c r="L53" s="574"/>
      <c r="M53" s="574"/>
      <c r="N53" s="574" t="s">
        <v>1095</v>
      </c>
      <c r="O53" s="574"/>
      <c r="P53" s="574"/>
      <c r="Q53" s="574"/>
      <c r="R53" s="574"/>
      <c r="S53" s="574"/>
      <c r="T53" s="574"/>
      <c r="U53" s="574"/>
      <c r="V53" s="574"/>
      <c r="W53" s="574"/>
      <c r="X53" s="586"/>
    </row>
    <row r="54" spans="2:24" ht="12.75" customHeight="1" x14ac:dyDescent="0.4">
      <c r="B54" s="444"/>
      <c r="C54" s="445"/>
      <c r="D54" s="445"/>
      <c r="E54" s="445"/>
      <c r="F54" s="445"/>
      <c r="G54" s="445"/>
      <c r="H54" s="445"/>
      <c r="I54" s="574"/>
      <c r="J54" s="574"/>
      <c r="K54" s="574"/>
      <c r="L54" s="574"/>
      <c r="M54" s="574"/>
      <c r="N54" s="574"/>
      <c r="O54" s="574"/>
      <c r="P54" s="574"/>
      <c r="Q54" s="574"/>
      <c r="R54" s="574"/>
      <c r="S54" s="574"/>
      <c r="T54" s="574"/>
      <c r="U54" s="574"/>
      <c r="V54" s="574"/>
      <c r="W54" s="574"/>
      <c r="X54" s="586"/>
    </row>
    <row r="55" spans="2:24" ht="12.75" customHeight="1" thickBot="1" x14ac:dyDescent="0.45">
      <c r="B55" s="446"/>
      <c r="C55" s="447"/>
      <c r="D55" s="447"/>
      <c r="E55" s="447"/>
      <c r="F55" s="447"/>
      <c r="G55" s="447"/>
      <c r="H55" s="447"/>
      <c r="I55" s="584"/>
      <c r="J55" s="584"/>
      <c r="K55" s="584"/>
      <c r="L55" s="584"/>
      <c r="M55" s="584"/>
      <c r="N55" s="584"/>
      <c r="O55" s="584"/>
      <c r="P55" s="584"/>
      <c r="Q55" s="584"/>
      <c r="R55" s="584"/>
      <c r="S55" s="584"/>
      <c r="T55" s="584"/>
      <c r="U55" s="584"/>
      <c r="V55" s="584"/>
      <c r="W55" s="584"/>
      <c r="X55" s="587"/>
    </row>
    <row r="56" spans="2:24" ht="12.75" customHeight="1" x14ac:dyDescent="0.4">
      <c r="M56" s="441" t="s">
        <v>1089</v>
      </c>
      <c r="N56" s="441"/>
      <c r="O56" s="441"/>
      <c r="P56" s="441"/>
      <c r="Q56" s="441"/>
      <c r="R56" s="441"/>
      <c r="S56" s="441"/>
      <c r="T56" s="441"/>
      <c r="U56" s="441"/>
      <c r="V56" s="441"/>
      <c r="W56" s="441"/>
      <c r="X56" s="441"/>
    </row>
    <row r="57" spans="2:24" ht="12.75" customHeight="1" x14ac:dyDescent="0.4">
      <c r="M57" s="441"/>
      <c r="N57" s="441"/>
      <c r="O57" s="441"/>
      <c r="P57" s="441"/>
      <c r="Q57" s="441"/>
      <c r="R57" s="441"/>
      <c r="S57" s="441"/>
      <c r="T57" s="441"/>
      <c r="U57" s="441"/>
      <c r="V57" s="441"/>
      <c r="W57" s="441"/>
      <c r="X57" s="441"/>
    </row>
    <row r="58" spans="2:24" ht="16.5" customHeight="1" x14ac:dyDescent="0.4">
      <c r="B58" s="434" t="s">
        <v>1090</v>
      </c>
      <c r="C58" s="434"/>
      <c r="D58" s="434"/>
      <c r="E58" s="434"/>
      <c r="F58" s="434"/>
      <c r="G58" s="434"/>
      <c r="H58" s="434"/>
      <c r="I58" s="434"/>
      <c r="J58" s="434"/>
      <c r="K58" s="434"/>
      <c r="L58" s="434"/>
      <c r="M58" s="434"/>
      <c r="N58" s="434"/>
      <c r="O58" s="434"/>
      <c r="P58" s="434"/>
      <c r="Q58" s="434"/>
      <c r="R58" s="434"/>
      <c r="S58" s="434"/>
      <c r="T58" s="434"/>
      <c r="U58" s="434"/>
      <c r="V58" s="434"/>
      <c r="W58" s="434"/>
      <c r="X58" s="434"/>
    </row>
    <row r="59" spans="2:24" ht="20.25" customHeight="1" thickBot="1" x14ac:dyDescent="0.45">
      <c r="B59" s="371"/>
      <c r="C59" s="371"/>
      <c r="D59" s="371"/>
      <c r="E59" s="371"/>
      <c r="F59" s="371"/>
      <c r="G59" s="371"/>
      <c r="H59" s="371"/>
      <c r="I59" s="371"/>
      <c r="J59" s="371"/>
      <c r="K59" s="371"/>
      <c r="L59" s="371"/>
      <c r="M59" s="371"/>
      <c r="N59" s="371"/>
      <c r="O59" s="371"/>
      <c r="P59" s="371"/>
      <c r="Q59" s="371"/>
      <c r="R59" s="371"/>
      <c r="S59" s="371"/>
      <c r="T59" s="371"/>
      <c r="U59" s="371"/>
      <c r="V59" s="371"/>
      <c r="W59" s="371"/>
      <c r="X59" s="371"/>
    </row>
    <row r="60" spans="2:24" ht="16.5" customHeight="1" x14ac:dyDescent="0.4">
      <c r="B60" s="435" t="s">
        <v>1096</v>
      </c>
      <c r="C60" s="436"/>
      <c r="D60" s="436"/>
      <c r="E60" s="436"/>
      <c r="F60" s="436"/>
      <c r="G60" s="436"/>
      <c r="H60" s="436"/>
      <c r="I60" s="436"/>
      <c r="J60" s="436"/>
      <c r="K60" s="436"/>
      <c r="L60" s="436"/>
      <c r="M60" s="436"/>
      <c r="N60" s="436"/>
      <c r="O60" s="436"/>
      <c r="P60" s="436"/>
      <c r="Q60" s="436"/>
      <c r="R60" s="436"/>
      <c r="S60" s="436"/>
      <c r="T60" s="436"/>
      <c r="U60" s="436"/>
      <c r="V60" s="436"/>
      <c r="W60" s="436"/>
      <c r="X60" s="437"/>
    </row>
    <row r="61" spans="2:24" ht="16.5" customHeight="1" x14ac:dyDescent="0.4">
      <c r="B61" s="438"/>
      <c r="C61" s="439"/>
      <c r="D61" s="439"/>
      <c r="E61" s="439"/>
      <c r="F61" s="439"/>
      <c r="G61" s="439"/>
      <c r="H61" s="439"/>
      <c r="I61" s="439"/>
      <c r="J61" s="439"/>
      <c r="K61" s="439"/>
      <c r="L61" s="439"/>
      <c r="M61" s="439"/>
      <c r="N61" s="439"/>
      <c r="O61" s="439"/>
      <c r="P61" s="439"/>
      <c r="Q61" s="439"/>
      <c r="R61" s="439"/>
      <c r="S61" s="439"/>
      <c r="T61" s="439"/>
      <c r="U61" s="439"/>
      <c r="V61" s="439"/>
      <c r="W61" s="439"/>
      <c r="X61" s="440"/>
    </row>
    <row r="62" spans="2:24" ht="12.75" customHeight="1" x14ac:dyDescent="0.4">
      <c r="B62" s="495" t="s">
        <v>1097</v>
      </c>
      <c r="C62" s="558"/>
      <c r="D62" s="558"/>
      <c r="E62" s="558"/>
      <c r="F62" s="558"/>
      <c r="G62" s="558"/>
      <c r="H62" s="496"/>
      <c r="I62" s="405"/>
      <c r="J62" s="406"/>
      <c r="K62" s="406"/>
      <c r="L62" s="406"/>
      <c r="M62" s="406" t="s">
        <v>696</v>
      </c>
      <c r="N62" s="506" t="s">
        <v>445</v>
      </c>
      <c r="O62" s="506"/>
      <c r="P62" s="406" t="s">
        <v>1098</v>
      </c>
      <c r="Q62" s="406"/>
      <c r="R62" s="406"/>
      <c r="S62" s="406"/>
      <c r="T62" s="406"/>
      <c r="U62" s="406"/>
      <c r="V62" s="406"/>
      <c r="W62" s="406"/>
      <c r="X62" s="509" t="s">
        <v>426</v>
      </c>
    </row>
    <row r="63" spans="2:24" ht="12.75" customHeight="1" x14ac:dyDescent="0.4">
      <c r="B63" s="493"/>
      <c r="C63" s="560"/>
      <c r="D63" s="560"/>
      <c r="E63" s="560"/>
      <c r="F63" s="560"/>
      <c r="G63" s="560"/>
      <c r="H63" s="494"/>
      <c r="I63" s="407"/>
      <c r="J63" s="408"/>
      <c r="K63" s="408"/>
      <c r="L63" s="408"/>
      <c r="M63" s="408"/>
      <c r="N63" s="507"/>
      <c r="O63" s="507"/>
      <c r="P63" s="408"/>
      <c r="Q63" s="408"/>
      <c r="R63" s="408"/>
      <c r="S63" s="408"/>
      <c r="T63" s="408"/>
      <c r="U63" s="408"/>
      <c r="V63" s="408"/>
      <c r="W63" s="408"/>
      <c r="X63" s="511"/>
    </row>
    <row r="64" spans="2:24" ht="15.75" customHeight="1" x14ac:dyDescent="0.4">
      <c r="B64" s="512" t="s">
        <v>1134</v>
      </c>
      <c r="C64" s="558"/>
      <c r="D64" s="496"/>
      <c r="E64" s="425" t="s">
        <v>1099</v>
      </c>
      <c r="F64" s="426"/>
      <c r="G64" s="426"/>
      <c r="H64" s="426"/>
      <c r="I64" s="426"/>
      <c r="J64" s="426"/>
      <c r="K64" s="426"/>
      <c r="L64" s="426"/>
      <c r="M64" s="426"/>
      <c r="N64" s="426"/>
      <c r="O64" s="426"/>
      <c r="P64" s="426"/>
      <c r="Q64" s="426"/>
      <c r="R64" s="426"/>
      <c r="S64" s="426"/>
      <c r="T64" s="426"/>
      <c r="U64" s="426"/>
      <c r="V64" s="426"/>
      <c r="W64" s="426"/>
      <c r="X64" s="427"/>
    </row>
    <row r="65" spans="2:24" ht="15.75" customHeight="1" x14ac:dyDescent="0.4">
      <c r="B65" s="491"/>
      <c r="C65" s="559"/>
      <c r="D65" s="492"/>
      <c r="E65" s="428" t="s">
        <v>1100</v>
      </c>
      <c r="F65" s="429"/>
      <c r="G65" s="429"/>
      <c r="H65" s="429"/>
      <c r="I65" s="429"/>
      <c r="J65" s="429"/>
      <c r="K65" s="429"/>
      <c r="L65" s="429"/>
      <c r="M65" s="429"/>
      <c r="N65" s="429"/>
      <c r="O65" s="429"/>
      <c r="P65" s="429"/>
      <c r="Q65" s="429"/>
      <c r="R65" s="429"/>
      <c r="S65" s="429"/>
      <c r="T65" s="429"/>
      <c r="U65" s="429"/>
      <c r="V65" s="429"/>
      <c r="W65" s="429"/>
      <c r="X65" s="430"/>
    </row>
    <row r="66" spans="2:24" s="229" customFormat="1" ht="20.25" customHeight="1" x14ac:dyDescent="0.35">
      <c r="B66" s="491"/>
      <c r="C66" s="559"/>
      <c r="D66" s="492"/>
      <c r="E66" s="351"/>
      <c r="F66" s="351"/>
      <c r="H66" s="572" t="s">
        <v>1101</v>
      </c>
      <c r="I66" s="572"/>
      <c r="K66" s="572" t="s">
        <v>1102</v>
      </c>
      <c r="L66" s="572"/>
      <c r="M66" s="572"/>
      <c r="N66" s="449"/>
      <c r="O66" s="449"/>
      <c r="P66" s="572" t="s">
        <v>1103</v>
      </c>
      <c r="Q66" s="572"/>
      <c r="R66" s="572"/>
      <c r="S66" s="572"/>
      <c r="T66" s="572"/>
      <c r="V66" s="572" t="s">
        <v>1104</v>
      </c>
      <c r="W66" s="572"/>
      <c r="X66" s="573"/>
    </row>
    <row r="67" spans="2:24" ht="9.75" customHeight="1" x14ac:dyDescent="0.4">
      <c r="B67" s="491"/>
      <c r="C67" s="559"/>
      <c r="D67" s="492"/>
      <c r="E67" s="448"/>
      <c r="F67" s="449"/>
      <c r="G67" s="449"/>
      <c r="H67" s="449"/>
      <c r="I67" s="449"/>
      <c r="J67" s="449"/>
      <c r="K67" s="449"/>
      <c r="L67" s="449"/>
      <c r="M67" s="449"/>
      <c r="N67" s="449"/>
      <c r="O67" s="449"/>
      <c r="P67" s="449"/>
      <c r="Q67" s="449"/>
      <c r="R67" s="449"/>
      <c r="S67" s="449"/>
      <c r="T67" s="449"/>
      <c r="U67" s="449"/>
      <c r="V67" s="449"/>
      <c r="W67" s="449"/>
      <c r="X67" s="450"/>
    </row>
    <row r="68" spans="2:24" ht="17.25" customHeight="1" x14ac:dyDescent="0.4">
      <c r="B68" s="491"/>
      <c r="C68" s="559"/>
      <c r="D68" s="492"/>
      <c r="E68" s="431" t="s">
        <v>1105</v>
      </c>
      <c r="F68" s="432"/>
      <c r="G68" s="432"/>
      <c r="H68" s="432"/>
      <c r="I68" s="432"/>
      <c r="J68" s="432"/>
      <c r="K68" s="432"/>
      <c r="L68" s="432"/>
      <c r="M68" s="432"/>
      <c r="N68" s="432"/>
      <c r="O68" s="432"/>
      <c r="P68" s="432"/>
      <c r="Q68" s="432"/>
      <c r="R68" s="432"/>
      <c r="S68" s="432"/>
      <c r="T68" s="432"/>
      <c r="U68" s="432"/>
      <c r="V68" s="432"/>
      <c r="W68" s="432"/>
      <c r="X68" s="433"/>
    </row>
    <row r="69" spans="2:24" ht="17.25" customHeight="1" x14ac:dyDescent="0.4">
      <c r="B69" s="491"/>
      <c r="C69" s="559"/>
      <c r="D69" s="492"/>
      <c r="E69" s="561"/>
      <c r="F69" s="562"/>
      <c r="G69" s="562"/>
      <c r="H69" s="562"/>
      <c r="I69" s="562"/>
      <c r="J69" s="562"/>
      <c r="K69" s="562"/>
      <c r="L69" s="562"/>
      <c r="M69" s="562"/>
      <c r="N69" s="562"/>
      <c r="O69" s="562"/>
      <c r="P69" s="562"/>
      <c r="Q69" s="562"/>
      <c r="R69" s="562"/>
      <c r="S69" s="562"/>
      <c r="T69" s="562"/>
      <c r="U69" s="562"/>
      <c r="V69" s="562"/>
      <c r="W69" s="562"/>
      <c r="X69" s="563"/>
    </row>
    <row r="70" spans="2:24" ht="17.25" customHeight="1" x14ac:dyDescent="0.4">
      <c r="B70" s="491"/>
      <c r="C70" s="559"/>
      <c r="D70" s="492"/>
      <c r="E70" s="561"/>
      <c r="F70" s="562"/>
      <c r="G70" s="562"/>
      <c r="H70" s="562"/>
      <c r="I70" s="562"/>
      <c r="J70" s="562"/>
      <c r="K70" s="562"/>
      <c r="L70" s="562"/>
      <c r="M70" s="562"/>
      <c r="N70" s="562"/>
      <c r="O70" s="562"/>
      <c r="P70" s="562"/>
      <c r="Q70" s="562"/>
      <c r="R70" s="562"/>
      <c r="S70" s="562"/>
      <c r="T70" s="562"/>
      <c r="U70" s="562"/>
      <c r="V70" s="562"/>
      <c r="W70" s="562"/>
      <c r="X70" s="563"/>
    </row>
    <row r="71" spans="2:24" ht="17.25" customHeight="1" x14ac:dyDescent="0.4">
      <c r="B71" s="491"/>
      <c r="C71" s="559"/>
      <c r="D71" s="492"/>
      <c r="E71" s="561"/>
      <c r="F71" s="562"/>
      <c r="G71" s="562"/>
      <c r="H71" s="562"/>
      <c r="I71" s="562"/>
      <c r="J71" s="562"/>
      <c r="K71" s="562"/>
      <c r="L71" s="562"/>
      <c r="M71" s="562"/>
      <c r="N71" s="562"/>
      <c r="O71" s="562"/>
      <c r="P71" s="562"/>
      <c r="Q71" s="562"/>
      <c r="R71" s="562"/>
      <c r="S71" s="562"/>
      <c r="T71" s="562"/>
      <c r="U71" s="562"/>
      <c r="V71" s="562"/>
      <c r="W71" s="562"/>
      <c r="X71" s="563"/>
    </row>
    <row r="72" spans="2:24" ht="17.25" customHeight="1" x14ac:dyDescent="0.4">
      <c r="B72" s="491"/>
      <c r="C72" s="559"/>
      <c r="D72" s="492"/>
      <c r="E72" s="561"/>
      <c r="F72" s="562"/>
      <c r="G72" s="562"/>
      <c r="H72" s="562"/>
      <c r="I72" s="562"/>
      <c r="J72" s="562"/>
      <c r="K72" s="562"/>
      <c r="L72" s="562"/>
      <c r="M72" s="562"/>
      <c r="N72" s="562"/>
      <c r="O72" s="562"/>
      <c r="P72" s="562"/>
      <c r="Q72" s="562"/>
      <c r="R72" s="562"/>
      <c r="S72" s="562"/>
      <c r="T72" s="562"/>
      <c r="U72" s="562"/>
      <c r="V72" s="562"/>
      <c r="W72" s="562"/>
      <c r="X72" s="563"/>
    </row>
    <row r="73" spans="2:24" ht="17.25" customHeight="1" x14ac:dyDescent="0.4">
      <c r="B73" s="491"/>
      <c r="C73" s="559"/>
      <c r="D73" s="492"/>
      <c r="E73" s="431" t="s">
        <v>1106</v>
      </c>
      <c r="F73" s="432"/>
      <c r="G73" s="432"/>
      <c r="H73" s="432"/>
      <c r="I73" s="432"/>
      <c r="J73" s="432"/>
      <c r="K73" s="432"/>
      <c r="L73" s="432"/>
      <c r="M73" s="432"/>
      <c r="N73" s="432"/>
      <c r="O73" s="432"/>
      <c r="P73" s="432"/>
      <c r="Q73" s="432"/>
      <c r="R73" s="432"/>
      <c r="S73" s="432"/>
      <c r="T73" s="432"/>
      <c r="U73" s="432"/>
      <c r="V73" s="432"/>
      <c r="W73" s="432"/>
      <c r="X73" s="433"/>
    </row>
    <row r="74" spans="2:24" ht="17.25" customHeight="1" x14ac:dyDescent="0.4">
      <c r="B74" s="491"/>
      <c r="C74" s="559"/>
      <c r="D74" s="492"/>
      <c r="E74" s="561"/>
      <c r="F74" s="562"/>
      <c r="G74" s="562"/>
      <c r="H74" s="562"/>
      <c r="I74" s="562"/>
      <c r="J74" s="562"/>
      <c r="K74" s="562"/>
      <c r="L74" s="562"/>
      <c r="M74" s="562"/>
      <c r="N74" s="562"/>
      <c r="O74" s="562"/>
      <c r="P74" s="562"/>
      <c r="Q74" s="562"/>
      <c r="R74" s="562"/>
      <c r="S74" s="562"/>
      <c r="T74" s="562"/>
      <c r="U74" s="562"/>
      <c r="V74" s="562"/>
      <c r="W74" s="562"/>
      <c r="X74" s="563"/>
    </row>
    <row r="75" spans="2:24" ht="17.25" customHeight="1" x14ac:dyDescent="0.4">
      <c r="B75" s="491"/>
      <c r="C75" s="559"/>
      <c r="D75" s="492"/>
      <c r="E75" s="561"/>
      <c r="F75" s="562"/>
      <c r="G75" s="562"/>
      <c r="H75" s="562"/>
      <c r="I75" s="562"/>
      <c r="J75" s="562"/>
      <c r="K75" s="562"/>
      <c r="L75" s="562"/>
      <c r="M75" s="562"/>
      <c r="N75" s="562"/>
      <c r="O75" s="562"/>
      <c r="P75" s="562"/>
      <c r="Q75" s="562"/>
      <c r="R75" s="562"/>
      <c r="S75" s="562"/>
      <c r="T75" s="562"/>
      <c r="U75" s="562"/>
      <c r="V75" s="562"/>
      <c r="W75" s="562"/>
      <c r="X75" s="563"/>
    </row>
    <row r="76" spans="2:24" ht="17.25" customHeight="1" x14ac:dyDescent="0.4">
      <c r="B76" s="491"/>
      <c r="C76" s="559"/>
      <c r="D76" s="492"/>
      <c r="E76" s="561"/>
      <c r="F76" s="562"/>
      <c r="G76" s="562"/>
      <c r="H76" s="562"/>
      <c r="I76" s="562"/>
      <c r="J76" s="562"/>
      <c r="K76" s="562"/>
      <c r="L76" s="562"/>
      <c r="M76" s="562"/>
      <c r="N76" s="562"/>
      <c r="O76" s="562"/>
      <c r="P76" s="562"/>
      <c r="Q76" s="562"/>
      <c r="R76" s="562"/>
      <c r="S76" s="562"/>
      <c r="T76" s="562"/>
      <c r="U76" s="562"/>
      <c r="V76" s="562"/>
      <c r="W76" s="562"/>
      <c r="X76" s="563"/>
    </row>
    <row r="77" spans="2:24" ht="17.25" customHeight="1" x14ac:dyDescent="0.4">
      <c r="B77" s="491"/>
      <c r="C77" s="559"/>
      <c r="D77" s="492"/>
      <c r="E77" s="561"/>
      <c r="F77" s="562"/>
      <c r="G77" s="562"/>
      <c r="H77" s="562"/>
      <c r="I77" s="562"/>
      <c r="J77" s="562"/>
      <c r="K77" s="562"/>
      <c r="L77" s="562"/>
      <c r="M77" s="562"/>
      <c r="N77" s="562"/>
      <c r="O77" s="562"/>
      <c r="P77" s="562"/>
      <c r="Q77" s="562"/>
      <c r="R77" s="562"/>
      <c r="S77" s="562"/>
      <c r="T77" s="562"/>
      <c r="U77" s="562"/>
      <c r="V77" s="562"/>
      <c r="W77" s="562"/>
      <c r="X77" s="563"/>
    </row>
    <row r="78" spans="2:24" ht="17.25" customHeight="1" x14ac:dyDescent="0.4">
      <c r="B78" s="491"/>
      <c r="C78" s="559"/>
      <c r="D78" s="492"/>
      <c r="E78" s="561"/>
      <c r="F78" s="562"/>
      <c r="G78" s="562"/>
      <c r="H78" s="562"/>
      <c r="I78" s="562"/>
      <c r="J78" s="562"/>
      <c r="K78" s="562"/>
      <c r="L78" s="562"/>
      <c r="M78" s="562"/>
      <c r="N78" s="562"/>
      <c r="O78" s="562"/>
      <c r="P78" s="562"/>
      <c r="Q78" s="562"/>
      <c r="R78" s="562"/>
      <c r="S78" s="562"/>
      <c r="T78" s="562"/>
      <c r="U78" s="562"/>
      <c r="V78" s="562"/>
      <c r="W78" s="562"/>
      <c r="X78" s="563"/>
    </row>
    <row r="79" spans="2:24" ht="17.25" customHeight="1" x14ac:dyDescent="0.4">
      <c r="B79" s="491"/>
      <c r="C79" s="559"/>
      <c r="D79" s="492"/>
      <c r="E79" s="431" t="s">
        <v>1107</v>
      </c>
      <c r="F79" s="432"/>
      <c r="G79" s="432"/>
      <c r="H79" s="432"/>
      <c r="I79" s="432"/>
      <c r="J79" s="432"/>
      <c r="K79" s="432"/>
      <c r="L79" s="432"/>
      <c r="M79" s="432"/>
      <c r="N79" s="432"/>
      <c r="O79" s="432"/>
      <c r="P79" s="432"/>
      <c r="Q79" s="432"/>
      <c r="R79" s="564"/>
      <c r="S79" s="553" t="s">
        <v>1113</v>
      </c>
      <c r="T79" s="553"/>
      <c r="U79" s="553"/>
      <c r="V79" s="553"/>
      <c r="W79" s="553"/>
      <c r="X79" s="554"/>
    </row>
    <row r="80" spans="2:24" ht="17.25" customHeight="1" x14ac:dyDescent="0.4">
      <c r="B80" s="491"/>
      <c r="C80" s="559"/>
      <c r="D80" s="492"/>
      <c r="E80" s="561"/>
      <c r="F80" s="562"/>
      <c r="G80" s="562"/>
      <c r="H80" s="562"/>
      <c r="I80" s="562"/>
      <c r="J80" s="562"/>
      <c r="K80" s="562"/>
      <c r="L80" s="562"/>
      <c r="M80" s="562"/>
      <c r="N80" s="562"/>
      <c r="O80" s="562"/>
      <c r="P80" s="562"/>
      <c r="Q80" s="562"/>
      <c r="R80" s="565"/>
      <c r="S80" s="574" t="s">
        <v>1108</v>
      </c>
      <c r="T80" s="574"/>
      <c r="U80" s="574"/>
      <c r="V80" s="423"/>
      <c r="W80" s="424"/>
      <c r="X80" s="389" t="s">
        <v>1185</v>
      </c>
    </row>
    <row r="81" spans="2:24" ht="17.25" customHeight="1" x14ac:dyDescent="0.4">
      <c r="B81" s="491"/>
      <c r="C81" s="559"/>
      <c r="D81" s="492"/>
      <c r="E81" s="561"/>
      <c r="F81" s="562"/>
      <c r="G81" s="562"/>
      <c r="H81" s="562"/>
      <c r="I81" s="562"/>
      <c r="J81" s="562"/>
      <c r="K81" s="562"/>
      <c r="L81" s="562"/>
      <c r="M81" s="562"/>
      <c r="N81" s="562"/>
      <c r="O81" s="562"/>
      <c r="P81" s="562"/>
      <c r="Q81" s="562"/>
      <c r="R81" s="565"/>
      <c r="S81" s="574" t="s">
        <v>1109</v>
      </c>
      <c r="T81" s="574"/>
      <c r="U81" s="574"/>
      <c r="V81" s="423"/>
      <c r="W81" s="424"/>
      <c r="X81" s="389" t="s">
        <v>1184</v>
      </c>
    </row>
    <row r="82" spans="2:24" ht="17.25" customHeight="1" x14ac:dyDescent="0.4">
      <c r="B82" s="491"/>
      <c r="C82" s="559"/>
      <c r="D82" s="492"/>
      <c r="E82" s="561"/>
      <c r="F82" s="562"/>
      <c r="G82" s="562"/>
      <c r="H82" s="562"/>
      <c r="I82" s="562"/>
      <c r="J82" s="562"/>
      <c r="K82" s="562"/>
      <c r="L82" s="562"/>
      <c r="M82" s="562"/>
      <c r="N82" s="562"/>
      <c r="O82" s="562"/>
      <c r="P82" s="562"/>
      <c r="Q82" s="562"/>
      <c r="R82" s="565"/>
      <c r="S82" s="574" t="s">
        <v>1110</v>
      </c>
      <c r="T82" s="574"/>
      <c r="U82" s="574"/>
      <c r="V82" s="423"/>
      <c r="W82" s="424"/>
      <c r="X82" s="389" t="s">
        <v>1185</v>
      </c>
    </row>
    <row r="83" spans="2:24" ht="17.25" customHeight="1" x14ac:dyDescent="0.4">
      <c r="B83" s="491"/>
      <c r="C83" s="559"/>
      <c r="D83" s="492"/>
      <c r="E83" s="561"/>
      <c r="F83" s="562"/>
      <c r="G83" s="562"/>
      <c r="H83" s="562"/>
      <c r="I83" s="562"/>
      <c r="J83" s="562"/>
      <c r="K83" s="562"/>
      <c r="L83" s="562"/>
      <c r="M83" s="562"/>
      <c r="N83" s="562"/>
      <c r="O83" s="562"/>
      <c r="P83" s="562"/>
      <c r="Q83" s="562"/>
      <c r="R83" s="565"/>
      <c r="S83" s="574" t="s">
        <v>1111</v>
      </c>
      <c r="T83" s="574"/>
      <c r="U83" s="574"/>
      <c r="V83" s="423"/>
      <c r="W83" s="424"/>
      <c r="X83" s="389" t="s">
        <v>1186</v>
      </c>
    </row>
    <row r="84" spans="2:24" ht="17.25" customHeight="1" x14ac:dyDescent="0.4">
      <c r="B84" s="493"/>
      <c r="C84" s="560"/>
      <c r="D84" s="494"/>
      <c r="E84" s="566"/>
      <c r="F84" s="567"/>
      <c r="G84" s="567"/>
      <c r="H84" s="567"/>
      <c r="I84" s="567"/>
      <c r="J84" s="567"/>
      <c r="K84" s="567"/>
      <c r="L84" s="567"/>
      <c r="M84" s="567"/>
      <c r="N84" s="567"/>
      <c r="O84" s="567"/>
      <c r="P84" s="567"/>
      <c r="Q84" s="567"/>
      <c r="R84" s="568"/>
      <c r="S84" s="574" t="s">
        <v>1112</v>
      </c>
      <c r="T84" s="574"/>
      <c r="U84" s="574"/>
      <c r="V84" s="423"/>
      <c r="W84" s="424"/>
      <c r="X84" s="389" t="s">
        <v>1187</v>
      </c>
    </row>
    <row r="85" spans="2:24" ht="24" customHeight="1" x14ac:dyDescent="0.4">
      <c r="B85" s="555" t="s">
        <v>1114</v>
      </c>
      <c r="C85" s="556"/>
      <c r="D85" s="556"/>
      <c r="E85" s="556"/>
      <c r="F85" s="556"/>
      <c r="G85" s="556"/>
      <c r="H85" s="556"/>
      <c r="I85" s="424"/>
      <c r="J85" s="424"/>
      <c r="K85" s="424"/>
      <c r="L85" s="424"/>
      <c r="M85" s="424"/>
      <c r="N85" s="557" t="s">
        <v>1118</v>
      </c>
      <c r="O85" s="557"/>
      <c r="P85" s="557"/>
      <c r="Q85" s="360" t="s">
        <v>1119</v>
      </c>
      <c r="R85" s="424"/>
      <c r="S85" s="424"/>
      <c r="T85" s="544" t="s">
        <v>923</v>
      </c>
      <c r="U85" s="544"/>
      <c r="V85" s="544"/>
      <c r="W85" s="187"/>
      <c r="X85" s="361"/>
    </row>
    <row r="86" spans="2:24" ht="24" customHeight="1" x14ac:dyDescent="0.4">
      <c r="B86" s="555" t="s">
        <v>1115</v>
      </c>
      <c r="C86" s="556"/>
      <c r="D86" s="556"/>
      <c r="E86" s="556"/>
      <c r="F86" s="556"/>
      <c r="G86" s="556"/>
      <c r="H86" s="556"/>
      <c r="I86" s="424"/>
      <c r="J86" s="424"/>
      <c r="K86" s="424"/>
      <c r="L86" s="424"/>
      <c r="M86" s="424"/>
      <c r="N86" s="557" t="s">
        <v>1118</v>
      </c>
      <c r="O86" s="557"/>
      <c r="P86" s="557"/>
      <c r="Q86" s="360" t="s">
        <v>1119</v>
      </c>
      <c r="R86" s="424"/>
      <c r="S86" s="424"/>
      <c r="T86" s="544" t="s">
        <v>923</v>
      </c>
      <c r="U86" s="544"/>
      <c r="V86" s="544"/>
      <c r="W86" s="187"/>
      <c r="X86" s="361"/>
    </row>
    <row r="87" spans="2:24" ht="24" customHeight="1" thickBot="1" x14ac:dyDescent="0.45">
      <c r="B87" s="546" t="s">
        <v>1116</v>
      </c>
      <c r="C87" s="547"/>
      <c r="D87" s="547"/>
      <c r="E87" s="547"/>
      <c r="F87" s="547"/>
      <c r="G87" s="547"/>
      <c r="H87" s="547"/>
      <c r="I87" s="7"/>
      <c r="J87" s="7" t="s">
        <v>719</v>
      </c>
      <c r="K87" s="7"/>
      <c r="L87" s="7" t="s">
        <v>718</v>
      </c>
      <c r="M87" s="7"/>
      <c r="N87" s="548" t="s">
        <v>1117</v>
      </c>
      <c r="O87" s="549"/>
      <c r="P87" s="549"/>
      <c r="Q87" s="549"/>
      <c r="R87" s="550"/>
      <c r="S87" s="551"/>
      <c r="T87" s="551"/>
      <c r="U87" s="551"/>
      <c r="V87" s="551"/>
      <c r="W87" s="551"/>
      <c r="X87" s="552"/>
    </row>
    <row r="88" spans="2:24" ht="12" customHeight="1" x14ac:dyDescent="0.4">
      <c r="B88" s="351"/>
      <c r="C88" s="351"/>
      <c r="D88" s="351"/>
      <c r="E88" s="351"/>
      <c r="F88" s="351"/>
      <c r="G88" s="351"/>
      <c r="H88" s="351"/>
      <c r="N88" s="351"/>
      <c r="O88" s="351"/>
      <c r="P88" s="351"/>
      <c r="Q88" s="351"/>
      <c r="R88" s="351"/>
      <c r="S88" s="177"/>
      <c r="T88" s="177"/>
      <c r="U88" s="177"/>
      <c r="V88" s="177"/>
      <c r="W88" s="177"/>
      <c r="X88" s="177"/>
    </row>
    <row r="89" spans="2:24" s="373" customFormat="1" ht="18" customHeight="1" thickBot="1" x14ac:dyDescent="0.4">
      <c r="B89" s="575" t="s">
        <v>1120</v>
      </c>
      <c r="C89" s="575"/>
      <c r="D89" s="575"/>
      <c r="E89" s="575"/>
      <c r="F89" s="575"/>
      <c r="G89" s="575"/>
      <c r="H89" s="575"/>
      <c r="I89" s="575"/>
      <c r="J89" s="575"/>
      <c r="K89" s="575"/>
      <c r="L89" s="575"/>
      <c r="M89" s="575"/>
      <c r="N89" s="575"/>
      <c r="O89" s="575"/>
      <c r="P89" s="575"/>
      <c r="Q89" s="575"/>
      <c r="R89" s="575"/>
      <c r="S89" s="575"/>
      <c r="T89" s="575"/>
      <c r="U89" s="575"/>
      <c r="V89" s="575"/>
      <c r="W89" s="575"/>
      <c r="X89" s="575"/>
    </row>
    <row r="90" spans="2:24" ht="24" customHeight="1" thickTop="1" x14ac:dyDescent="0.4">
      <c r="B90" s="540" t="s">
        <v>1121</v>
      </c>
      <c r="C90" s="541"/>
      <c r="D90" s="541"/>
      <c r="E90" s="541"/>
      <c r="F90" s="541"/>
      <c r="G90" s="541"/>
      <c r="H90" s="542"/>
      <c r="I90" s="369"/>
      <c r="J90" s="369" t="s">
        <v>719</v>
      </c>
      <c r="K90" s="370" t="s">
        <v>1119</v>
      </c>
      <c r="L90" s="370"/>
      <c r="M90" s="369"/>
      <c r="N90" s="536" t="s">
        <v>718</v>
      </c>
      <c r="O90" s="536"/>
      <c r="P90" s="537"/>
      <c r="X90" s="364"/>
    </row>
    <row r="91" spans="2:24" ht="24" customHeight="1" x14ac:dyDescent="0.4">
      <c r="B91" s="543" t="s">
        <v>1122</v>
      </c>
      <c r="C91" s="544"/>
      <c r="D91" s="544"/>
      <c r="E91" s="544"/>
      <c r="F91" s="544"/>
      <c r="G91" s="544"/>
      <c r="H91" s="545"/>
      <c r="I91" s="187"/>
      <c r="J91" s="187" t="s">
        <v>719</v>
      </c>
      <c r="K91" s="357" t="s">
        <v>1119</v>
      </c>
      <c r="L91" s="357"/>
      <c r="M91" s="187"/>
      <c r="N91" s="538" t="s">
        <v>718</v>
      </c>
      <c r="O91" s="538"/>
      <c r="P91" s="539"/>
      <c r="X91" s="365"/>
    </row>
    <row r="92" spans="2:24" ht="21" customHeight="1" x14ac:dyDescent="0.4">
      <c r="B92" s="367" t="s">
        <v>1123</v>
      </c>
      <c r="X92" s="365"/>
    </row>
    <row r="93" spans="2:24" ht="21" customHeight="1" x14ac:dyDescent="0.4">
      <c r="B93" s="367"/>
      <c r="C93"/>
      <c r="D93" s="229" t="s">
        <v>1124</v>
      </c>
      <c r="X93" s="365"/>
    </row>
    <row r="94" spans="2:24" ht="21" customHeight="1" x14ac:dyDescent="0.4">
      <c r="B94" s="367"/>
      <c r="C94"/>
      <c r="D94" s="229" t="s">
        <v>1125</v>
      </c>
      <c r="X94" s="365"/>
    </row>
    <row r="95" spans="2:24" ht="21" customHeight="1" x14ac:dyDescent="0.4">
      <c r="B95" s="367"/>
      <c r="C95"/>
      <c r="D95" s="229" t="s">
        <v>1126</v>
      </c>
      <c r="X95" s="365"/>
    </row>
    <row r="96" spans="2:24" ht="21" customHeight="1" x14ac:dyDescent="0.4">
      <c r="B96" s="367"/>
      <c r="C96"/>
      <c r="D96" s="229" t="s">
        <v>1127</v>
      </c>
      <c r="X96" s="365"/>
    </row>
    <row r="97" spans="2:24" ht="21" customHeight="1" x14ac:dyDescent="0.4">
      <c r="B97" s="367"/>
      <c r="C97"/>
      <c r="D97" s="229" t="s">
        <v>1128</v>
      </c>
      <c r="X97" s="365"/>
    </row>
    <row r="98" spans="2:24" ht="21" customHeight="1" x14ac:dyDescent="0.4">
      <c r="B98" s="367"/>
      <c r="C98"/>
      <c r="D98" s="229" t="s">
        <v>1129</v>
      </c>
      <c r="X98" s="365"/>
    </row>
    <row r="99" spans="2:24" ht="21" customHeight="1" x14ac:dyDescent="0.4">
      <c r="B99" s="367" t="s">
        <v>1130</v>
      </c>
      <c r="X99" s="365"/>
    </row>
    <row r="100" spans="2:24" ht="21" customHeight="1" x14ac:dyDescent="0.4">
      <c r="B100" s="367"/>
      <c r="C100"/>
      <c r="D100" s="229" t="s">
        <v>1131</v>
      </c>
      <c r="X100" s="365"/>
    </row>
    <row r="101" spans="2:24" ht="21" customHeight="1" x14ac:dyDescent="0.4">
      <c r="B101" s="367"/>
      <c r="C101"/>
      <c r="D101" s="229" t="s">
        <v>1132</v>
      </c>
      <c r="X101" s="365"/>
    </row>
    <row r="102" spans="2:24" ht="21" customHeight="1" thickBot="1" x14ac:dyDescent="0.45">
      <c r="B102" s="368"/>
      <c r="C102" s="363"/>
      <c r="D102" s="362" t="s">
        <v>1133</v>
      </c>
      <c r="E102" s="362"/>
      <c r="F102" s="362"/>
      <c r="G102" s="363"/>
      <c r="H102" s="363"/>
      <c r="I102" s="363"/>
      <c r="J102" s="363"/>
      <c r="K102" s="363"/>
      <c r="L102" s="363"/>
      <c r="M102" s="363"/>
      <c r="N102" s="363"/>
      <c r="O102" s="363"/>
      <c r="P102" s="363"/>
      <c r="Q102" s="363"/>
      <c r="R102" s="363"/>
      <c r="S102" s="363"/>
      <c r="T102" s="363"/>
      <c r="U102" s="363"/>
      <c r="V102" s="363"/>
      <c r="W102" s="363"/>
      <c r="X102" s="366"/>
    </row>
    <row r="103" spans="2:24" s="13" customFormat="1" ht="17.25" customHeight="1" thickTop="1" x14ac:dyDescent="0.4">
      <c r="B103" s="571" t="s">
        <v>1090</v>
      </c>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row>
    <row r="104" spans="2:24" ht="12.75" customHeight="1" x14ac:dyDescent="0.4"/>
    <row r="105" spans="2:24" ht="12.75" customHeight="1" x14ac:dyDescent="0.4"/>
    <row r="106" spans="2:24" ht="12.75" customHeight="1" x14ac:dyDescent="0.4"/>
    <row r="107" spans="2:24" ht="12.75" customHeight="1" x14ac:dyDescent="0.4"/>
    <row r="108" spans="2:24" ht="12.75" customHeight="1" x14ac:dyDescent="0.4"/>
    <row r="109" spans="2:24" ht="12.75" customHeight="1" x14ac:dyDescent="0.4"/>
    <row r="110" spans="2:24" ht="12.75" customHeight="1" x14ac:dyDescent="0.4"/>
    <row r="111" spans="2:24" ht="12.75" customHeight="1" x14ac:dyDescent="0.4"/>
    <row r="112" spans="2:24"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9" customHeight="1" x14ac:dyDescent="0.4"/>
    <row r="142" ht="9" customHeight="1" x14ac:dyDescent="0.4"/>
    <row r="143" ht="9" customHeight="1" x14ac:dyDescent="0.4"/>
    <row r="144" ht="9" customHeight="1" x14ac:dyDescent="0.4"/>
    <row r="145" ht="9" customHeight="1" x14ac:dyDescent="0.4"/>
    <row r="146" ht="9" customHeight="1" x14ac:dyDescent="0.4"/>
    <row r="147" ht="9" customHeight="1" x14ac:dyDescent="0.4"/>
    <row r="148" ht="9" customHeight="1" x14ac:dyDescent="0.4"/>
    <row r="149" ht="9" customHeight="1" x14ac:dyDescent="0.4"/>
    <row r="150" ht="9" customHeight="1" x14ac:dyDescent="0.4"/>
    <row r="151" ht="9" customHeight="1" x14ac:dyDescent="0.4"/>
    <row r="152" ht="9" customHeight="1" x14ac:dyDescent="0.4"/>
    <row r="153" ht="9" customHeight="1" x14ac:dyDescent="0.4"/>
    <row r="154" ht="9" customHeight="1" x14ac:dyDescent="0.4"/>
    <row r="155" ht="9" customHeight="1" x14ac:dyDescent="0.4"/>
    <row r="156" ht="9" customHeight="1" x14ac:dyDescent="0.4"/>
    <row r="157" ht="9" customHeight="1" x14ac:dyDescent="0.4"/>
    <row r="158" ht="9" customHeight="1" x14ac:dyDescent="0.4"/>
    <row r="159" ht="9" customHeight="1" x14ac:dyDescent="0.4"/>
    <row r="160" ht="9" customHeight="1" x14ac:dyDescent="0.4"/>
    <row r="161" ht="9" customHeight="1" x14ac:dyDescent="0.4"/>
    <row r="162" ht="9" customHeight="1" x14ac:dyDescent="0.4"/>
    <row r="163" ht="9" customHeight="1" x14ac:dyDescent="0.4"/>
    <row r="164" ht="9" customHeight="1" x14ac:dyDescent="0.4"/>
    <row r="165" ht="9" customHeight="1" x14ac:dyDescent="0.4"/>
    <row r="166" ht="9" customHeight="1" x14ac:dyDescent="0.4"/>
    <row r="167" ht="9" customHeight="1" x14ac:dyDescent="0.4"/>
    <row r="168" ht="9" customHeight="1" x14ac:dyDescent="0.4"/>
    <row r="169" ht="9" customHeight="1" x14ac:dyDescent="0.4"/>
    <row r="170" ht="9" customHeight="1" x14ac:dyDescent="0.4"/>
    <row r="171" ht="9" customHeight="1" x14ac:dyDescent="0.4"/>
    <row r="172" ht="9" customHeight="1" x14ac:dyDescent="0.4"/>
    <row r="173" ht="9" customHeight="1" x14ac:dyDescent="0.4"/>
    <row r="174" ht="9" customHeight="1" x14ac:dyDescent="0.4"/>
    <row r="175" ht="9" customHeight="1" x14ac:dyDescent="0.4"/>
    <row r="176" ht="9" customHeight="1" x14ac:dyDescent="0.4"/>
    <row r="177" ht="9" customHeight="1" x14ac:dyDescent="0.4"/>
    <row r="178" ht="9" customHeight="1" x14ac:dyDescent="0.4"/>
    <row r="179" ht="9" customHeight="1" x14ac:dyDescent="0.4"/>
    <row r="180" ht="9" customHeight="1" x14ac:dyDescent="0.4"/>
    <row r="181" ht="9" customHeight="1" x14ac:dyDescent="0.4"/>
    <row r="182" ht="9" customHeight="1" x14ac:dyDescent="0.4"/>
    <row r="183" ht="9" customHeight="1" x14ac:dyDescent="0.4"/>
    <row r="184" ht="9" customHeight="1" x14ac:dyDescent="0.4"/>
    <row r="185" ht="9" customHeight="1" x14ac:dyDescent="0.4"/>
    <row r="186" ht="9" customHeight="1" x14ac:dyDescent="0.4"/>
    <row r="187" ht="9" customHeight="1" x14ac:dyDescent="0.4"/>
    <row r="188" ht="9" customHeight="1" x14ac:dyDescent="0.4"/>
    <row r="189" ht="9" customHeight="1" x14ac:dyDescent="0.4"/>
    <row r="190" ht="9" customHeight="1" x14ac:dyDescent="0.4"/>
    <row r="191" ht="9" customHeight="1" x14ac:dyDescent="0.4"/>
    <row r="192" ht="9" customHeight="1" x14ac:dyDescent="0.4"/>
    <row r="193" ht="9" customHeight="1" x14ac:dyDescent="0.4"/>
    <row r="194" ht="9" customHeight="1" x14ac:dyDescent="0.4"/>
    <row r="195" ht="9" customHeight="1" x14ac:dyDescent="0.4"/>
    <row r="196" ht="9" customHeight="1" x14ac:dyDescent="0.4"/>
    <row r="197" ht="9" customHeight="1" x14ac:dyDescent="0.4"/>
    <row r="198" ht="9" customHeight="1" x14ac:dyDescent="0.4"/>
    <row r="199" ht="9" customHeight="1" x14ac:dyDescent="0.4"/>
    <row r="200" ht="9" customHeight="1" x14ac:dyDescent="0.4"/>
    <row r="201" ht="9" customHeight="1" x14ac:dyDescent="0.4"/>
    <row r="202" ht="9" customHeight="1" x14ac:dyDescent="0.4"/>
    <row r="203" ht="9" customHeight="1" x14ac:dyDescent="0.4"/>
    <row r="204" ht="9" customHeight="1" x14ac:dyDescent="0.4"/>
    <row r="205" ht="9" customHeight="1" x14ac:dyDescent="0.4"/>
    <row r="206" ht="9" customHeight="1" x14ac:dyDescent="0.4"/>
    <row r="207" ht="9" customHeight="1" x14ac:dyDescent="0.4"/>
    <row r="208" ht="9" customHeight="1" x14ac:dyDescent="0.4"/>
    <row r="209" ht="9" customHeight="1" x14ac:dyDescent="0.4"/>
    <row r="210" ht="9" customHeight="1" x14ac:dyDescent="0.4"/>
    <row r="211" ht="9" customHeight="1" x14ac:dyDescent="0.4"/>
    <row r="212" ht="9" customHeight="1" x14ac:dyDescent="0.4"/>
    <row r="213" ht="9" customHeight="1" x14ac:dyDescent="0.4"/>
    <row r="214" ht="9" customHeight="1" x14ac:dyDescent="0.4"/>
    <row r="215" ht="9" customHeight="1" x14ac:dyDescent="0.4"/>
    <row r="216" ht="9" customHeight="1" x14ac:dyDescent="0.4"/>
    <row r="217" ht="9" customHeight="1" x14ac:dyDescent="0.4"/>
    <row r="218" ht="9" customHeight="1" x14ac:dyDescent="0.4"/>
    <row r="219" ht="9" customHeight="1" x14ac:dyDescent="0.4"/>
    <row r="220" ht="9" customHeight="1" x14ac:dyDescent="0.4"/>
    <row r="221" ht="9" customHeight="1" x14ac:dyDescent="0.4"/>
    <row r="222" ht="9" customHeight="1" x14ac:dyDescent="0.4"/>
    <row r="223" ht="9" customHeight="1" x14ac:dyDescent="0.4"/>
    <row r="224" ht="9" customHeight="1" x14ac:dyDescent="0.4"/>
    <row r="225" ht="9" customHeight="1" x14ac:dyDescent="0.4"/>
    <row r="226" ht="9" customHeight="1" x14ac:dyDescent="0.4"/>
    <row r="227" ht="9" customHeight="1" x14ac:dyDescent="0.4"/>
    <row r="228" ht="9" customHeight="1" x14ac:dyDescent="0.4"/>
    <row r="229" ht="9" customHeight="1" x14ac:dyDescent="0.4"/>
    <row r="230" ht="9" customHeight="1" x14ac:dyDescent="0.4"/>
    <row r="231" ht="9" customHeight="1" x14ac:dyDescent="0.4"/>
    <row r="232" ht="9" customHeight="1" x14ac:dyDescent="0.4"/>
    <row r="233" ht="9" customHeight="1" x14ac:dyDescent="0.4"/>
    <row r="234" ht="9" customHeight="1" x14ac:dyDescent="0.4"/>
    <row r="235" ht="9" customHeight="1" x14ac:dyDescent="0.4"/>
    <row r="236" ht="9" customHeight="1" x14ac:dyDescent="0.4"/>
    <row r="237" ht="9" customHeight="1" x14ac:dyDescent="0.4"/>
    <row r="238" ht="9" customHeight="1" x14ac:dyDescent="0.4"/>
    <row r="239" ht="9" customHeight="1" x14ac:dyDescent="0.4"/>
    <row r="240" ht="9" customHeight="1" x14ac:dyDescent="0.4"/>
    <row r="241" ht="9" customHeight="1" x14ac:dyDescent="0.4"/>
    <row r="242" ht="9" customHeight="1" x14ac:dyDescent="0.4"/>
    <row r="243" ht="9" customHeight="1" x14ac:dyDescent="0.4"/>
    <row r="244" ht="9" customHeight="1" x14ac:dyDescent="0.4"/>
    <row r="245" ht="9" customHeight="1" x14ac:dyDescent="0.4"/>
    <row r="246" ht="9" customHeight="1" x14ac:dyDescent="0.4"/>
    <row r="247" ht="9" customHeight="1" x14ac:dyDescent="0.4"/>
    <row r="248" ht="9" customHeight="1" x14ac:dyDescent="0.4"/>
    <row r="249" ht="9" customHeight="1" x14ac:dyDescent="0.4"/>
    <row r="250" ht="9" customHeight="1" x14ac:dyDescent="0.4"/>
    <row r="251" ht="9" customHeight="1" x14ac:dyDescent="0.4"/>
    <row r="252" ht="9" customHeight="1" x14ac:dyDescent="0.4"/>
    <row r="253" ht="9" customHeight="1" x14ac:dyDescent="0.4"/>
    <row r="254" ht="9" customHeight="1" x14ac:dyDescent="0.4"/>
    <row r="255" ht="9" customHeight="1" x14ac:dyDescent="0.4"/>
    <row r="256" ht="9" customHeight="1" x14ac:dyDescent="0.4"/>
    <row r="257" ht="9" customHeight="1" x14ac:dyDescent="0.4"/>
    <row r="258" ht="9" customHeight="1" x14ac:dyDescent="0.4"/>
    <row r="259" ht="9" customHeight="1" x14ac:dyDescent="0.4"/>
    <row r="260" ht="9" customHeight="1" x14ac:dyDescent="0.4"/>
    <row r="261" ht="9" customHeight="1" x14ac:dyDescent="0.4"/>
    <row r="262" ht="9" customHeight="1" x14ac:dyDescent="0.4"/>
    <row r="263" ht="9" customHeight="1" x14ac:dyDescent="0.4"/>
    <row r="264" ht="9" customHeight="1" x14ac:dyDescent="0.4"/>
    <row r="265" ht="9" customHeight="1" x14ac:dyDescent="0.4"/>
    <row r="266" ht="9" customHeight="1" x14ac:dyDescent="0.4"/>
    <row r="267" ht="9" customHeight="1" x14ac:dyDescent="0.4"/>
    <row r="268" ht="9" customHeight="1" x14ac:dyDescent="0.4"/>
    <row r="269" ht="9" customHeight="1" x14ac:dyDescent="0.4"/>
    <row r="270" ht="9" customHeight="1" x14ac:dyDescent="0.4"/>
    <row r="271" ht="9" customHeight="1" x14ac:dyDescent="0.4"/>
    <row r="272" ht="9" customHeight="1" x14ac:dyDescent="0.4"/>
    <row r="273" ht="9" customHeight="1" x14ac:dyDescent="0.4"/>
    <row r="274" ht="9" customHeight="1" x14ac:dyDescent="0.4"/>
    <row r="275" ht="9" customHeight="1" x14ac:dyDescent="0.4"/>
    <row r="276" ht="9" customHeight="1" x14ac:dyDescent="0.4"/>
    <row r="277" ht="9" customHeight="1" x14ac:dyDescent="0.4"/>
    <row r="278" ht="9" customHeight="1" x14ac:dyDescent="0.4"/>
    <row r="279" ht="9" customHeight="1" x14ac:dyDescent="0.4"/>
    <row r="280" ht="9" customHeight="1" x14ac:dyDescent="0.4"/>
    <row r="281" ht="9" customHeight="1" x14ac:dyDescent="0.4"/>
    <row r="282" ht="9" customHeight="1" x14ac:dyDescent="0.4"/>
    <row r="283" ht="9" customHeight="1" x14ac:dyDescent="0.4"/>
    <row r="284" ht="9" customHeight="1" x14ac:dyDescent="0.4"/>
    <row r="285" ht="9" customHeight="1" x14ac:dyDescent="0.4"/>
    <row r="286" ht="9" customHeight="1" x14ac:dyDescent="0.4"/>
    <row r="287" ht="9" customHeight="1" x14ac:dyDescent="0.4"/>
    <row r="288" ht="9" customHeight="1" x14ac:dyDescent="0.4"/>
    <row r="289" ht="9" customHeight="1" x14ac:dyDescent="0.4"/>
    <row r="290" ht="9" customHeight="1" x14ac:dyDescent="0.4"/>
    <row r="291" ht="9" customHeight="1" x14ac:dyDescent="0.4"/>
    <row r="292" ht="9" customHeight="1" x14ac:dyDescent="0.4"/>
    <row r="293" ht="9" customHeight="1" x14ac:dyDescent="0.4"/>
    <row r="294" ht="9" customHeight="1" x14ac:dyDescent="0.4"/>
    <row r="295" ht="9" customHeight="1" x14ac:dyDescent="0.4"/>
    <row r="296" ht="9" customHeight="1" x14ac:dyDescent="0.4"/>
    <row r="297" ht="9" customHeight="1" x14ac:dyDescent="0.4"/>
    <row r="298" ht="9" customHeight="1" x14ac:dyDescent="0.4"/>
    <row r="299" ht="9" customHeight="1" x14ac:dyDescent="0.4"/>
    <row r="300" ht="9" customHeight="1" x14ac:dyDescent="0.4"/>
    <row r="301" ht="9" customHeight="1" x14ac:dyDescent="0.4"/>
    <row r="302" ht="9" customHeight="1" x14ac:dyDescent="0.4"/>
    <row r="303" ht="9" customHeight="1" x14ac:dyDescent="0.4"/>
    <row r="304" ht="9" customHeight="1" x14ac:dyDescent="0.4"/>
    <row r="305" ht="9" customHeight="1" x14ac:dyDescent="0.4"/>
    <row r="306" ht="9" customHeight="1" x14ac:dyDescent="0.4"/>
    <row r="307" ht="9" customHeight="1" x14ac:dyDescent="0.4"/>
    <row r="308" ht="9" customHeight="1" x14ac:dyDescent="0.4"/>
    <row r="309" ht="9" customHeight="1" x14ac:dyDescent="0.4"/>
    <row r="310" ht="9" customHeight="1" x14ac:dyDescent="0.4"/>
    <row r="311" ht="9" customHeight="1" x14ac:dyDescent="0.4"/>
    <row r="312" ht="9" customHeight="1" x14ac:dyDescent="0.4"/>
    <row r="313" ht="9" customHeight="1" x14ac:dyDescent="0.4"/>
    <row r="314" ht="9" customHeight="1" x14ac:dyDescent="0.4"/>
    <row r="315" ht="9" customHeight="1" x14ac:dyDescent="0.4"/>
    <row r="316" ht="9" customHeight="1" x14ac:dyDescent="0.4"/>
    <row r="317" ht="9" customHeight="1" x14ac:dyDescent="0.4"/>
    <row r="318" ht="9" customHeight="1" x14ac:dyDescent="0.4"/>
    <row r="319" ht="9" customHeight="1" x14ac:dyDescent="0.4"/>
    <row r="320" ht="9" customHeight="1" x14ac:dyDescent="0.4"/>
    <row r="321" ht="9" customHeight="1" x14ac:dyDescent="0.4"/>
    <row r="322" ht="9" customHeight="1" x14ac:dyDescent="0.4"/>
    <row r="323" ht="9" customHeight="1" x14ac:dyDescent="0.4"/>
    <row r="324" ht="9" customHeight="1" x14ac:dyDescent="0.4"/>
    <row r="325" ht="9" customHeight="1" x14ac:dyDescent="0.4"/>
    <row r="326" ht="9" customHeight="1" x14ac:dyDescent="0.4"/>
    <row r="327" ht="9" customHeight="1" x14ac:dyDescent="0.4"/>
    <row r="328" ht="9" customHeight="1" x14ac:dyDescent="0.4"/>
    <row r="329" ht="9" customHeight="1" x14ac:dyDescent="0.4"/>
    <row r="330" ht="9" customHeight="1" x14ac:dyDescent="0.4"/>
    <row r="331" ht="9" customHeight="1" x14ac:dyDescent="0.4"/>
    <row r="332" ht="9" customHeight="1" x14ac:dyDescent="0.4"/>
    <row r="333" ht="9" customHeight="1" x14ac:dyDescent="0.4"/>
    <row r="334" ht="9" customHeight="1" x14ac:dyDescent="0.4"/>
    <row r="335" ht="9" customHeight="1" x14ac:dyDescent="0.4"/>
    <row r="336" ht="9" customHeight="1" x14ac:dyDescent="0.4"/>
    <row r="337" ht="9" customHeight="1" x14ac:dyDescent="0.4"/>
    <row r="338" ht="9" customHeight="1" x14ac:dyDescent="0.4"/>
    <row r="339" ht="9" customHeight="1" x14ac:dyDescent="0.4"/>
    <row r="340" ht="9" customHeight="1" x14ac:dyDescent="0.4"/>
    <row r="341" ht="9" customHeight="1" x14ac:dyDescent="0.4"/>
    <row r="342" ht="9" customHeight="1" x14ac:dyDescent="0.4"/>
  </sheetData>
  <mergeCells count="152">
    <mergeCell ref="B1:X4"/>
    <mergeCell ref="S5:X6"/>
    <mergeCell ref="V11:V12"/>
    <mergeCell ref="S11:S12"/>
    <mergeCell ref="O5:Q6"/>
    <mergeCell ref="E11:O12"/>
    <mergeCell ref="F8:R10"/>
    <mergeCell ref="I53:M55"/>
    <mergeCell ref="N52:X52"/>
    <mergeCell ref="N53:X55"/>
    <mergeCell ref="B48:C51"/>
    <mergeCell ref="S50:X51"/>
    <mergeCell ref="D22:D23"/>
    <mergeCell ref="J22:J23"/>
    <mergeCell ref="D17:H20"/>
    <mergeCell ref="I17:N20"/>
    <mergeCell ref="D21:I21"/>
    <mergeCell ref="D24:D25"/>
    <mergeCell ref="J24:J25"/>
    <mergeCell ref="R40:S41"/>
    <mergeCell ref="R42:S43"/>
    <mergeCell ref="R44:S45"/>
    <mergeCell ref="T40:X41"/>
    <mergeCell ref="T42:X43"/>
    <mergeCell ref="B46:C47"/>
    <mergeCell ref="S46:X47"/>
    <mergeCell ref="E69:X72"/>
    <mergeCell ref="E73:X73"/>
    <mergeCell ref="B103:X103"/>
    <mergeCell ref="H66:I66"/>
    <mergeCell ref="K66:M66"/>
    <mergeCell ref="N66:O66"/>
    <mergeCell ref="P66:T66"/>
    <mergeCell ref="V66:X66"/>
    <mergeCell ref="B62:H63"/>
    <mergeCell ref="M62:M63"/>
    <mergeCell ref="N62:O63"/>
    <mergeCell ref="X62:X63"/>
    <mergeCell ref="P62:S63"/>
    <mergeCell ref="T86:V86"/>
    <mergeCell ref="I85:M85"/>
    <mergeCell ref="S80:U80"/>
    <mergeCell ref="S81:U81"/>
    <mergeCell ref="S82:U82"/>
    <mergeCell ref="S83:U83"/>
    <mergeCell ref="S84:U84"/>
    <mergeCell ref="B89:X89"/>
    <mergeCell ref="D46:K47"/>
    <mergeCell ref="N90:P90"/>
    <mergeCell ref="N91:P91"/>
    <mergeCell ref="B90:H90"/>
    <mergeCell ref="B91:H91"/>
    <mergeCell ref="B87:H87"/>
    <mergeCell ref="N87:R87"/>
    <mergeCell ref="S87:X87"/>
    <mergeCell ref="I86:M86"/>
    <mergeCell ref="S79:X79"/>
    <mergeCell ref="B85:H85"/>
    <mergeCell ref="B86:H86"/>
    <mergeCell ref="N86:P86"/>
    <mergeCell ref="R86:S86"/>
    <mergeCell ref="N85:P85"/>
    <mergeCell ref="R85:S85"/>
    <mergeCell ref="T85:V85"/>
    <mergeCell ref="V80:W80"/>
    <mergeCell ref="V81:W81"/>
    <mergeCell ref="B64:D84"/>
    <mergeCell ref="E74:X78"/>
    <mergeCell ref="E79:R79"/>
    <mergeCell ref="E80:R84"/>
    <mergeCell ref="B26:C32"/>
    <mergeCell ref="T34:X36"/>
    <mergeCell ref="D34:E36"/>
    <mergeCell ref="D37:E39"/>
    <mergeCell ref="F37:J39"/>
    <mergeCell ref="T37:X39"/>
    <mergeCell ref="R37:S39"/>
    <mergeCell ref="K37:Q39"/>
    <mergeCell ref="K21:T21"/>
    <mergeCell ref="K22:T23"/>
    <mergeCell ref="K24:T25"/>
    <mergeCell ref="R34:S36"/>
    <mergeCell ref="D29:I30"/>
    <mergeCell ref="D31:I32"/>
    <mergeCell ref="J27:P28"/>
    <mergeCell ref="J29:P30"/>
    <mergeCell ref="J31:P32"/>
    <mergeCell ref="D27:I28"/>
    <mergeCell ref="D26:P26"/>
    <mergeCell ref="B33:C45"/>
    <mergeCell ref="T44:X45"/>
    <mergeCell ref="Q26:X26"/>
    <mergeCell ref="Q27:X32"/>
    <mergeCell ref="T33:X33"/>
    <mergeCell ref="T11:U12"/>
    <mergeCell ref="S13:X16"/>
    <mergeCell ref="W11:X12"/>
    <mergeCell ref="B7:C10"/>
    <mergeCell ref="B11:C12"/>
    <mergeCell ref="E22:I23"/>
    <mergeCell ref="E24:I25"/>
    <mergeCell ref="O19:X20"/>
    <mergeCell ref="U21:X21"/>
    <mergeCell ref="U22:X23"/>
    <mergeCell ref="U24:X25"/>
    <mergeCell ref="D7:E7"/>
    <mergeCell ref="F7:X7"/>
    <mergeCell ref="S8:S10"/>
    <mergeCell ref="T9:V9"/>
    <mergeCell ref="W8:X10"/>
    <mergeCell ref="O17:X18"/>
    <mergeCell ref="B13:C16"/>
    <mergeCell ref="B17:C20"/>
    <mergeCell ref="B21:C25"/>
    <mergeCell ref="E13:R16"/>
    <mergeCell ref="D40:E45"/>
    <mergeCell ref="F40:J41"/>
    <mergeCell ref="F42:J43"/>
    <mergeCell ref="F44:J45"/>
    <mergeCell ref="K40:Q41"/>
    <mergeCell ref="K42:Q43"/>
    <mergeCell ref="K44:Q45"/>
    <mergeCell ref="P46:R47"/>
    <mergeCell ref="D33:J33"/>
    <mergeCell ref="F34:J36"/>
    <mergeCell ref="K33:S33"/>
    <mergeCell ref="K34:Q36"/>
    <mergeCell ref="L46:O47"/>
    <mergeCell ref="I62:L63"/>
    <mergeCell ref="P48:R49"/>
    <mergeCell ref="P50:R51"/>
    <mergeCell ref="S48:X49"/>
    <mergeCell ref="V82:W82"/>
    <mergeCell ref="V83:W83"/>
    <mergeCell ref="V84:W84"/>
    <mergeCell ref="E64:X64"/>
    <mergeCell ref="E65:X65"/>
    <mergeCell ref="E68:X68"/>
    <mergeCell ref="B58:X58"/>
    <mergeCell ref="B60:X61"/>
    <mergeCell ref="M56:X57"/>
    <mergeCell ref="B52:H52"/>
    <mergeCell ref="B53:H55"/>
    <mergeCell ref="I52:M52"/>
    <mergeCell ref="T62:W63"/>
    <mergeCell ref="E67:X67"/>
    <mergeCell ref="D48:E51"/>
    <mergeCell ref="F48:G49"/>
    <mergeCell ref="F50:G51"/>
    <mergeCell ref="H48:L49"/>
    <mergeCell ref="H50:L51"/>
    <mergeCell ref="M48:O51"/>
  </mergeCells>
  <phoneticPr fontId="1"/>
  <pageMargins left="0.47244094488188981" right="0.47244094488188981" top="0.74803149606299213" bottom="0.74803149606299213" header="0.31496062992125984" footer="0.31496062992125984"/>
  <pageSetup paperSize="9" scale="89"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6</xdr:col>
                    <xdr:colOff>114300</xdr:colOff>
                    <xdr:row>65</xdr:row>
                    <xdr:rowOff>9525</xdr:rowOff>
                  </from>
                  <to>
                    <xdr:col>7</xdr:col>
                    <xdr:colOff>0</xdr:colOff>
                    <xdr:row>66</xdr:row>
                    <xdr:rowOff>0</xdr:rowOff>
                  </to>
                </anchor>
              </controlPr>
            </control>
          </mc:Choice>
        </mc:AlternateContent>
        <mc:AlternateContent xmlns:mc="http://schemas.openxmlformats.org/markup-compatibility/2006">
          <mc:Choice Requires="x14">
            <control shapeId="49154" r:id="rId5" name="Check Box 2">
              <controlPr defaultSize="0" autoFill="0" autoLine="0" autoPict="0">
                <anchor moveWithCells="1">
                  <from>
                    <xdr:col>9</xdr:col>
                    <xdr:colOff>123825</xdr:colOff>
                    <xdr:row>65</xdr:row>
                    <xdr:rowOff>9525</xdr:rowOff>
                  </from>
                  <to>
                    <xdr:col>10</xdr:col>
                    <xdr:colOff>9525</xdr:colOff>
                    <xdr:row>66</xdr:row>
                    <xdr:rowOff>0</xdr:rowOff>
                  </to>
                </anchor>
              </controlPr>
            </control>
          </mc:Choice>
        </mc:AlternateContent>
        <mc:AlternateContent xmlns:mc="http://schemas.openxmlformats.org/markup-compatibility/2006">
          <mc:Choice Requires="x14">
            <control shapeId="49157" r:id="rId6" name="Check Box 5">
              <controlPr defaultSize="0" autoFill="0" autoLine="0" autoPict="0">
                <anchor moveWithCells="1">
                  <from>
                    <xdr:col>13</xdr:col>
                    <xdr:colOff>114300</xdr:colOff>
                    <xdr:row>65</xdr:row>
                    <xdr:rowOff>9525</xdr:rowOff>
                  </from>
                  <to>
                    <xdr:col>15</xdr:col>
                    <xdr:colOff>0</xdr:colOff>
                    <xdr:row>66</xdr:row>
                    <xdr:rowOff>0</xdr:rowOff>
                  </to>
                </anchor>
              </controlPr>
            </control>
          </mc:Choice>
        </mc:AlternateContent>
        <mc:AlternateContent xmlns:mc="http://schemas.openxmlformats.org/markup-compatibility/2006">
          <mc:Choice Requires="x14">
            <control shapeId="49158" r:id="rId7" name="Check Box 6">
              <controlPr defaultSize="0" autoFill="0" autoLine="0" autoPict="0">
                <anchor moveWithCells="1">
                  <from>
                    <xdr:col>20</xdr:col>
                    <xdr:colOff>9525</xdr:colOff>
                    <xdr:row>65</xdr:row>
                    <xdr:rowOff>9525</xdr:rowOff>
                  </from>
                  <to>
                    <xdr:col>21</xdr:col>
                    <xdr:colOff>104775</xdr:colOff>
                    <xdr:row>66</xdr:row>
                    <xdr:rowOff>0</xdr:rowOff>
                  </to>
                </anchor>
              </controlPr>
            </control>
          </mc:Choice>
        </mc:AlternateContent>
        <mc:AlternateContent xmlns:mc="http://schemas.openxmlformats.org/markup-compatibility/2006">
          <mc:Choice Requires="x14">
            <control shapeId="49159" r:id="rId8" name="Check Box 7">
              <controlPr defaultSize="0" autoFill="0" autoLine="0" autoPict="0">
                <anchor moveWithCells="1">
                  <from>
                    <xdr:col>8</xdr:col>
                    <xdr:colOff>114300</xdr:colOff>
                    <xdr:row>86</xdr:row>
                    <xdr:rowOff>28575</xdr:rowOff>
                  </from>
                  <to>
                    <xdr:col>9</xdr:col>
                    <xdr:colOff>0</xdr:colOff>
                    <xdr:row>86</xdr:row>
                    <xdr:rowOff>276225</xdr:rowOff>
                  </to>
                </anchor>
              </controlPr>
            </control>
          </mc:Choice>
        </mc:AlternateContent>
        <mc:AlternateContent xmlns:mc="http://schemas.openxmlformats.org/markup-compatibility/2006">
          <mc:Choice Requires="x14">
            <control shapeId="49160" r:id="rId9" name="Check Box 8">
              <controlPr defaultSize="0" autoFill="0" autoLine="0" autoPict="0">
                <anchor moveWithCells="1">
                  <from>
                    <xdr:col>10</xdr:col>
                    <xdr:colOff>114300</xdr:colOff>
                    <xdr:row>86</xdr:row>
                    <xdr:rowOff>19050</xdr:rowOff>
                  </from>
                  <to>
                    <xdr:col>11</xdr:col>
                    <xdr:colOff>0</xdr:colOff>
                    <xdr:row>86</xdr:row>
                    <xdr:rowOff>266700</xdr:rowOff>
                  </to>
                </anchor>
              </controlPr>
            </control>
          </mc:Choice>
        </mc:AlternateContent>
        <mc:AlternateContent xmlns:mc="http://schemas.openxmlformats.org/markup-compatibility/2006">
          <mc:Choice Requires="x14">
            <control shapeId="49161" r:id="rId10" name="Check Box 9">
              <controlPr defaultSize="0" autoFill="0" autoLine="0" autoPict="0">
                <anchor moveWithCells="1">
                  <from>
                    <xdr:col>17</xdr:col>
                    <xdr:colOff>114300</xdr:colOff>
                    <xdr:row>85</xdr:row>
                    <xdr:rowOff>28575</xdr:rowOff>
                  </from>
                  <to>
                    <xdr:col>19</xdr:col>
                    <xdr:colOff>0</xdr:colOff>
                    <xdr:row>85</xdr:row>
                    <xdr:rowOff>276225</xdr:rowOff>
                  </to>
                </anchor>
              </controlPr>
            </control>
          </mc:Choice>
        </mc:AlternateContent>
        <mc:AlternateContent xmlns:mc="http://schemas.openxmlformats.org/markup-compatibility/2006">
          <mc:Choice Requires="x14">
            <control shapeId="49162" r:id="rId11" name="Check Box 10">
              <controlPr defaultSize="0" autoFill="0" autoLine="0" autoPict="0">
                <anchor moveWithCells="1">
                  <from>
                    <xdr:col>8</xdr:col>
                    <xdr:colOff>114300</xdr:colOff>
                    <xdr:row>89</xdr:row>
                    <xdr:rowOff>28575</xdr:rowOff>
                  </from>
                  <to>
                    <xdr:col>9</xdr:col>
                    <xdr:colOff>0</xdr:colOff>
                    <xdr:row>89</xdr:row>
                    <xdr:rowOff>276225</xdr:rowOff>
                  </to>
                </anchor>
              </controlPr>
            </control>
          </mc:Choice>
        </mc:AlternateContent>
        <mc:AlternateContent xmlns:mc="http://schemas.openxmlformats.org/markup-compatibility/2006">
          <mc:Choice Requires="x14">
            <control shapeId="49163" r:id="rId12" name="Check Box 11">
              <controlPr defaultSize="0" autoFill="0" autoLine="0" autoPict="0">
                <anchor moveWithCells="1">
                  <from>
                    <xdr:col>11</xdr:col>
                    <xdr:colOff>123825</xdr:colOff>
                    <xdr:row>89</xdr:row>
                    <xdr:rowOff>19050</xdr:rowOff>
                  </from>
                  <to>
                    <xdr:col>13</xdr:col>
                    <xdr:colOff>9525</xdr:colOff>
                    <xdr:row>89</xdr:row>
                    <xdr:rowOff>266700</xdr:rowOff>
                  </to>
                </anchor>
              </controlPr>
            </control>
          </mc:Choice>
        </mc:AlternateContent>
        <mc:AlternateContent xmlns:mc="http://schemas.openxmlformats.org/markup-compatibility/2006">
          <mc:Choice Requires="x14">
            <control shapeId="49164" r:id="rId13" name="Check Box 12">
              <controlPr defaultSize="0" autoFill="0" autoLine="0" autoPict="0">
                <anchor moveWithCells="1">
                  <from>
                    <xdr:col>8</xdr:col>
                    <xdr:colOff>114300</xdr:colOff>
                    <xdr:row>90</xdr:row>
                    <xdr:rowOff>28575</xdr:rowOff>
                  </from>
                  <to>
                    <xdr:col>9</xdr:col>
                    <xdr:colOff>0</xdr:colOff>
                    <xdr:row>90</xdr:row>
                    <xdr:rowOff>276225</xdr:rowOff>
                  </to>
                </anchor>
              </controlPr>
            </control>
          </mc:Choice>
        </mc:AlternateContent>
        <mc:AlternateContent xmlns:mc="http://schemas.openxmlformats.org/markup-compatibility/2006">
          <mc:Choice Requires="x14">
            <control shapeId="49165" r:id="rId14" name="Check Box 13">
              <controlPr defaultSize="0" autoFill="0" autoLine="0" autoPict="0">
                <anchor moveWithCells="1">
                  <from>
                    <xdr:col>11</xdr:col>
                    <xdr:colOff>123825</xdr:colOff>
                    <xdr:row>90</xdr:row>
                    <xdr:rowOff>19050</xdr:rowOff>
                  </from>
                  <to>
                    <xdr:col>13</xdr:col>
                    <xdr:colOff>9525</xdr:colOff>
                    <xdr:row>90</xdr:row>
                    <xdr:rowOff>266700</xdr:rowOff>
                  </to>
                </anchor>
              </controlPr>
            </control>
          </mc:Choice>
        </mc:AlternateContent>
        <mc:AlternateContent xmlns:mc="http://schemas.openxmlformats.org/markup-compatibility/2006">
          <mc:Choice Requires="x14">
            <control shapeId="49166" r:id="rId15" name="Check Box 14">
              <controlPr defaultSize="0" autoFill="0" autoLine="0" autoPict="0">
                <anchor moveWithCells="1">
                  <from>
                    <xdr:col>2</xdr:col>
                    <xdr:colOff>114300</xdr:colOff>
                    <xdr:row>92</xdr:row>
                    <xdr:rowOff>0</xdr:rowOff>
                  </from>
                  <to>
                    <xdr:col>3</xdr:col>
                    <xdr:colOff>0</xdr:colOff>
                    <xdr:row>92</xdr:row>
                    <xdr:rowOff>247650</xdr:rowOff>
                  </to>
                </anchor>
              </controlPr>
            </control>
          </mc:Choice>
        </mc:AlternateContent>
        <mc:AlternateContent xmlns:mc="http://schemas.openxmlformats.org/markup-compatibility/2006">
          <mc:Choice Requires="x14">
            <control shapeId="49167" r:id="rId16" name="Check Box 15">
              <controlPr defaultSize="0" autoFill="0" autoLine="0" autoPict="0">
                <anchor moveWithCells="1">
                  <from>
                    <xdr:col>2</xdr:col>
                    <xdr:colOff>114300</xdr:colOff>
                    <xdr:row>93</xdr:row>
                    <xdr:rowOff>0</xdr:rowOff>
                  </from>
                  <to>
                    <xdr:col>3</xdr:col>
                    <xdr:colOff>0</xdr:colOff>
                    <xdr:row>93</xdr:row>
                    <xdr:rowOff>247650</xdr:rowOff>
                  </to>
                </anchor>
              </controlPr>
            </control>
          </mc:Choice>
        </mc:AlternateContent>
        <mc:AlternateContent xmlns:mc="http://schemas.openxmlformats.org/markup-compatibility/2006">
          <mc:Choice Requires="x14">
            <control shapeId="49168" r:id="rId17" name="Check Box 16">
              <controlPr defaultSize="0" autoFill="0" autoLine="0" autoPict="0">
                <anchor moveWithCells="1">
                  <from>
                    <xdr:col>2</xdr:col>
                    <xdr:colOff>114300</xdr:colOff>
                    <xdr:row>94</xdr:row>
                    <xdr:rowOff>0</xdr:rowOff>
                  </from>
                  <to>
                    <xdr:col>3</xdr:col>
                    <xdr:colOff>0</xdr:colOff>
                    <xdr:row>94</xdr:row>
                    <xdr:rowOff>247650</xdr:rowOff>
                  </to>
                </anchor>
              </controlPr>
            </control>
          </mc:Choice>
        </mc:AlternateContent>
        <mc:AlternateContent xmlns:mc="http://schemas.openxmlformats.org/markup-compatibility/2006">
          <mc:Choice Requires="x14">
            <control shapeId="49169" r:id="rId18" name="Check Box 17">
              <controlPr defaultSize="0" autoFill="0" autoLine="0" autoPict="0">
                <anchor moveWithCells="1">
                  <from>
                    <xdr:col>2</xdr:col>
                    <xdr:colOff>114300</xdr:colOff>
                    <xdr:row>95</xdr:row>
                    <xdr:rowOff>0</xdr:rowOff>
                  </from>
                  <to>
                    <xdr:col>3</xdr:col>
                    <xdr:colOff>0</xdr:colOff>
                    <xdr:row>95</xdr:row>
                    <xdr:rowOff>247650</xdr:rowOff>
                  </to>
                </anchor>
              </controlPr>
            </control>
          </mc:Choice>
        </mc:AlternateContent>
        <mc:AlternateContent xmlns:mc="http://schemas.openxmlformats.org/markup-compatibility/2006">
          <mc:Choice Requires="x14">
            <control shapeId="49170" r:id="rId19" name="Check Box 18">
              <controlPr defaultSize="0" autoFill="0" autoLine="0" autoPict="0">
                <anchor moveWithCells="1">
                  <from>
                    <xdr:col>2</xdr:col>
                    <xdr:colOff>114300</xdr:colOff>
                    <xdr:row>96</xdr:row>
                    <xdr:rowOff>0</xdr:rowOff>
                  </from>
                  <to>
                    <xdr:col>3</xdr:col>
                    <xdr:colOff>0</xdr:colOff>
                    <xdr:row>96</xdr:row>
                    <xdr:rowOff>247650</xdr:rowOff>
                  </to>
                </anchor>
              </controlPr>
            </control>
          </mc:Choice>
        </mc:AlternateContent>
        <mc:AlternateContent xmlns:mc="http://schemas.openxmlformats.org/markup-compatibility/2006">
          <mc:Choice Requires="x14">
            <control shapeId="49172" r:id="rId20" name="Check Box 20">
              <controlPr defaultSize="0" autoFill="0" autoLine="0" autoPict="0">
                <anchor moveWithCells="1">
                  <from>
                    <xdr:col>2</xdr:col>
                    <xdr:colOff>114300</xdr:colOff>
                    <xdr:row>99</xdr:row>
                    <xdr:rowOff>0</xdr:rowOff>
                  </from>
                  <to>
                    <xdr:col>3</xdr:col>
                    <xdr:colOff>0</xdr:colOff>
                    <xdr:row>99</xdr:row>
                    <xdr:rowOff>247650</xdr:rowOff>
                  </to>
                </anchor>
              </controlPr>
            </control>
          </mc:Choice>
        </mc:AlternateContent>
        <mc:AlternateContent xmlns:mc="http://schemas.openxmlformats.org/markup-compatibility/2006">
          <mc:Choice Requires="x14">
            <control shapeId="49173" r:id="rId21" name="Check Box 21">
              <controlPr defaultSize="0" autoFill="0" autoLine="0" autoPict="0">
                <anchor moveWithCells="1">
                  <from>
                    <xdr:col>2</xdr:col>
                    <xdr:colOff>114300</xdr:colOff>
                    <xdr:row>100</xdr:row>
                    <xdr:rowOff>0</xdr:rowOff>
                  </from>
                  <to>
                    <xdr:col>3</xdr:col>
                    <xdr:colOff>0</xdr:colOff>
                    <xdr:row>100</xdr:row>
                    <xdr:rowOff>247650</xdr:rowOff>
                  </to>
                </anchor>
              </controlPr>
            </control>
          </mc:Choice>
        </mc:AlternateContent>
        <mc:AlternateContent xmlns:mc="http://schemas.openxmlformats.org/markup-compatibility/2006">
          <mc:Choice Requires="x14">
            <control shapeId="49174" r:id="rId22" name="Check Box 22">
              <controlPr defaultSize="0" autoFill="0" autoLine="0" autoPict="0">
                <anchor moveWithCells="1">
                  <from>
                    <xdr:col>2</xdr:col>
                    <xdr:colOff>114300</xdr:colOff>
                    <xdr:row>101</xdr:row>
                    <xdr:rowOff>0</xdr:rowOff>
                  </from>
                  <to>
                    <xdr:col>3</xdr:col>
                    <xdr:colOff>0</xdr:colOff>
                    <xdr:row>101</xdr:row>
                    <xdr:rowOff>247650</xdr:rowOff>
                  </to>
                </anchor>
              </controlPr>
            </control>
          </mc:Choice>
        </mc:AlternateContent>
        <mc:AlternateContent xmlns:mc="http://schemas.openxmlformats.org/markup-compatibility/2006">
          <mc:Choice Requires="x14">
            <control shapeId="49175" r:id="rId23" name="Check Box 23">
              <controlPr defaultSize="0" autoFill="0" autoLine="0" autoPict="0">
                <anchor moveWithCells="1">
                  <from>
                    <xdr:col>17</xdr:col>
                    <xdr:colOff>114300</xdr:colOff>
                    <xdr:row>84</xdr:row>
                    <xdr:rowOff>28575</xdr:rowOff>
                  </from>
                  <to>
                    <xdr:col>19</xdr:col>
                    <xdr:colOff>0</xdr:colOff>
                    <xdr:row>84</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E99C7-637B-405A-A154-C0FF5915C191}">
  <sheetPr codeName="Sheet20">
    <tabColor rgb="FF0563C1"/>
    <pageSetUpPr fitToPage="1"/>
  </sheetPr>
  <dimension ref="B1:P27"/>
  <sheetViews>
    <sheetView zoomScaleNormal="100" zoomScaleSheetLayoutView="100" workbookViewId="0">
      <selection activeCell="I25" sqref="I25"/>
    </sheetView>
  </sheetViews>
  <sheetFormatPr defaultRowHeight="18.75" x14ac:dyDescent="0.4"/>
  <cols>
    <col min="1" max="1" width="2.875" customWidth="1"/>
    <col min="2" max="3" width="5.25" customWidth="1"/>
    <col min="4" max="4" width="24.75" customWidth="1"/>
    <col min="5" max="5" width="16.25" customWidth="1"/>
    <col min="6" max="6" width="3.125" customWidth="1"/>
    <col min="7" max="8" width="5.25" customWidth="1"/>
    <col min="9" max="9" width="24.75" customWidth="1"/>
    <col min="10" max="10" width="16.25" customWidth="1"/>
    <col min="11" max="11" width="3.125" customWidth="1"/>
    <col min="12" max="13" width="5.25" customWidth="1"/>
    <col min="14" max="14" width="24.75" customWidth="1"/>
    <col min="15" max="15" width="16.25" customWidth="1"/>
    <col min="16" max="16" width="3.125" customWidth="1"/>
    <col min="17" max="17" width="46.25" customWidth="1"/>
  </cols>
  <sheetData>
    <row r="1" spans="2:16" ht="30" customHeight="1" x14ac:dyDescent="0.4">
      <c r="B1" s="631">
        <f>'（最新）アセスメントシート'!D5</f>
        <v>0</v>
      </c>
      <c r="C1" s="631"/>
      <c r="D1" s="631"/>
      <c r="E1" s="390" t="s">
        <v>1188</v>
      </c>
    </row>
    <row r="2" spans="2:16" ht="11.25" customHeight="1" x14ac:dyDescent="0.4"/>
    <row r="3" spans="2:16" ht="24" customHeight="1" x14ac:dyDescent="0.4">
      <c r="B3" s="596" t="s">
        <v>1022</v>
      </c>
      <c r="C3" s="596"/>
      <c r="D3" s="596"/>
      <c r="E3" s="596"/>
      <c r="G3" s="596" t="s">
        <v>1025</v>
      </c>
      <c r="H3" s="596"/>
      <c r="I3" s="596"/>
      <c r="J3" s="596"/>
      <c r="L3" s="596" t="s">
        <v>1035</v>
      </c>
      <c r="M3" s="596"/>
      <c r="N3" s="596"/>
      <c r="O3" s="596"/>
    </row>
    <row r="4" spans="2:16" ht="20.25" customHeight="1" x14ac:dyDescent="0.4">
      <c r="B4" s="602" t="s">
        <v>1008</v>
      </c>
      <c r="C4" s="603"/>
      <c r="D4" s="603"/>
      <c r="E4" s="604"/>
      <c r="F4" s="303"/>
      <c r="G4" s="602" t="s">
        <v>1034</v>
      </c>
      <c r="H4" s="603"/>
      <c r="I4" s="603"/>
      <c r="J4" s="604"/>
      <c r="K4" s="351"/>
      <c r="L4" s="602" t="s">
        <v>1034</v>
      </c>
      <c r="M4" s="603"/>
      <c r="N4" s="603"/>
      <c r="O4" s="604"/>
      <c r="P4" s="303"/>
    </row>
    <row r="5" spans="2:16" ht="20.25" customHeight="1" x14ac:dyDescent="0.4">
      <c r="B5" s="343"/>
      <c r="C5" s="615" t="s">
        <v>1009</v>
      </c>
      <c r="D5" s="616"/>
      <c r="E5" s="617"/>
      <c r="F5" s="303"/>
      <c r="G5" s="605"/>
      <c r="H5" s="632" t="s">
        <v>941</v>
      </c>
      <c r="I5" s="633"/>
      <c r="J5" s="634"/>
      <c r="K5" s="352"/>
      <c r="L5" s="605"/>
      <c r="M5" s="607" t="s">
        <v>1036</v>
      </c>
      <c r="N5" s="608"/>
      <c r="O5" s="609"/>
      <c r="P5" s="303"/>
    </row>
    <row r="6" spans="2:16" ht="20.25" customHeight="1" x14ac:dyDescent="0.4">
      <c r="B6" s="344"/>
      <c r="C6" s="618" t="s">
        <v>1010</v>
      </c>
      <c r="D6" s="619"/>
      <c r="E6" s="601"/>
      <c r="F6" s="303"/>
      <c r="G6" s="606"/>
      <c r="H6" s="635"/>
      <c r="I6" s="636"/>
      <c r="J6" s="637"/>
      <c r="K6" s="352"/>
      <c r="L6" s="606"/>
      <c r="M6" s="610"/>
      <c r="N6" s="611"/>
      <c r="O6" s="612"/>
      <c r="P6" s="303"/>
    </row>
    <row r="7" spans="2:16" ht="20.25" customHeight="1" x14ac:dyDescent="0.4">
      <c r="B7" s="344"/>
      <c r="C7" s="620" t="s">
        <v>1176</v>
      </c>
      <c r="D7" s="621"/>
      <c r="E7" s="622"/>
      <c r="F7" s="303"/>
      <c r="G7" s="602" t="s">
        <v>1033</v>
      </c>
      <c r="H7" s="603"/>
      <c r="I7" s="603"/>
      <c r="J7" s="604"/>
      <c r="K7" s="196"/>
      <c r="L7" s="344"/>
      <c r="M7" s="487" t="s">
        <v>1026</v>
      </c>
      <c r="N7" s="487"/>
      <c r="O7" s="597"/>
      <c r="P7" s="303"/>
    </row>
    <row r="8" spans="2:16" ht="20.25" customHeight="1" x14ac:dyDescent="0.4">
      <c r="B8" s="344"/>
      <c r="C8" s="618" t="s">
        <v>423</v>
      </c>
      <c r="D8" s="619"/>
      <c r="E8" s="601"/>
      <c r="F8" s="303"/>
      <c r="G8" s="343"/>
      <c r="H8" s="487" t="s">
        <v>1028</v>
      </c>
      <c r="I8" s="487"/>
      <c r="J8" s="348" t="s">
        <v>1023</v>
      </c>
      <c r="K8" s="196"/>
      <c r="L8" s="344"/>
      <c r="M8" s="487" t="s">
        <v>1027</v>
      </c>
      <c r="N8" s="487"/>
      <c r="O8" s="597"/>
      <c r="P8" s="303"/>
    </row>
    <row r="9" spans="2:16" ht="20.25" customHeight="1" x14ac:dyDescent="0.4">
      <c r="B9" s="345"/>
      <c r="C9" s="623" t="s">
        <v>1020</v>
      </c>
      <c r="D9" s="624"/>
      <c r="E9" s="625"/>
      <c r="F9" s="303"/>
      <c r="G9" s="606"/>
      <c r="H9" s="613" t="s">
        <v>938</v>
      </c>
      <c r="I9" s="614"/>
      <c r="J9" s="614"/>
      <c r="K9" s="196"/>
      <c r="L9" s="347"/>
      <c r="M9" s="487" t="s">
        <v>1029</v>
      </c>
      <c r="N9" s="487"/>
      <c r="O9" s="597"/>
      <c r="P9" s="303"/>
    </row>
    <row r="10" spans="2:16" ht="20.25" customHeight="1" x14ac:dyDescent="0.4">
      <c r="B10" s="602" t="s">
        <v>1011</v>
      </c>
      <c r="C10" s="603"/>
      <c r="D10" s="603"/>
      <c r="E10" s="604"/>
      <c r="F10" s="303"/>
      <c r="G10" s="606"/>
      <c r="H10" s="613"/>
      <c r="I10" s="614"/>
      <c r="J10" s="614"/>
      <c r="K10" s="351"/>
      <c r="L10" s="602" t="s">
        <v>1033</v>
      </c>
      <c r="M10" s="603"/>
      <c r="N10" s="603"/>
      <c r="O10" s="604"/>
      <c r="P10" s="303"/>
    </row>
    <row r="11" spans="2:16" ht="20.25" customHeight="1" x14ac:dyDescent="0.4">
      <c r="B11" s="349"/>
      <c r="C11" s="626" t="s">
        <v>1012</v>
      </c>
      <c r="D11" s="626"/>
      <c r="E11" s="627"/>
      <c r="F11" s="303"/>
      <c r="G11" s="344"/>
      <c r="H11" s="601" t="s">
        <v>423</v>
      </c>
      <c r="I11" s="601"/>
      <c r="J11" s="601"/>
      <c r="K11" s="303"/>
      <c r="L11" s="343"/>
      <c r="M11" s="487" t="s">
        <v>1028</v>
      </c>
      <c r="N11" s="487"/>
      <c r="O11" s="348" t="s">
        <v>1023</v>
      </c>
      <c r="P11" s="303"/>
    </row>
    <row r="12" spans="2:16" ht="20.25" customHeight="1" x14ac:dyDescent="0.4">
      <c r="B12" s="344"/>
      <c r="C12" s="339"/>
      <c r="D12" s="303" t="s">
        <v>1015</v>
      </c>
      <c r="E12" s="348" t="s">
        <v>1023</v>
      </c>
      <c r="F12" s="303"/>
      <c r="G12" s="602" t="s">
        <v>1032</v>
      </c>
      <c r="H12" s="603"/>
      <c r="I12" s="603"/>
      <c r="J12" s="604"/>
      <c r="K12" s="352"/>
      <c r="L12" s="606"/>
      <c r="M12" s="613" t="s">
        <v>938</v>
      </c>
      <c r="N12" s="614"/>
      <c r="O12" s="614"/>
      <c r="P12" s="303"/>
    </row>
    <row r="13" spans="2:16" ht="20.25" customHeight="1" x14ac:dyDescent="0.35">
      <c r="B13" s="346"/>
      <c r="C13" s="342"/>
      <c r="D13" s="303" t="s">
        <v>1016</v>
      </c>
      <c r="E13" s="348" t="s">
        <v>1023</v>
      </c>
      <c r="F13" s="303"/>
      <c r="G13" s="343"/>
      <c r="H13" s="487" t="s">
        <v>1030</v>
      </c>
      <c r="I13" s="487"/>
      <c r="J13" s="597"/>
      <c r="K13" s="352"/>
      <c r="L13" s="606"/>
      <c r="M13" s="613"/>
      <c r="N13" s="614"/>
      <c r="O13" s="614"/>
      <c r="P13" s="303"/>
    </row>
    <row r="14" spans="2:16" ht="20.25" customHeight="1" x14ac:dyDescent="0.4">
      <c r="B14" s="347"/>
      <c r="C14" s="340"/>
      <c r="D14" s="629" t="s">
        <v>924</v>
      </c>
      <c r="E14" s="630"/>
      <c r="G14" s="344"/>
      <c r="H14" s="487" t="s">
        <v>1031</v>
      </c>
      <c r="I14" s="487"/>
      <c r="J14" s="597"/>
      <c r="K14" s="353"/>
      <c r="L14" s="344"/>
      <c r="M14" s="601" t="s">
        <v>423</v>
      </c>
      <c r="N14" s="601"/>
      <c r="O14" s="601"/>
    </row>
    <row r="15" spans="2:16" ht="20.25" customHeight="1" x14ac:dyDescent="0.4">
      <c r="B15" s="344"/>
      <c r="D15" s="629" t="s">
        <v>1017</v>
      </c>
      <c r="E15" s="630"/>
      <c r="G15" s="344"/>
      <c r="H15" s="598" t="s">
        <v>1024</v>
      </c>
      <c r="I15" s="599"/>
      <c r="J15" s="600"/>
      <c r="K15" s="351"/>
      <c r="L15" s="602" t="s">
        <v>1032</v>
      </c>
      <c r="M15" s="603"/>
      <c r="N15" s="603"/>
      <c r="O15" s="604"/>
    </row>
    <row r="16" spans="2:16" ht="20.25" customHeight="1" x14ac:dyDescent="0.4">
      <c r="B16" s="344"/>
      <c r="C16" s="618" t="s">
        <v>939</v>
      </c>
      <c r="D16" s="619"/>
      <c r="E16" s="601"/>
      <c r="G16" s="344"/>
      <c r="H16" s="601" t="s">
        <v>939</v>
      </c>
      <c r="I16" s="601"/>
      <c r="J16" s="601"/>
      <c r="K16" s="196"/>
      <c r="L16" s="343"/>
      <c r="M16" s="487" t="s">
        <v>1030</v>
      </c>
      <c r="N16" s="487"/>
      <c r="O16" s="597"/>
    </row>
    <row r="17" spans="2:15" ht="20.25" customHeight="1" x14ac:dyDescent="0.4">
      <c r="B17" s="344"/>
      <c r="C17" s="628" t="s">
        <v>942</v>
      </c>
      <c r="D17" s="629"/>
      <c r="E17" s="630"/>
      <c r="G17" s="350"/>
      <c r="H17" s="594" t="s">
        <v>940</v>
      </c>
      <c r="I17" s="594"/>
      <c r="J17" s="595"/>
      <c r="K17" s="196"/>
      <c r="L17" s="344"/>
      <c r="M17" s="487" t="s">
        <v>1031</v>
      </c>
      <c r="N17" s="487"/>
      <c r="O17" s="597"/>
    </row>
    <row r="18" spans="2:15" ht="20.25" customHeight="1" x14ac:dyDescent="0.4">
      <c r="B18" s="344"/>
      <c r="C18" s="618" t="s">
        <v>940</v>
      </c>
      <c r="D18" s="619"/>
      <c r="E18" s="601"/>
      <c r="K18" s="353"/>
      <c r="L18" s="344"/>
      <c r="M18" s="598" t="s">
        <v>1024</v>
      </c>
      <c r="N18" s="599"/>
      <c r="O18" s="600"/>
    </row>
    <row r="19" spans="2:15" ht="20.25" customHeight="1" x14ac:dyDescent="0.4">
      <c r="B19" s="345"/>
      <c r="C19" s="598" t="s">
        <v>1024</v>
      </c>
      <c r="D19" s="599"/>
      <c r="E19" s="600"/>
      <c r="G19" s="303"/>
      <c r="K19" s="341"/>
      <c r="L19" s="344"/>
      <c r="M19" s="601" t="s">
        <v>939</v>
      </c>
      <c r="N19" s="601"/>
      <c r="O19" s="601"/>
    </row>
    <row r="20" spans="2:15" ht="20.25" customHeight="1" x14ac:dyDescent="0.4">
      <c r="B20" s="602" t="s">
        <v>1013</v>
      </c>
      <c r="C20" s="603"/>
      <c r="D20" s="603"/>
      <c r="E20" s="604"/>
      <c r="G20" s="303"/>
      <c r="K20" s="353"/>
      <c r="L20" s="350"/>
      <c r="M20" s="594" t="s">
        <v>940</v>
      </c>
      <c r="N20" s="594"/>
      <c r="O20" s="595"/>
    </row>
    <row r="21" spans="2:15" ht="20.25" customHeight="1" x14ac:dyDescent="0.4">
      <c r="B21" s="343"/>
      <c r="C21" s="607" t="s">
        <v>1014</v>
      </c>
      <c r="D21" s="608"/>
      <c r="E21" s="609"/>
      <c r="K21" s="353"/>
    </row>
    <row r="22" spans="2:15" ht="20.25" customHeight="1" x14ac:dyDescent="0.4">
      <c r="B22" s="344"/>
      <c r="C22" s="598" t="s">
        <v>1018</v>
      </c>
      <c r="D22" s="599"/>
      <c r="E22" s="600"/>
      <c r="L22" s="303"/>
    </row>
    <row r="23" spans="2:15" ht="20.25" customHeight="1" x14ac:dyDescent="0.4">
      <c r="B23" s="347"/>
      <c r="C23" s="598" t="s">
        <v>1019</v>
      </c>
      <c r="D23" s="599"/>
      <c r="E23" s="600"/>
      <c r="L23" s="303"/>
    </row>
    <row r="24" spans="2:15" ht="20.25" customHeight="1" x14ac:dyDescent="0.4">
      <c r="B24" s="640"/>
      <c r="C24" s="620" t="s">
        <v>1037</v>
      </c>
      <c r="D24" s="642"/>
      <c r="E24" s="622" t="s">
        <v>1038</v>
      </c>
    </row>
    <row r="25" spans="2:15" ht="20.25" customHeight="1" x14ac:dyDescent="0.4">
      <c r="B25" s="640"/>
      <c r="C25" s="620"/>
      <c r="D25" s="642"/>
      <c r="E25" s="641"/>
    </row>
    <row r="26" spans="2:15" ht="20.25" customHeight="1" x14ac:dyDescent="0.4">
      <c r="B26" s="643"/>
      <c r="C26" s="638" t="s">
        <v>1021</v>
      </c>
      <c r="D26" s="639"/>
      <c r="E26" s="614"/>
    </row>
    <row r="27" spans="2:15" ht="20.25" customHeight="1" x14ac:dyDescent="0.4">
      <c r="B27" s="644"/>
      <c r="C27" s="635"/>
      <c r="D27" s="636"/>
      <c r="E27" s="637"/>
    </row>
  </sheetData>
  <mergeCells count="58">
    <mergeCell ref="B1:D1"/>
    <mergeCell ref="H8:I8"/>
    <mergeCell ref="H9:J10"/>
    <mergeCell ref="H5:J6"/>
    <mergeCell ref="C26:E27"/>
    <mergeCell ref="B24:B25"/>
    <mergeCell ref="C18:E18"/>
    <mergeCell ref="E24:E25"/>
    <mergeCell ref="G5:G6"/>
    <mergeCell ref="G9:G10"/>
    <mergeCell ref="C23:E23"/>
    <mergeCell ref="C24:D25"/>
    <mergeCell ref="H16:J16"/>
    <mergeCell ref="H15:J15"/>
    <mergeCell ref="B26:B27"/>
    <mergeCell ref="C21:E21"/>
    <mergeCell ref="C22:E22"/>
    <mergeCell ref="B10:E10"/>
    <mergeCell ref="B20:E20"/>
    <mergeCell ref="D14:E14"/>
    <mergeCell ref="D15:E15"/>
    <mergeCell ref="C9:E9"/>
    <mergeCell ref="C11:E11"/>
    <mergeCell ref="C16:E16"/>
    <mergeCell ref="C17:E17"/>
    <mergeCell ref="C19:E19"/>
    <mergeCell ref="B3:E3"/>
    <mergeCell ref="C5:E5"/>
    <mergeCell ref="C6:E6"/>
    <mergeCell ref="C7:E7"/>
    <mergeCell ref="C8:E8"/>
    <mergeCell ref="B4:E4"/>
    <mergeCell ref="M14:O14"/>
    <mergeCell ref="L15:O15"/>
    <mergeCell ref="H11:J11"/>
    <mergeCell ref="H13:J13"/>
    <mergeCell ref="H14:J14"/>
    <mergeCell ref="M9:O9"/>
    <mergeCell ref="L10:O10"/>
    <mergeCell ref="M11:N11"/>
    <mergeCell ref="L12:L13"/>
    <mergeCell ref="M12:O13"/>
    <mergeCell ref="M20:O20"/>
    <mergeCell ref="G3:J3"/>
    <mergeCell ref="L3:O3"/>
    <mergeCell ref="M16:O16"/>
    <mergeCell ref="M17:O17"/>
    <mergeCell ref="M18:O18"/>
    <mergeCell ref="M19:O19"/>
    <mergeCell ref="H17:J17"/>
    <mergeCell ref="G12:J12"/>
    <mergeCell ref="G7:J7"/>
    <mergeCell ref="G4:J4"/>
    <mergeCell ref="L4:O4"/>
    <mergeCell ref="L5:L6"/>
    <mergeCell ref="M5:O6"/>
    <mergeCell ref="M7:O7"/>
    <mergeCell ref="M8:O8"/>
  </mergeCells>
  <phoneticPr fontId="1"/>
  <hyperlinks>
    <hyperlink ref="C8" location="担会案内!Print_Area" display="担当者会議案内" xr:uid="{F4A9F881-2AFF-40F6-B803-D82EC672A664}"/>
    <hyperlink ref="D26:D27" location="資料提供申請書!A1" display="資料提供申請書!A1" xr:uid="{8818595D-5E1A-4ECF-AB16-CB896A539DDB}"/>
    <hyperlink ref="C16" location="'確認書（原本）'!A1" display="居宅サービス事業所の選択に関する説明に係る確認書" xr:uid="{C8FBF9FD-5547-40B3-B1AD-CEE19D999D0C}"/>
    <hyperlink ref="H5:H6" location="更新・新規申請書!A1" display="更新・新規申請書!A1" xr:uid="{DC2F0476-6095-4D36-BADC-35B2F4CE0244}"/>
    <hyperlink ref="H9:H10" location="資料提供申請書!A1" display="資料提供申請書!A1" xr:uid="{C2C259E4-5562-4CEB-902E-FE6F8F8716E4}"/>
    <hyperlink ref="H11" location="担会案内!Print_Area" display="担当者会議案内" xr:uid="{372602D2-5A01-458C-9466-BA9B71F7A5FA}"/>
    <hyperlink ref="H16" location="'確認書（原本）'!A1" display="居宅サービス事業所の選択に関する説明に係る確認書" xr:uid="{8437B5A1-D137-4167-8E68-7888F1BFA103}"/>
    <hyperlink ref="H17" location="医療・介護連携シート!A1" display="医療介護連携シート" xr:uid="{E9FA1033-CA18-4252-BF55-662429DFEC4D}"/>
    <hyperlink ref="C6" r:id="rId1" xr:uid="{D5E36A0D-4A7F-4D5F-BA72-D905D2CE56CB}"/>
    <hyperlink ref="E24:E25" location="'居宅届 (予防)'!Print_Area" display="'居宅届 (予防)'!Print_Area" xr:uid="{EEF86536-27C2-4882-88C2-8A3B45BF6759}"/>
    <hyperlink ref="C18" location="医療・介護連携シート!A1" display="医療介護連携シート" xr:uid="{4C94BC37-2315-45B5-A1AD-66E1B6FF57F1}"/>
    <hyperlink ref="M5:M6" location="更新・新規申請書!A1" display="更新・新規申請書!A1" xr:uid="{7E4DA3D2-B76F-4581-A2C2-7EFE080CB5CC}"/>
    <hyperlink ref="M12:M13" location="資料提供申請書!A1" display="資料提供申請書!A1" xr:uid="{4AE5C2C6-9DA3-49A5-8F8C-9E915E367517}"/>
    <hyperlink ref="M14" location="担会案内!Print_Area" display="担当者会議案内" xr:uid="{6A685B8B-925B-4C8D-80AA-BFC47FF424E9}"/>
    <hyperlink ref="M19" location="'確認書（原本）'!A1" display="居宅サービス事業所の選択に関する説明に係る確認書" xr:uid="{58802FFC-2F65-45A5-8D88-1E9C85585A7F}"/>
    <hyperlink ref="M20" location="医療・介護連携シート!A1" display="医療介護連携シート" xr:uid="{97B30D51-572C-4745-B754-751867A2CC7A}"/>
    <hyperlink ref="M5:O6" location="'区分変更申請書 '!Print_Area" display="'区分変更申請書 '!Print_Area" xr:uid="{9769488F-B65F-45E0-8124-53C9E820C0B6}"/>
    <hyperlink ref="C24:D25" location="居宅届!Print_Area" display="居宅届!Print_Area" xr:uid="{EB56D1CF-9A7F-4541-ADBC-F84577ACB939}"/>
    <hyperlink ref="C21:E21" r:id="rId2" location="gid=1643144463" display="食事指示表入力" xr:uid="{64CDC804-B6CF-43CD-8DAA-2589C8846ED2}"/>
    <hyperlink ref="C7:E7" location="入退去連絡!A1" display="一色さんへ『入退去に関する連絡』を提出" xr:uid="{C58FFD56-9C14-4E03-B80B-C8A8AB88DB82}"/>
  </hyperlinks>
  <pageMargins left="0.7" right="0.7" top="0.75" bottom="0.75" header="0.3" footer="0.3"/>
  <pageSetup paperSize="9" scale="73"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8689" r:id="rId6" name="Check Box 17">
              <controlPr defaultSize="0" autoFill="0" autoLine="0" autoPict="0">
                <anchor moveWithCells="1">
                  <from>
                    <xdr:col>6</xdr:col>
                    <xdr:colOff>104775</xdr:colOff>
                    <xdr:row>7</xdr:row>
                    <xdr:rowOff>209550</xdr:rowOff>
                  </from>
                  <to>
                    <xdr:col>6</xdr:col>
                    <xdr:colOff>352425</xdr:colOff>
                    <xdr:row>10</xdr:row>
                    <xdr:rowOff>47625</xdr:rowOff>
                  </to>
                </anchor>
              </controlPr>
            </control>
          </mc:Choice>
        </mc:AlternateContent>
        <mc:AlternateContent xmlns:mc="http://schemas.openxmlformats.org/markup-compatibility/2006">
          <mc:Choice Requires="x14">
            <control shapeId="28693" r:id="rId7" name="Check Box 21">
              <controlPr defaultSize="0" autoFill="0" autoLine="0" autoPict="0">
                <anchor moveWithCells="1">
                  <from>
                    <xdr:col>6</xdr:col>
                    <xdr:colOff>104775</xdr:colOff>
                    <xdr:row>3</xdr:row>
                    <xdr:rowOff>209550</xdr:rowOff>
                  </from>
                  <to>
                    <xdr:col>6</xdr:col>
                    <xdr:colOff>352425</xdr:colOff>
                    <xdr:row>6</xdr:row>
                    <xdr:rowOff>47625</xdr:rowOff>
                  </to>
                </anchor>
              </controlPr>
            </control>
          </mc:Choice>
        </mc:AlternateContent>
        <mc:AlternateContent xmlns:mc="http://schemas.openxmlformats.org/markup-compatibility/2006">
          <mc:Choice Requires="x14">
            <control shapeId="28699" r:id="rId8" name="Check Box 27">
              <controlPr defaultSize="0" autoFill="0" autoLine="0" autoPict="0">
                <anchor moveWithCells="1">
                  <from>
                    <xdr:col>1</xdr:col>
                    <xdr:colOff>104775</xdr:colOff>
                    <xdr:row>3</xdr:row>
                    <xdr:rowOff>247650</xdr:rowOff>
                  </from>
                  <to>
                    <xdr:col>1</xdr:col>
                    <xdr:colOff>361950</xdr:colOff>
                    <xdr:row>5</xdr:row>
                    <xdr:rowOff>19050</xdr:rowOff>
                  </to>
                </anchor>
              </controlPr>
            </control>
          </mc:Choice>
        </mc:AlternateContent>
        <mc:AlternateContent xmlns:mc="http://schemas.openxmlformats.org/markup-compatibility/2006">
          <mc:Choice Requires="x14">
            <control shapeId="28700" r:id="rId9" name="Check Box 28">
              <controlPr defaultSize="0" autoFill="0" autoLine="0" autoPict="0">
                <anchor moveWithCells="1">
                  <from>
                    <xdr:col>1</xdr:col>
                    <xdr:colOff>104775</xdr:colOff>
                    <xdr:row>4</xdr:row>
                    <xdr:rowOff>247650</xdr:rowOff>
                  </from>
                  <to>
                    <xdr:col>1</xdr:col>
                    <xdr:colOff>361950</xdr:colOff>
                    <xdr:row>6</xdr:row>
                    <xdr:rowOff>19050</xdr:rowOff>
                  </to>
                </anchor>
              </controlPr>
            </control>
          </mc:Choice>
        </mc:AlternateContent>
        <mc:AlternateContent xmlns:mc="http://schemas.openxmlformats.org/markup-compatibility/2006">
          <mc:Choice Requires="x14">
            <control shapeId="28701" r:id="rId10" name="Check Box 29">
              <controlPr defaultSize="0" autoFill="0" autoLine="0" autoPict="0">
                <anchor moveWithCells="1">
                  <from>
                    <xdr:col>1</xdr:col>
                    <xdr:colOff>104775</xdr:colOff>
                    <xdr:row>5</xdr:row>
                    <xdr:rowOff>247650</xdr:rowOff>
                  </from>
                  <to>
                    <xdr:col>1</xdr:col>
                    <xdr:colOff>361950</xdr:colOff>
                    <xdr:row>7</xdr:row>
                    <xdr:rowOff>19050</xdr:rowOff>
                  </to>
                </anchor>
              </controlPr>
            </control>
          </mc:Choice>
        </mc:AlternateContent>
        <mc:AlternateContent xmlns:mc="http://schemas.openxmlformats.org/markup-compatibility/2006">
          <mc:Choice Requires="x14">
            <control shapeId="28702" r:id="rId11" name="Check Box 30">
              <controlPr defaultSize="0" autoFill="0" autoLine="0" autoPict="0">
                <anchor moveWithCells="1">
                  <from>
                    <xdr:col>1</xdr:col>
                    <xdr:colOff>104775</xdr:colOff>
                    <xdr:row>6</xdr:row>
                    <xdr:rowOff>247650</xdr:rowOff>
                  </from>
                  <to>
                    <xdr:col>1</xdr:col>
                    <xdr:colOff>361950</xdr:colOff>
                    <xdr:row>8</xdr:row>
                    <xdr:rowOff>19050</xdr:rowOff>
                  </to>
                </anchor>
              </controlPr>
            </control>
          </mc:Choice>
        </mc:AlternateContent>
        <mc:AlternateContent xmlns:mc="http://schemas.openxmlformats.org/markup-compatibility/2006">
          <mc:Choice Requires="x14">
            <control shapeId="28703" r:id="rId12" name="Check Box 31">
              <controlPr defaultSize="0" autoFill="0" autoLine="0" autoPict="0">
                <anchor moveWithCells="1">
                  <from>
                    <xdr:col>1</xdr:col>
                    <xdr:colOff>104775</xdr:colOff>
                    <xdr:row>7</xdr:row>
                    <xdr:rowOff>247650</xdr:rowOff>
                  </from>
                  <to>
                    <xdr:col>1</xdr:col>
                    <xdr:colOff>361950</xdr:colOff>
                    <xdr:row>9</xdr:row>
                    <xdr:rowOff>19050</xdr:rowOff>
                  </to>
                </anchor>
              </controlPr>
            </control>
          </mc:Choice>
        </mc:AlternateContent>
        <mc:AlternateContent xmlns:mc="http://schemas.openxmlformats.org/markup-compatibility/2006">
          <mc:Choice Requires="x14">
            <control shapeId="28704" r:id="rId13" name="Check Box 32">
              <controlPr defaultSize="0" autoFill="0" autoLine="0" autoPict="0">
                <anchor moveWithCells="1">
                  <from>
                    <xdr:col>2</xdr:col>
                    <xdr:colOff>114300</xdr:colOff>
                    <xdr:row>10</xdr:row>
                    <xdr:rowOff>247650</xdr:rowOff>
                  </from>
                  <to>
                    <xdr:col>2</xdr:col>
                    <xdr:colOff>371475</xdr:colOff>
                    <xdr:row>12</xdr:row>
                    <xdr:rowOff>19050</xdr:rowOff>
                  </to>
                </anchor>
              </controlPr>
            </control>
          </mc:Choice>
        </mc:AlternateContent>
        <mc:AlternateContent xmlns:mc="http://schemas.openxmlformats.org/markup-compatibility/2006">
          <mc:Choice Requires="x14">
            <control shapeId="28705" r:id="rId14" name="Check Box 33">
              <controlPr defaultSize="0" autoFill="0" autoLine="0" autoPict="0">
                <anchor moveWithCells="1">
                  <from>
                    <xdr:col>2</xdr:col>
                    <xdr:colOff>114300</xdr:colOff>
                    <xdr:row>11</xdr:row>
                    <xdr:rowOff>247650</xdr:rowOff>
                  </from>
                  <to>
                    <xdr:col>2</xdr:col>
                    <xdr:colOff>371475</xdr:colOff>
                    <xdr:row>13</xdr:row>
                    <xdr:rowOff>19050</xdr:rowOff>
                  </to>
                </anchor>
              </controlPr>
            </control>
          </mc:Choice>
        </mc:AlternateContent>
        <mc:AlternateContent xmlns:mc="http://schemas.openxmlformats.org/markup-compatibility/2006">
          <mc:Choice Requires="x14">
            <control shapeId="28706" r:id="rId15" name="Check Box 34">
              <controlPr defaultSize="0" autoFill="0" autoLine="0" autoPict="0">
                <anchor moveWithCells="1">
                  <from>
                    <xdr:col>2</xdr:col>
                    <xdr:colOff>114300</xdr:colOff>
                    <xdr:row>12</xdr:row>
                    <xdr:rowOff>247650</xdr:rowOff>
                  </from>
                  <to>
                    <xdr:col>2</xdr:col>
                    <xdr:colOff>371475</xdr:colOff>
                    <xdr:row>14</xdr:row>
                    <xdr:rowOff>19050</xdr:rowOff>
                  </to>
                </anchor>
              </controlPr>
            </control>
          </mc:Choice>
        </mc:AlternateContent>
        <mc:AlternateContent xmlns:mc="http://schemas.openxmlformats.org/markup-compatibility/2006">
          <mc:Choice Requires="x14">
            <control shapeId="28707" r:id="rId16" name="Check Box 35">
              <controlPr defaultSize="0" autoFill="0" autoLine="0" autoPict="0">
                <anchor moveWithCells="1">
                  <from>
                    <xdr:col>2</xdr:col>
                    <xdr:colOff>114300</xdr:colOff>
                    <xdr:row>13</xdr:row>
                    <xdr:rowOff>247650</xdr:rowOff>
                  </from>
                  <to>
                    <xdr:col>2</xdr:col>
                    <xdr:colOff>371475</xdr:colOff>
                    <xdr:row>15</xdr:row>
                    <xdr:rowOff>19050</xdr:rowOff>
                  </to>
                </anchor>
              </controlPr>
            </control>
          </mc:Choice>
        </mc:AlternateContent>
        <mc:AlternateContent xmlns:mc="http://schemas.openxmlformats.org/markup-compatibility/2006">
          <mc:Choice Requires="x14">
            <control shapeId="28708" r:id="rId17" name="Check Box 36">
              <controlPr defaultSize="0" autoFill="0" autoLine="0" autoPict="0">
                <anchor moveWithCells="1">
                  <from>
                    <xdr:col>1</xdr:col>
                    <xdr:colOff>104775</xdr:colOff>
                    <xdr:row>14</xdr:row>
                    <xdr:rowOff>247650</xdr:rowOff>
                  </from>
                  <to>
                    <xdr:col>1</xdr:col>
                    <xdr:colOff>361950</xdr:colOff>
                    <xdr:row>16</xdr:row>
                    <xdr:rowOff>19050</xdr:rowOff>
                  </to>
                </anchor>
              </controlPr>
            </control>
          </mc:Choice>
        </mc:AlternateContent>
        <mc:AlternateContent xmlns:mc="http://schemas.openxmlformats.org/markup-compatibility/2006">
          <mc:Choice Requires="x14">
            <control shapeId="28709" r:id="rId18" name="Check Box 37">
              <controlPr defaultSize="0" autoFill="0" autoLine="0" autoPict="0">
                <anchor moveWithCells="1">
                  <from>
                    <xdr:col>1</xdr:col>
                    <xdr:colOff>104775</xdr:colOff>
                    <xdr:row>16</xdr:row>
                    <xdr:rowOff>0</xdr:rowOff>
                  </from>
                  <to>
                    <xdr:col>1</xdr:col>
                    <xdr:colOff>361950</xdr:colOff>
                    <xdr:row>17</xdr:row>
                    <xdr:rowOff>28575</xdr:rowOff>
                  </to>
                </anchor>
              </controlPr>
            </control>
          </mc:Choice>
        </mc:AlternateContent>
        <mc:AlternateContent xmlns:mc="http://schemas.openxmlformats.org/markup-compatibility/2006">
          <mc:Choice Requires="x14">
            <control shapeId="28710" r:id="rId19" name="Check Box 38">
              <controlPr defaultSize="0" autoFill="0" autoLine="0" autoPict="0">
                <anchor moveWithCells="1">
                  <from>
                    <xdr:col>1</xdr:col>
                    <xdr:colOff>104775</xdr:colOff>
                    <xdr:row>18</xdr:row>
                    <xdr:rowOff>0</xdr:rowOff>
                  </from>
                  <to>
                    <xdr:col>1</xdr:col>
                    <xdr:colOff>361950</xdr:colOff>
                    <xdr:row>19</xdr:row>
                    <xdr:rowOff>28575</xdr:rowOff>
                  </to>
                </anchor>
              </controlPr>
            </control>
          </mc:Choice>
        </mc:AlternateContent>
        <mc:AlternateContent xmlns:mc="http://schemas.openxmlformats.org/markup-compatibility/2006">
          <mc:Choice Requires="x14">
            <control shapeId="28711" r:id="rId20" name="Check Box 39">
              <controlPr defaultSize="0" autoFill="0" autoLine="0" autoPict="0">
                <anchor moveWithCells="1">
                  <from>
                    <xdr:col>1</xdr:col>
                    <xdr:colOff>104775</xdr:colOff>
                    <xdr:row>22</xdr:row>
                    <xdr:rowOff>209550</xdr:rowOff>
                  </from>
                  <to>
                    <xdr:col>1</xdr:col>
                    <xdr:colOff>352425</xdr:colOff>
                    <xdr:row>25</xdr:row>
                    <xdr:rowOff>47625</xdr:rowOff>
                  </to>
                </anchor>
              </controlPr>
            </control>
          </mc:Choice>
        </mc:AlternateContent>
        <mc:AlternateContent xmlns:mc="http://schemas.openxmlformats.org/markup-compatibility/2006">
          <mc:Choice Requires="x14">
            <control shapeId="28712" r:id="rId21" name="Check Box 40">
              <controlPr defaultSize="0" autoFill="0" autoLine="0" autoPict="0">
                <anchor moveWithCells="1">
                  <from>
                    <xdr:col>1</xdr:col>
                    <xdr:colOff>104775</xdr:colOff>
                    <xdr:row>20</xdr:row>
                    <xdr:rowOff>0</xdr:rowOff>
                  </from>
                  <to>
                    <xdr:col>1</xdr:col>
                    <xdr:colOff>361950</xdr:colOff>
                    <xdr:row>21</xdr:row>
                    <xdr:rowOff>28575</xdr:rowOff>
                  </to>
                </anchor>
              </controlPr>
            </control>
          </mc:Choice>
        </mc:AlternateContent>
        <mc:AlternateContent xmlns:mc="http://schemas.openxmlformats.org/markup-compatibility/2006">
          <mc:Choice Requires="x14">
            <control shapeId="28713" r:id="rId22" name="Check Box 41">
              <controlPr defaultSize="0" autoFill="0" autoLine="0" autoPict="0">
                <anchor moveWithCells="1">
                  <from>
                    <xdr:col>1</xdr:col>
                    <xdr:colOff>104775</xdr:colOff>
                    <xdr:row>21</xdr:row>
                    <xdr:rowOff>0</xdr:rowOff>
                  </from>
                  <to>
                    <xdr:col>1</xdr:col>
                    <xdr:colOff>361950</xdr:colOff>
                    <xdr:row>22</xdr:row>
                    <xdr:rowOff>28575</xdr:rowOff>
                  </to>
                </anchor>
              </controlPr>
            </control>
          </mc:Choice>
        </mc:AlternateContent>
        <mc:AlternateContent xmlns:mc="http://schemas.openxmlformats.org/markup-compatibility/2006">
          <mc:Choice Requires="x14">
            <control shapeId="28714" r:id="rId23" name="Check Box 42">
              <controlPr defaultSize="0" autoFill="0" autoLine="0" autoPict="0">
                <anchor moveWithCells="1">
                  <from>
                    <xdr:col>1</xdr:col>
                    <xdr:colOff>104775</xdr:colOff>
                    <xdr:row>22</xdr:row>
                    <xdr:rowOff>0</xdr:rowOff>
                  </from>
                  <to>
                    <xdr:col>1</xdr:col>
                    <xdr:colOff>361950</xdr:colOff>
                    <xdr:row>23</xdr:row>
                    <xdr:rowOff>28575</xdr:rowOff>
                  </to>
                </anchor>
              </controlPr>
            </control>
          </mc:Choice>
        </mc:AlternateContent>
        <mc:AlternateContent xmlns:mc="http://schemas.openxmlformats.org/markup-compatibility/2006">
          <mc:Choice Requires="x14">
            <control shapeId="28715" r:id="rId24" name="Check Box 43">
              <controlPr defaultSize="0" autoFill="0" autoLine="0" autoPict="0">
                <anchor moveWithCells="1">
                  <from>
                    <xdr:col>1</xdr:col>
                    <xdr:colOff>104775</xdr:colOff>
                    <xdr:row>24</xdr:row>
                    <xdr:rowOff>209550</xdr:rowOff>
                  </from>
                  <to>
                    <xdr:col>1</xdr:col>
                    <xdr:colOff>352425</xdr:colOff>
                    <xdr:row>27</xdr:row>
                    <xdr:rowOff>47625</xdr:rowOff>
                  </to>
                </anchor>
              </controlPr>
            </control>
          </mc:Choice>
        </mc:AlternateContent>
        <mc:AlternateContent xmlns:mc="http://schemas.openxmlformats.org/markup-compatibility/2006">
          <mc:Choice Requires="x14">
            <control shapeId="28716" r:id="rId25" name="Check Box 44">
              <controlPr defaultSize="0" autoFill="0" autoLine="0" autoPict="0">
                <anchor moveWithCells="1">
                  <from>
                    <xdr:col>1</xdr:col>
                    <xdr:colOff>104775</xdr:colOff>
                    <xdr:row>9</xdr:row>
                    <xdr:rowOff>247650</xdr:rowOff>
                  </from>
                  <to>
                    <xdr:col>1</xdr:col>
                    <xdr:colOff>361950</xdr:colOff>
                    <xdr:row>11</xdr:row>
                    <xdr:rowOff>19050</xdr:rowOff>
                  </to>
                </anchor>
              </controlPr>
            </control>
          </mc:Choice>
        </mc:AlternateContent>
        <mc:AlternateContent xmlns:mc="http://schemas.openxmlformats.org/markup-compatibility/2006">
          <mc:Choice Requires="x14">
            <control shapeId="28717" r:id="rId26" name="Check Box 45">
              <controlPr defaultSize="0" autoFill="0" autoLine="0" autoPict="0">
                <anchor moveWithCells="1">
                  <from>
                    <xdr:col>3</xdr:col>
                    <xdr:colOff>1847850</xdr:colOff>
                    <xdr:row>10</xdr:row>
                    <xdr:rowOff>247650</xdr:rowOff>
                  </from>
                  <to>
                    <xdr:col>4</xdr:col>
                    <xdr:colOff>219075</xdr:colOff>
                    <xdr:row>12</xdr:row>
                    <xdr:rowOff>19050</xdr:rowOff>
                  </to>
                </anchor>
              </controlPr>
            </control>
          </mc:Choice>
        </mc:AlternateContent>
        <mc:AlternateContent xmlns:mc="http://schemas.openxmlformats.org/markup-compatibility/2006">
          <mc:Choice Requires="x14">
            <control shapeId="28718" r:id="rId27" name="Check Box 46">
              <controlPr defaultSize="0" autoFill="0" autoLine="0" autoPict="0">
                <anchor moveWithCells="1">
                  <from>
                    <xdr:col>3</xdr:col>
                    <xdr:colOff>1847850</xdr:colOff>
                    <xdr:row>11</xdr:row>
                    <xdr:rowOff>247650</xdr:rowOff>
                  </from>
                  <to>
                    <xdr:col>4</xdr:col>
                    <xdr:colOff>219075</xdr:colOff>
                    <xdr:row>13</xdr:row>
                    <xdr:rowOff>19050</xdr:rowOff>
                  </to>
                </anchor>
              </controlPr>
            </control>
          </mc:Choice>
        </mc:AlternateContent>
        <mc:AlternateContent xmlns:mc="http://schemas.openxmlformats.org/markup-compatibility/2006">
          <mc:Choice Requires="x14">
            <control shapeId="28719" r:id="rId28" name="Check Box 47">
              <controlPr defaultSize="0" autoFill="0" autoLine="0" autoPict="0">
                <anchor moveWithCells="1">
                  <from>
                    <xdr:col>1</xdr:col>
                    <xdr:colOff>104775</xdr:colOff>
                    <xdr:row>17</xdr:row>
                    <xdr:rowOff>0</xdr:rowOff>
                  </from>
                  <to>
                    <xdr:col>1</xdr:col>
                    <xdr:colOff>361950</xdr:colOff>
                    <xdr:row>18</xdr:row>
                    <xdr:rowOff>28575</xdr:rowOff>
                  </to>
                </anchor>
              </controlPr>
            </control>
          </mc:Choice>
        </mc:AlternateContent>
        <mc:AlternateContent xmlns:mc="http://schemas.openxmlformats.org/markup-compatibility/2006">
          <mc:Choice Requires="x14">
            <control shapeId="28722" r:id="rId29" name="Check Box 50">
              <controlPr defaultSize="0" autoFill="0" autoLine="0" autoPict="0">
                <anchor moveWithCells="1">
                  <from>
                    <xdr:col>8</xdr:col>
                    <xdr:colOff>1847850</xdr:colOff>
                    <xdr:row>6</xdr:row>
                    <xdr:rowOff>247650</xdr:rowOff>
                  </from>
                  <to>
                    <xdr:col>9</xdr:col>
                    <xdr:colOff>219075</xdr:colOff>
                    <xdr:row>8</xdr:row>
                    <xdr:rowOff>19050</xdr:rowOff>
                  </to>
                </anchor>
              </controlPr>
            </control>
          </mc:Choice>
        </mc:AlternateContent>
        <mc:AlternateContent xmlns:mc="http://schemas.openxmlformats.org/markup-compatibility/2006">
          <mc:Choice Requires="x14">
            <control shapeId="28724" r:id="rId30" name="Check Box 52">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5" r:id="rId31" name="Check Box 53">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6" r:id="rId32" name="Check Box 54">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27" r:id="rId33" name="Check Box 55">
              <controlPr defaultSize="0" autoFill="0" autoLine="0" autoPict="0">
                <anchor moveWithCells="1">
                  <from>
                    <xdr:col>6</xdr:col>
                    <xdr:colOff>104775</xdr:colOff>
                    <xdr:row>12</xdr:row>
                    <xdr:rowOff>0</xdr:rowOff>
                  </from>
                  <to>
                    <xdr:col>6</xdr:col>
                    <xdr:colOff>361950</xdr:colOff>
                    <xdr:row>13</xdr:row>
                    <xdr:rowOff>28575</xdr:rowOff>
                  </to>
                </anchor>
              </controlPr>
            </control>
          </mc:Choice>
        </mc:AlternateContent>
        <mc:AlternateContent xmlns:mc="http://schemas.openxmlformats.org/markup-compatibility/2006">
          <mc:Choice Requires="x14">
            <control shapeId="28728" r:id="rId34" name="Check Box 56">
              <controlPr defaultSize="0" autoFill="0" autoLine="0" autoPict="0">
                <anchor moveWithCells="1">
                  <from>
                    <xdr:col>6</xdr:col>
                    <xdr:colOff>104775</xdr:colOff>
                    <xdr:row>13</xdr:row>
                    <xdr:rowOff>0</xdr:rowOff>
                  </from>
                  <to>
                    <xdr:col>6</xdr:col>
                    <xdr:colOff>361950</xdr:colOff>
                    <xdr:row>14</xdr:row>
                    <xdr:rowOff>28575</xdr:rowOff>
                  </to>
                </anchor>
              </controlPr>
            </control>
          </mc:Choice>
        </mc:AlternateContent>
        <mc:AlternateContent xmlns:mc="http://schemas.openxmlformats.org/markup-compatibility/2006">
          <mc:Choice Requires="x14">
            <control shapeId="28729" r:id="rId35" name="Check Box 57">
              <controlPr defaultSize="0" autoFill="0" autoLine="0" autoPict="0">
                <anchor moveWithCells="1">
                  <from>
                    <xdr:col>6</xdr:col>
                    <xdr:colOff>104775</xdr:colOff>
                    <xdr:row>14</xdr:row>
                    <xdr:rowOff>0</xdr:rowOff>
                  </from>
                  <to>
                    <xdr:col>6</xdr:col>
                    <xdr:colOff>361950</xdr:colOff>
                    <xdr:row>15</xdr:row>
                    <xdr:rowOff>28575</xdr:rowOff>
                  </to>
                </anchor>
              </controlPr>
            </control>
          </mc:Choice>
        </mc:AlternateContent>
        <mc:AlternateContent xmlns:mc="http://schemas.openxmlformats.org/markup-compatibility/2006">
          <mc:Choice Requires="x14">
            <control shapeId="28730" r:id="rId36" name="Check Box 58">
              <controlPr defaultSize="0" autoFill="0" autoLine="0" autoPict="0">
                <anchor moveWithCells="1">
                  <from>
                    <xdr:col>6</xdr:col>
                    <xdr:colOff>104775</xdr:colOff>
                    <xdr:row>14</xdr:row>
                    <xdr:rowOff>0</xdr:rowOff>
                  </from>
                  <to>
                    <xdr:col>6</xdr:col>
                    <xdr:colOff>361950</xdr:colOff>
                    <xdr:row>15</xdr:row>
                    <xdr:rowOff>28575</xdr:rowOff>
                  </to>
                </anchor>
              </controlPr>
            </control>
          </mc:Choice>
        </mc:AlternateContent>
        <mc:AlternateContent xmlns:mc="http://schemas.openxmlformats.org/markup-compatibility/2006">
          <mc:Choice Requires="x14">
            <control shapeId="28731" r:id="rId37" name="Check Box 59">
              <controlPr defaultSize="0" autoFill="0" autoLine="0" autoPict="0">
                <anchor moveWithCells="1">
                  <from>
                    <xdr:col>6</xdr:col>
                    <xdr:colOff>104775</xdr:colOff>
                    <xdr:row>15</xdr:row>
                    <xdr:rowOff>0</xdr:rowOff>
                  </from>
                  <to>
                    <xdr:col>6</xdr:col>
                    <xdr:colOff>361950</xdr:colOff>
                    <xdr:row>16</xdr:row>
                    <xdr:rowOff>28575</xdr:rowOff>
                  </to>
                </anchor>
              </controlPr>
            </control>
          </mc:Choice>
        </mc:AlternateContent>
        <mc:AlternateContent xmlns:mc="http://schemas.openxmlformats.org/markup-compatibility/2006">
          <mc:Choice Requires="x14">
            <control shapeId="28732" r:id="rId38" name="Check Box 60">
              <controlPr defaultSize="0" autoFill="0" autoLine="0" autoPict="0">
                <anchor moveWithCells="1">
                  <from>
                    <xdr:col>6</xdr:col>
                    <xdr:colOff>104775</xdr:colOff>
                    <xdr:row>16</xdr:row>
                    <xdr:rowOff>0</xdr:rowOff>
                  </from>
                  <to>
                    <xdr:col>6</xdr:col>
                    <xdr:colOff>361950</xdr:colOff>
                    <xdr:row>17</xdr:row>
                    <xdr:rowOff>28575</xdr:rowOff>
                  </to>
                </anchor>
              </controlPr>
            </control>
          </mc:Choice>
        </mc:AlternateContent>
        <mc:AlternateContent xmlns:mc="http://schemas.openxmlformats.org/markup-compatibility/2006">
          <mc:Choice Requires="x14">
            <control shapeId="28737" r:id="rId39" name="Check Box 65">
              <controlPr defaultSize="0" autoFill="0" autoLine="0" autoPict="0">
                <anchor moveWithCells="1">
                  <from>
                    <xdr:col>6</xdr:col>
                    <xdr:colOff>104775</xdr:colOff>
                    <xdr:row>10</xdr:row>
                    <xdr:rowOff>0</xdr:rowOff>
                  </from>
                  <to>
                    <xdr:col>6</xdr:col>
                    <xdr:colOff>361950</xdr:colOff>
                    <xdr:row>11</xdr:row>
                    <xdr:rowOff>28575</xdr:rowOff>
                  </to>
                </anchor>
              </controlPr>
            </control>
          </mc:Choice>
        </mc:AlternateContent>
        <mc:AlternateContent xmlns:mc="http://schemas.openxmlformats.org/markup-compatibility/2006">
          <mc:Choice Requires="x14">
            <control shapeId="28738" r:id="rId40" name="Check Box 66">
              <controlPr defaultSize="0" autoFill="0" autoLine="0" autoPict="0">
                <anchor moveWithCells="1">
                  <from>
                    <xdr:col>6</xdr:col>
                    <xdr:colOff>104775</xdr:colOff>
                    <xdr:row>7</xdr:row>
                    <xdr:rowOff>0</xdr:rowOff>
                  </from>
                  <to>
                    <xdr:col>6</xdr:col>
                    <xdr:colOff>361950</xdr:colOff>
                    <xdr:row>8</xdr:row>
                    <xdr:rowOff>28575</xdr:rowOff>
                  </to>
                </anchor>
              </controlPr>
            </control>
          </mc:Choice>
        </mc:AlternateContent>
        <mc:AlternateContent xmlns:mc="http://schemas.openxmlformats.org/markup-compatibility/2006">
          <mc:Choice Requires="x14">
            <control shapeId="28739" r:id="rId41" name="Check Box 67">
              <controlPr defaultSize="0" autoFill="0" autoLine="0" autoPict="0">
                <anchor moveWithCells="1">
                  <from>
                    <xdr:col>6</xdr:col>
                    <xdr:colOff>104775</xdr:colOff>
                    <xdr:row>6</xdr:row>
                    <xdr:rowOff>0</xdr:rowOff>
                  </from>
                  <to>
                    <xdr:col>6</xdr:col>
                    <xdr:colOff>361950</xdr:colOff>
                    <xdr:row>7</xdr:row>
                    <xdr:rowOff>28575</xdr:rowOff>
                  </to>
                </anchor>
              </controlPr>
            </control>
          </mc:Choice>
        </mc:AlternateContent>
        <mc:AlternateContent xmlns:mc="http://schemas.openxmlformats.org/markup-compatibility/2006">
          <mc:Choice Requires="x14">
            <control shapeId="28742" r:id="rId42" name="Check Box 70">
              <controlPr defaultSize="0" autoFill="0" autoLine="0" autoPict="0">
                <anchor moveWithCells="1">
                  <from>
                    <xdr:col>11</xdr:col>
                    <xdr:colOff>104775</xdr:colOff>
                    <xdr:row>10</xdr:row>
                    <xdr:rowOff>209550</xdr:rowOff>
                  </from>
                  <to>
                    <xdr:col>11</xdr:col>
                    <xdr:colOff>352425</xdr:colOff>
                    <xdr:row>13</xdr:row>
                    <xdr:rowOff>47625</xdr:rowOff>
                  </to>
                </anchor>
              </controlPr>
            </control>
          </mc:Choice>
        </mc:AlternateContent>
        <mc:AlternateContent xmlns:mc="http://schemas.openxmlformats.org/markup-compatibility/2006">
          <mc:Choice Requires="x14">
            <control shapeId="28743" r:id="rId43" name="Check Box 71">
              <controlPr defaultSize="0" autoFill="0" autoLine="0" autoPict="0">
                <anchor moveWithCells="1">
                  <from>
                    <xdr:col>11</xdr:col>
                    <xdr:colOff>104775</xdr:colOff>
                    <xdr:row>3</xdr:row>
                    <xdr:rowOff>209550</xdr:rowOff>
                  </from>
                  <to>
                    <xdr:col>11</xdr:col>
                    <xdr:colOff>352425</xdr:colOff>
                    <xdr:row>6</xdr:row>
                    <xdr:rowOff>47625</xdr:rowOff>
                  </to>
                </anchor>
              </controlPr>
            </control>
          </mc:Choice>
        </mc:AlternateContent>
        <mc:AlternateContent xmlns:mc="http://schemas.openxmlformats.org/markup-compatibility/2006">
          <mc:Choice Requires="x14">
            <control shapeId="28744" r:id="rId44" name="Check Box 72">
              <controlPr defaultSize="0" autoFill="0" autoLine="0" autoPict="0">
                <anchor moveWithCells="1">
                  <from>
                    <xdr:col>13</xdr:col>
                    <xdr:colOff>1847850</xdr:colOff>
                    <xdr:row>9</xdr:row>
                    <xdr:rowOff>247650</xdr:rowOff>
                  </from>
                  <to>
                    <xdr:col>14</xdr:col>
                    <xdr:colOff>219075</xdr:colOff>
                    <xdr:row>11</xdr:row>
                    <xdr:rowOff>19050</xdr:rowOff>
                  </to>
                </anchor>
              </controlPr>
            </control>
          </mc:Choice>
        </mc:AlternateContent>
        <mc:AlternateContent xmlns:mc="http://schemas.openxmlformats.org/markup-compatibility/2006">
          <mc:Choice Requires="x14">
            <control shapeId="28745" r:id="rId45" name="Check Box 73">
              <controlPr defaultSize="0" autoFill="0" autoLine="0" autoPict="0">
                <anchor moveWithCells="1">
                  <from>
                    <xdr:col>11</xdr:col>
                    <xdr:colOff>104775</xdr:colOff>
                    <xdr:row>6</xdr:row>
                    <xdr:rowOff>0</xdr:rowOff>
                  </from>
                  <to>
                    <xdr:col>11</xdr:col>
                    <xdr:colOff>361950</xdr:colOff>
                    <xdr:row>7</xdr:row>
                    <xdr:rowOff>28575</xdr:rowOff>
                  </to>
                </anchor>
              </controlPr>
            </control>
          </mc:Choice>
        </mc:AlternateContent>
        <mc:AlternateContent xmlns:mc="http://schemas.openxmlformats.org/markup-compatibility/2006">
          <mc:Choice Requires="x14">
            <control shapeId="28746" r:id="rId46" name="Check Box 74">
              <controlPr defaultSize="0" autoFill="0" autoLine="0" autoPict="0">
                <anchor moveWithCells="1">
                  <from>
                    <xdr:col>11</xdr:col>
                    <xdr:colOff>104775</xdr:colOff>
                    <xdr:row>7</xdr:row>
                    <xdr:rowOff>0</xdr:rowOff>
                  </from>
                  <to>
                    <xdr:col>11</xdr:col>
                    <xdr:colOff>361950</xdr:colOff>
                    <xdr:row>8</xdr:row>
                    <xdr:rowOff>28575</xdr:rowOff>
                  </to>
                </anchor>
              </controlPr>
            </control>
          </mc:Choice>
        </mc:AlternateContent>
        <mc:AlternateContent xmlns:mc="http://schemas.openxmlformats.org/markup-compatibility/2006">
          <mc:Choice Requires="x14">
            <control shapeId="28747" r:id="rId47" name="Check Box 75">
              <controlPr defaultSize="0" autoFill="0" autoLine="0" autoPict="0">
                <anchor moveWithCells="1">
                  <from>
                    <xdr:col>11</xdr:col>
                    <xdr:colOff>104775</xdr:colOff>
                    <xdr:row>8</xdr:row>
                    <xdr:rowOff>0</xdr:rowOff>
                  </from>
                  <to>
                    <xdr:col>11</xdr:col>
                    <xdr:colOff>361950</xdr:colOff>
                    <xdr:row>9</xdr:row>
                    <xdr:rowOff>28575</xdr:rowOff>
                  </to>
                </anchor>
              </controlPr>
            </control>
          </mc:Choice>
        </mc:AlternateContent>
        <mc:AlternateContent xmlns:mc="http://schemas.openxmlformats.org/markup-compatibility/2006">
          <mc:Choice Requires="x14">
            <control shapeId="28748" r:id="rId48" name="Check Box 76">
              <controlPr defaultSize="0" autoFill="0" autoLine="0" autoPict="0">
                <anchor moveWithCells="1">
                  <from>
                    <xdr:col>11</xdr:col>
                    <xdr:colOff>104775</xdr:colOff>
                    <xdr:row>15</xdr:row>
                    <xdr:rowOff>0</xdr:rowOff>
                  </from>
                  <to>
                    <xdr:col>11</xdr:col>
                    <xdr:colOff>361950</xdr:colOff>
                    <xdr:row>16</xdr:row>
                    <xdr:rowOff>28575</xdr:rowOff>
                  </to>
                </anchor>
              </controlPr>
            </control>
          </mc:Choice>
        </mc:AlternateContent>
        <mc:AlternateContent xmlns:mc="http://schemas.openxmlformats.org/markup-compatibility/2006">
          <mc:Choice Requires="x14">
            <control shapeId="28749" r:id="rId49" name="Check Box 77">
              <controlPr defaultSize="0" autoFill="0" autoLine="0" autoPict="0">
                <anchor moveWithCells="1">
                  <from>
                    <xdr:col>11</xdr:col>
                    <xdr:colOff>104775</xdr:colOff>
                    <xdr:row>16</xdr:row>
                    <xdr:rowOff>0</xdr:rowOff>
                  </from>
                  <to>
                    <xdr:col>11</xdr:col>
                    <xdr:colOff>361950</xdr:colOff>
                    <xdr:row>17</xdr:row>
                    <xdr:rowOff>28575</xdr:rowOff>
                  </to>
                </anchor>
              </controlPr>
            </control>
          </mc:Choice>
        </mc:AlternateContent>
        <mc:AlternateContent xmlns:mc="http://schemas.openxmlformats.org/markup-compatibility/2006">
          <mc:Choice Requires="x14">
            <control shapeId="28750" r:id="rId50" name="Check Box 78">
              <controlPr defaultSize="0" autoFill="0" autoLine="0" autoPict="0">
                <anchor moveWithCells="1">
                  <from>
                    <xdr:col>11</xdr:col>
                    <xdr:colOff>104775</xdr:colOff>
                    <xdr:row>17</xdr:row>
                    <xdr:rowOff>0</xdr:rowOff>
                  </from>
                  <to>
                    <xdr:col>11</xdr:col>
                    <xdr:colOff>361950</xdr:colOff>
                    <xdr:row>18</xdr:row>
                    <xdr:rowOff>28575</xdr:rowOff>
                  </to>
                </anchor>
              </controlPr>
            </control>
          </mc:Choice>
        </mc:AlternateContent>
        <mc:AlternateContent xmlns:mc="http://schemas.openxmlformats.org/markup-compatibility/2006">
          <mc:Choice Requires="x14">
            <control shapeId="28751" r:id="rId51" name="Check Box 79">
              <controlPr defaultSize="0" autoFill="0" autoLine="0" autoPict="0">
                <anchor moveWithCells="1">
                  <from>
                    <xdr:col>11</xdr:col>
                    <xdr:colOff>104775</xdr:colOff>
                    <xdr:row>17</xdr:row>
                    <xdr:rowOff>0</xdr:rowOff>
                  </from>
                  <to>
                    <xdr:col>11</xdr:col>
                    <xdr:colOff>361950</xdr:colOff>
                    <xdr:row>18</xdr:row>
                    <xdr:rowOff>28575</xdr:rowOff>
                  </to>
                </anchor>
              </controlPr>
            </control>
          </mc:Choice>
        </mc:AlternateContent>
        <mc:AlternateContent xmlns:mc="http://schemas.openxmlformats.org/markup-compatibility/2006">
          <mc:Choice Requires="x14">
            <control shapeId="28752" r:id="rId52" name="Check Box 80">
              <controlPr defaultSize="0" autoFill="0" autoLine="0" autoPict="0">
                <anchor moveWithCells="1">
                  <from>
                    <xdr:col>11</xdr:col>
                    <xdr:colOff>104775</xdr:colOff>
                    <xdr:row>18</xdr:row>
                    <xdr:rowOff>0</xdr:rowOff>
                  </from>
                  <to>
                    <xdr:col>11</xdr:col>
                    <xdr:colOff>361950</xdr:colOff>
                    <xdr:row>19</xdr:row>
                    <xdr:rowOff>28575</xdr:rowOff>
                  </to>
                </anchor>
              </controlPr>
            </control>
          </mc:Choice>
        </mc:AlternateContent>
        <mc:AlternateContent xmlns:mc="http://schemas.openxmlformats.org/markup-compatibility/2006">
          <mc:Choice Requires="x14">
            <control shapeId="28753" r:id="rId53" name="Check Box 81">
              <controlPr defaultSize="0" autoFill="0" autoLine="0" autoPict="0">
                <anchor moveWithCells="1">
                  <from>
                    <xdr:col>11</xdr:col>
                    <xdr:colOff>104775</xdr:colOff>
                    <xdr:row>19</xdr:row>
                    <xdr:rowOff>0</xdr:rowOff>
                  </from>
                  <to>
                    <xdr:col>11</xdr:col>
                    <xdr:colOff>361950</xdr:colOff>
                    <xdr:row>20</xdr:row>
                    <xdr:rowOff>28575</xdr:rowOff>
                  </to>
                </anchor>
              </controlPr>
            </control>
          </mc:Choice>
        </mc:AlternateContent>
        <mc:AlternateContent xmlns:mc="http://schemas.openxmlformats.org/markup-compatibility/2006">
          <mc:Choice Requires="x14">
            <control shapeId="28754" r:id="rId54" name="Check Box 82">
              <controlPr defaultSize="0" autoFill="0" autoLine="0" autoPict="0">
                <anchor moveWithCells="1">
                  <from>
                    <xdr:col>11</xdr:col>
                    <xdr:colOff>104775</xdr:colOff>
                    <xdr:row>13</xdr:row>
                    <xdr:rowOff>0</xdr:rowOff>
                  </from>
                  <to>
                    <xdr:col>11</xdr:col>
                    <xdr:colOff>361950</xdr:colOff>
                    <xdr:row>14</xdr:row>
                    <xdr:rowOff>28575</xdr:rowOff>
                  </to>
                </anchor>
              </controlPr>
            </control>
          </mc:Choice>
        </mc:AlternateContent>
        <mc:AlternateContent xmlns:mc="http://schemas.openxmlformats.org/markup-compatibility/2006">
          <mc:Choice Requires="x14">
            <control shapeId="28755" r:id="rId55" name="Check Box 83">
              <controlPr defaultSize="0" autoFill="0" autoLine="0" autoPict="0">
                <anchor moveWithCells="1">
                  <from>
                    <xdr:col>11</xdr:col>
                    <xdr:colOff>104775</xdr:colOff>
                    <xdr:row>10</xdr:row>
                    <xdr:rowOff>0</xdr:rowOff>
                  </from>
                  <to>
                    <xdr:col>11</xdr:col>
                    <xdr:colOff>361950</xdr:colOff>
                    <xdr:row>11</xdr:row>
                    <xdr:rowOff>28575</xdr:rowOff>
                  </to>
                </anchor>
              </controlPr>
            </control>
          </mc:Choice>
        </mc:AlternateContent>
        <mc:AlternateContent xmlns:mc="http://schemas.openxmlformats.org/markup-compatibility/2006">
          <mc:Choice Requires="x14">
            <control shapeId="28756" r:id="rId56" name="Check Box 84">
              <controlPr defaultSize="0" autoFill="0" autoLine="0" autoPict="0">
                <anchor moveWithCells="1">
                  <from>
                    <xdr:col>11</xdr:col>
                    <xdr:colOff>104775</xdr:colOff>
                    <xdr:row>8</xdr:row>
                    <xdr:rowOff>0</xdr:rowOff>
                  </from>
                  <to>
                    <xdr:col>11</xdr:col>
                    <xdr:colOff>361950</xdr:colOff>
                    <xdr:row>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B88EF-B953-41DC-8A38-F7A0C878CD10}">
  <sheetPr codeName="Sheet1">
    <tabColor theme="5" tint="0.39997558519241921"/>
  </sheetPr>
  <dimension ref="B1:G16"/>
  <sheetViews>
    <sheetView topLeftCell="A10" workbookViewId="0"/>
  </sheetViews>
  <sheetFormatPr defaultColWidth="34.375" defaultRowHeight="60.75" customHeight="1" x14ac:dyDescent="0.4"/>
  <cols>
    <col min="1" max="1" width="2" customWidth="1"/>
    <col min="2" max="2" width="33.75" customWidth="1"/>
    <col min="3" max="3" width="2.75" customWidth="1"/>
    <col min="4" max="4" width="33.75" customWidth="1"/>
    <col min="5" max="5" width="2.625" customWidth="1"/>
    <col min="6" max="6" width="17.375" style="292" customWidth="1"/>
    <col min="7" max="7" width="34.5" customWidth="1"/>
  </cols>
  <sheetData>
    <row r="1" spans="2:7" ht="42" customHeight="1" x14ac:dyDescent="0.4">
      <c r="B1" s="377">
        <f>'（最新）アセスメントシート'!D5</f>
        <v>0</v>
      </c>
      <c r="C1" s="645" t="s">
        <v>916</v>
      </c>
      <c r="D1" s="645"/>
    </row>
    <row r="2" spans="2:7" ht="30" customHeight="1" x14ac:dyDescent="0.4">
      <c r="B2" s="381" t="s">
        <v>1135</v>
      </c>
      <c r="C2" s="376"/>
      <c r="D2" s="381" t="s">
        <v>1151</v>
      </c>
      <c r="F2" s="394" t="s">
        <v>1214</v>
      </c>
    </row>
    <row r="3" spans="2:7" ht="30" customHeight="1" x14ac:dyDescent="0.4">
      <c r="B3" s="382" t="s">
        <v>1136</v>
      </c>
      <c r="C3" s="374"/>
      <c r="D3" s="382" t="s">
        <v>1150</v>
      </c>
      <c r="F3" s="394" t="s">
        <v>1213</v>
      </c>
    </row>
    <row r="4" spans="2:7" ht="30" customHeight="1" thickBot="1" x14ac:dyDescent="0.45">
      <c r="B4" s="383" t="s">
        <v>1137</v>
      </c>
      <c r="C4" s="374"/>
      <c r="D4" s="383" t="s">
        <v>1147</v>
      </c>
    </row>
    <row r="5" spans="2:7" ht="30" customHeight="1" x14ac:dyDescent="0.4">
      <c r="B5" s="383" t="s">
        <v>1138</v>
      </c>
      <c r="C5" s="374"/>
      <c r="D5" s="383" t="s">
        <v>1148</v>
      </c>
      <c r="F5" s="293" t="s">
        <v>924</v>
      </c>
      <c r="G5" s="294"/>
    </row>
    <row r="6" spans="2:7" ht="30" customHeight="1" x14ac:dyDescent="0.4">
      <c r="B6" s="386" t="s">
        <v>1153</v>
      </c>
      <c r="C6" s="374"/>
      <c r="D6" s="384" t="s">
        <v>1149</v>
      </c>
      <c r="F6" s="295" t="s">
        <v>925</v>
      </c>
      <c r="G6" s="296"/>
    </row>
    <row r="7" spans="2:7" ht="30" customHeight="1" x14ac:dyDescent="0.4">
      <c r="B7" s="386" t="s">
        <v>1152</v>
      </c>
      <c r="C7" s="374"/>
      <c r="D7" s="378"/>
      <c r="F7" s="646" t="s">
        <v>926</v>
      </c>
      <c r="G7" s="648"/>
    </row>
    <row r="8" spans="2:7" ht="30" customHeight="1" thickBot="1" x14ac:dyDescent="0.45">
      <c r="B8" s="383" t="s">
        <v>1139</v>
      </c>
      <c r="C8" s="374"/>
      <c r="D8" s="379"/>
      <c r="F8" s="647"/>
      <c r="G8" s="649"/>
    </row>
    <row r="9" spans="2:7" ht="30" customHeight="1" x14ac:dyDescent="0.4">
      <c r="B9" s="383" t="s">
        <v>1140</v>
      </c>
      <c r="C9" s="375"/>
      <c r="D9" s="375"/>
      <c r="G9" s="297"/>
    </row>
    <row r="10" spans="2:7" ht="30" customHeight="1" x14ac:dyDescent="0.4">
      <c r="B10" s="385" t="s">
        <v>1141</v>
      </c>
      <c r="C10" s="375"/>
      <c r="D10" s="375"/>
    </row>
    <row r="11" spans="2:7" ht="30" customHeight="1" x14ac:dyDescent="0.4">
      <c r="B11" s="385" t="s">
        <v>1142</v>
      </c>
      <c r="C11" s="380"/>
      <c r="D11" s="380"/>
    </row>
    <row r="12" spans="2:7" ht="30" customHeight="1" x14ac:dyDescent="0.4">
      <c r="B12" s="383" t="s">
        <v>1143</v>
      </c>
      <c r="C12" s="374"/>
      <c r="D12" s="374"/>
    </row>
    <row r="13" spans="2:7" ht="30" customHeight="1" x14ac:dyDescent="0.4">
      <c r="B13" s="383" t="s">
        <v>1144</v>
      </c>
      <c r="C13" s="374"/>
      <c r="D13" s="374"/>
    </row>
    <row r="14" spans="2:7" ht="30" customHeight="1" x14ac:dyDescent="0.4">
      <c r="B14" s="383" t="s">
        <v>1145</v>
      </c>
      <c r="C14" s="374"/>
      <c r="D14" s="374"/>
    </row>
    <row r="15" spans="2:7" ht="45" customHeight="1" x14ac:dyDescent="0.4">
      <c r="B15" s="391" t="s">
        <v>1146</v>
      </c>
    </row>
    <row r="16" spans="2:7" ht="30" customHeight="1" x14ac:dyDescent="0.4">
      <c r="B16" s="392" t="s">
        <v>1189</v>
      </c>
    </row>
  </sheetData>
  <mergeCells count="3">
    <mergeCell ref="C1:D1"/>
    <mergeCell ref="F7:F8"/>
    <mergeCell ref="G7:G8"/>
  </mergeCells>
  <phoneticPr fontId="1"/>
  <hyperlinks>
    <hyperlink ref="B3" location="'（最新）アセスメントシート'!Print_Area" display="アセスメントシート" xr:uid="{577DF45D-683F-4761-9003-5169E63BFD33}"/>
    <hyperlink ref="B5" location="医療・介護連携シート!A1" display="医療・介護連携シート" xr:uid="{5C2D0A3D-29C4-4814-B66C-029022127BCA}"/>
    <hyperlink ref="B7" location="'(手入力)入院時情報提供'!Print_Area" display="   入院時情報提供" xr:uid="{6DDBDAB1-9B0D-4E5D-A422-779194A96B14}"/>
    <hyperlink ref="D5" r:id="rId1" display="ヘルパー報告書" xr:uid="{B82555D3-F03D-41D0-B796-EEDBA4709905}"/>
    <hyperlink ref="D4" r:id="rId2" display="デイ報告書" xr:uid="{F92A4286-BB1E-452B-A4AF-0FA94547A803}"/>
    <hyperlink ref="B14" location="資料提供申請書!A1" display="資料提供申請書" xr:uid="{A598ABED-10F0-45B1-9184-B84CE2AB8244}"/>
    <hyperlink ref="B12" location="更新・新規申請書!A1" display="（更新）認定申請書" xr:uid="{4A6D72AC-194F-41C8-B266-4CF7E23ACF7C}"/>
    <hyperlink ref="B9" location="担会案内!A1" display="担当者会議案内" xr:uid="{722780A6-AAE5-4FA0-B9DB-512865100685}"/>
    <hyperlink ref="B13" location="'区分変更申請書 '!A1" display="（変更）認定申請書" xr:uid="{70EC7429-8B3C-4CB5-AF58-B2EE6D7B2AF1}"/>
    <hyperlink ref="D6" r:id="rId3" display="おくすり情報" xr:uid="{617B839E-F17A-405B-831C-DA7424CD8881}"/>
    <hyperlink ref="B15" location="'確認書（原本）'!A1" display="居宅サービス事業所の選択に関する説明に係る確認書（ヘルパー）" xr:uid="{FA844505-BACF-4B83-98E3-B785634731B0}"/>
    <hyperlink ref="B8" location="モニタリングシート!Print_Area" display="モニタリングシート" xr:uid="{9B11B325-0F5F-4D37-807C-79970CB01B3E}"/>
    <hyperlink ref="B4" location="フェースシート!Print_Area" display="フェースシート" xr:uid="{440511B5-9B30-4859-9C7F-D60509668B1F}"/>
    <hyperlink ref="D3" r:id="rId4" display="ヘルパー報告書" xr:uid="{58437AC0-E9FA-43B1-BECB-D1A38245F6D0}"/>
    <hyperlink ref="B6" location="'(貼付作成)入院時情報提供'!Print_Area" display="   入院時情報提供（貼付作成）" xr:uid="{4A299A5C-E950-4AC5-95DC-B9ED9DF4C30D}"/>
    <hyperlink ref="B16" location="入退去連絡!A1" display="   入退去に関する連絡用紙" xr:uid="{ECC20220-BB9B-42A3-A93E-AAD63C88E90E}"/>
  </hyperlinks>
  <pageMargins left="0.7" right="0.7" top="0.75" bottom="0.75" header="0.3" footer="0.3"/>
  <drawing r:id="rId5"/>
  <extLst>
    <ext xmlns:x14="http://schemas.microsoft.com/office/spreadsheetml/2009/9/main" uri="{CCE6A557-97BC-4b89-ADB6-D9C93CAAB3DF}">
      <x14:dataValidations xmlns:xm="http://schemas.microsoft.com/office/excel/2006/main" count="3">
        <x14:dataValidation type="list" allowBlank="1" showInputMessage="1" showErrorMessage="1" xr:uid="{A4D0A9F4-F6C3-4FC8-ABEB-247DE16B3A11}">
          <x14:formula1>
            <xm:f>リスト!$T$32:$T$34</xm:f>
          </x14:formula1>
          <xm:sqref>G5</xm:sqref>
        </x14:dataValidation>
        <x14:dataValidation type="list" allowBlank="1" showInputMessage="1" showErrorMessage="1" xr:uid="{19BA6EED-2990-4A5E-A6A1-31EC99B12646}">
          <x14:formula1>
            <xm:f>リスト!$U$32:$U$35</xm:f>
          </x14:formula1>
          <xm:sqref>G6</xm:sqref>
        </x14:dataValidation>
        <x14:dataValidation type="list" allowBlank="1" showInputMessage="1" xr:uid="{C14D9492-B5CF-4B81-8074-A8C184173F52}">
          <x14:formula1>
            <xm:f>リスト!$P$40:$P$48</xm:f>
          </x14:formula1>
          <xm:sqref>G2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BBADB-B261-49B5-B086-4982711E1558}">
  <sheetPr codeName="Sheet2">
    <tabColor theme="9" tint="0.79998168889431442"/>
    <outlinePr summaryBelow="0" summaryRight="0"/>
  </sheetPr>
  <dimension ref="A1:AW111"/>
  <sheetViews>
    <sheetView view="pageBreakPreview" zoomScaleNormal="100" zoomScaleSheetLayoutView="100" workbookViewId="0">
      <selection activeCell="AS13" sqref="AS13"/>
    </sheetView>
  </sheetViews>
  <sheetFormatPr defaultColWidth="12.625" defaultRowHeight="13.5" customHeight="1" x14ac:dyDescent="0.15"/>
  <cols>
    <col min="1" max="1" width="2.5" style="404" customWidth="1"/>
    <col min="2" max="6" width="2.125" style="404" customWidth="1"/>
    <col min="7" max="7" width="1.75" style="404" customWidth="1"/>
    <col min="8" max="8" width="2.625" style="404" customWidth="1"/>
    <col min="9" max="30" width="2.125" style="404" customWidth="1"/>
    <col min="31" max="31" width="3.5" style="404" customWidth="1"/>
    <col min="32" max="37" width="2.125" style="404" customWidth="1"/>
    <col min="38" max="16384" width="12.625" style="15"/>
  </cols>
  <sheetData>
    <row r="1" spans="1:49" s="404" customFormat="1" ht="13.5" customHeight="1" x14ac:dyDescent="0.15">
      <c r="A1" s="650" t="s">
        <v>92</v>
      </c>
      <c r="B1" s="651"/>
      <c r="C1" s="651"/>
      <c r="D1" s="651"/>
      <c r="E1" s="651"/>
      <c r="F1" s="651"/>
      <c r="G1" s="651"/>
      <c r="H1" s="651"/>
      <c r="I1" s="651"/>
      <c r="J1" s="651"/>
      <c r="K1" s="651"/>
      <c r="L1" s="651"/>
      <c r="M1" s="651"/>
      <c r="N1" s="651"/>
      <c r="O1" s="651"/>
      <c r="P1" s="651"/>
      <c r="Q1" s="651"/>
      <c r="R1" s="651"/>
      <c r="S1" s="651"/>
      <c r="T1" s="651"/>
      <c r="U1" s="651"/>
      <c r="V1" s="651"/>
      <c r="W1" s="651"/>
      <c r="X1" s="651"/>
      <c r="Y1" s="651"/>
      <c r="AA1" s="653" t="s">
        <v>93</v>
      </c>
      <c r="AB1" s="654"/>
      <c r="AC1" s="654"/>
      <c r="AD1" s="654"/>
      <c r="AE1" s="654"/>
      <c r="AF1" s="655"/>
      <c r="AG1" s="656"/>
      <c r="AH1" s="656"/>
      <c r="AI1" s="656"/>
      <c r="AJ1" s="656"/>
      <c r="AK1" s="656"/>
      <c r="AL1" s="15"/>
      <c r="AM1" s="15"/>
      <c r="AN1" s="15"/>
      <c r="AO1" s="15"/>
      <c r="AP1" s="15"/>
      <c r="AQ1" s="15"/>
      <c r="AR1" s="15"/>
      <c r="AS1" s="15"/>
      <c r="AT1" s="15"/>
      <c r="AU1" s="15"/>
      <c r="AV1" s="15"/>
      <c r="AW1" s="15"/>
    </row>
    <row r="2" spans="1:49" s="404" customFormat="1" ht="13.5" customHeight="1" x14ac:dyDescent="0.15">
      <c r="A2" s="652"/>
      <c r="B2" s="652"/>
      <c r="C2" s="652"/>
      <c r="D2" s="652"/>
      <c r="E2" s="652"/>
      <c r="F2" s="652"/>
      <c r="G2" s="652"/>
      <c r="H2" s="652"/>
      <c r="I2" s="652"/>
      <c r="J2" s="652"/>
      <c r="K2" s="652"/>
      <c r="L2" s="652"/>
      <c r="M2" s="652"/>
      <c r="N2" s="652"/>
      <c r="O2" s="652"/>
      <c r="P2" s="652"/>
      <c r="Q2" s="652"/>
      <c r="R2" s="652"/>
      <c r="S2" s="652"/>
      <c r="T2" s="652"/>
      <c r="U2" s="652"/>
      <c r="V2" s="652"/>
      <c r="W2" s="652"/>
      <c r="X2" s="652"/>
      <c r="Y2" s="652"/>
      <c r="Z2" s="657" t="s">
        <v>56</v>
      </c>
      <c r="AA2" s="658"/>
      <c r="AB2" s="658"/>
      <c r="AC2" s="658"/>
      <c r="AD2" s="659"/>
      <c r="AE2" s="659"/>
      <c r="AF2" s="659"/>
      <c r="AG2" s="659"/>
      <c r="AH2" s="659"/>
      <c r="AI2" s="659"/>
      <c r="AJ2" s="659"/>
      <c r="AK2" s="659"/>
      <c r="AL2" s="15"/>
      <c r="AM2" s="15"/>
      <c r="AN2" s="15"/>
      <c r="AO2" s="15"/>
      <c r="AP2" s="15"/>
      <c r="AQ2" s="15"/>
      <c r="AR2" s="15"/>
      <c r="AS2" s="15"/>
      <c r="AT2" s="15"/>
      <c r="AU2" s="15"/>
      <c r="AV2" s="15"/>
      <c r="AW2" s="15"/>
    </row>
    <row r="3" spans="1:49" s="404" customFormat="1" ht="13.5" customHeight="1" x14ac:dyDescent="0.15">
      <c r="A3" s="660" t="s">
        <v>94</v>
      </c>
      <c r="B3" s="660"/>
      <c r="C3" s="660"/>
      <c r="D3" s="660"/>
      <c r="E3" s="660"/>
      <c r="F3" s="660"/>
      <c r="G3" s="661"/>
      <c r="H3" s="661"/>
      <c r="I3" s="661"/>
      <c r="J3" s="661"/>
      <c r="K3" s="661"/>
      <c r="L3" s="661"/>
      <c r="M3" s="661"/>
      <c r="N3" s="661"/>
      <c r="O3" s="661"/>
      <c r="P3" s="661"/>
      <c r="Q3" s="661"/>
      <c r="R3" s="662" t="s">
        <v>95</v>
      </c>
      <c r="S3" s="663"/>
      <c r="T3" s="663"/>
      <c r="U3" s="664"/>
      <c r="V3" s="665"/>
      <c r="W3" s="666"/>
      <c r="X3" s="666"/>
      <c r="Y3" s="666"/>
      <c r="Z3" s="666"/>
      <c r="AA3" s="666"/>
      <c r="AB3" s="666"/>
      <c r="AC3" s="667"/>
      <c r="AD3" s="668" t="s">
        <v>96</v>
      </c>
      <c r="AE3" s="669"/>
      <c r="AF3" s="670"/>
      <c r="AG3" s="671"/>
      <c r="AH3" s="672"/>
      <c r="AI3" s="672"/>
      <c r="AJ3" s="672"/>
      <c r="AK3" s="673"/>
      <c r="AL3" s="15"/>
      <c r="AM3" s="15"/>
      <c r="AN3" s="15"/>
      <c r="AO3" s="15"/>
      <c r="AP3" s="15"/>
      <c r="AQ3" s="15"/>
      <c r="AR3" s="15"/>
      <c r="AS3" s="15"/>
      <c r="AT3" s="15"/>
      <c r="AU3" s="15"/>
      <c r="AV3" s="15"/>
      <c r="AW3" s="15"/>
    </row>
    <row r="4" spans="1:49" s="404" customFormat="1" ht="13.5" customHeight="1" x14ac:dyDescent="0.15">
      <c r="A4" s="674" t="s">
        <v>97</v>
      </c>
      <c r="B4" s="677" t="s">
        <v>98</v>
      </c>
      <c r="C4" s="670"/>
      <c r="D4" s="671"/>
      <c r="E4" s="672"/>
      <c r="F4" s="672"/>
      <c r="G4" s="672"/>
      <c r="H4" s="672"/>
      <c r="I4" s="672"/>
      <c r="J4" s="672"/>
      <c r="K4" s="672"/>
      <c r="L4" s="672"/>
      <c r="M4" s="672"/>
      <c r="N4" s="672"/>
      <c r="O4" s="672"/>
      <c r="P4" s="672"/>
      <c r="Q4" s="673"/>
      <c r="R4" s="678" t="s">
        <v>99</v>
      </c>
      <c r="S4" s="669"/>
      <c r="T4" s="669"/>
      <c r="U4" s="669"/>
      <c r="V4" s="669"/>
      <c r="W4" s="670"/>
      <c r="X4" s="678" t="s">
        <v>100</v>
      </c>
      <c r="Y4" s="669"/>
      <c r="Z4" s="669"/>
      <c r="AA4" s="669"/>
      <c r="AB4" s="669"/>
      <c r="AC4" s="670"/>
      <c r="AD4" s="678" t="s">
        <v>1258</v>
      </c>
      <c r="AE4" s="669"/>
      <c r="AF4" s="669"/>
      <c r="AG4" s="669"/>
      <c r="AH4" s="669"/>
      <c r="AI4" s="669"/>
      <c r="AJ4" s="669"/>
      <c r="AK4" s="670"/>
      <c r="AL4" s="15"/>
      <c r="AM4" s="15"/>
      <c r="AN4" s="15"/>
      <c r="AO4" s="15"/>
      <c r="AP4" s="15"/>
      <c r="AQ4" s="15"/>
      <c r="AR4" s="15"/>
      <c r="AS4" s="15"/>
      <c r="AT4" s="15"/>
      <c r="AU4" s="15"/>
      <c r="AV4" s="15"/>
      <c r="AW4" s="15"/>
    </row>
    <row r="5" spans="1:49" s="404" customFormat="1" ht="13.5" customHeight="1" x14ac:dyDescent="0.15">
      <c r="A5" s="675"/>
      <c r="B5" s="679" t="s">
        <v>101</v>
      </c>
      <c r="C5" s="680"/>
      <c r="D5" s="681"/>
      <c r="E5" s="682"/>
      <c r="F5" s="682"/>
      <c r="G5" s="682"/>
      <c r="H5" s="682"/>
      <c r="I5" s="682"/>
      <c r="J5" s="682"/>
      <c r="K5" s="682"/>
      <c r="L5" s="682"/>
      <c r="M5" s="682"/>
      <c r="N5" s="682"/>
      <c r="O5" s="682"/>
      <c r="P5" s="684" t="s">
        <v>102</v>
      </c>
      <c r="Q5" s="685"/>
      <c r="R5" s="686"/>
      <c r="S5" s="656"/>
      <c r="T5" s="656"/>
      <c r="U5" s="656"/>
      <c r="V5" s="656"/>
      <c r="W5" s="685"/>
      <c r="X5" s="687"/>
      <c r="Y5" s="688"/>
      <c r="Z5" s="688"/>
      <c r="AA5" s="688"/>
      <c r="AB5" s="688"/>
      <c r="AC5" s="689"/>
      <c r="AD5" s="686"/>
      <c r="AE5" s="656"/>
      <c r="AF5" s="656"/>
      <c r="AG5" s="656"/>
      <c r="AH5" s="656"/>
      <c r="AI5" s="685"/>
      <c r="AJ5" s="686" t="s">
        <v>103</v>
      </c>
      <c r="AK5" s="685"/>
      <c r="AL5" s="15"/>
      <c r="AM5" s="15"/>
      <c r="AN5" s="15"/>
      <c r="AO5" s="15"/>
      <c r="AP5" s="15"/>
      <c r="AQ5" s="15"/>
      <c r="AR5" s="15"/>
      <c r="AS5" s="15"/>
      <c r="AT5" s="15"/>
      <c r="AU5" s="15"/>
      <c r="AV5" s="15"/>
      <c r="AW5" s="15"/>
    </row>
    <row r="6" spans="1:49" s="404" customFormat="1" ht="13.5" customHeight="1" x14ac:dyDescent="0.15">
      <c r="A6" s="675"/>
      <c r="B6" s="669"/>
      <c r="C6" s="670"/>
      <c r="D6" s="683"/>
      <c r="E6" s="683"/>
      <c r="F6" s="683"/>
      <c r="G6" s="683"/>
      <c r="H6" s="683"/>
      <c r="I6" s="683"/>
      <c r="J6" s="683"/>
      <c r="K6" s="683"/>
      <c r="L6" s="683"/>
      <c r="M6" s="683"/>
      <c r="N6" s="683"/>
      <c r="O6" s="683"/>
      <c r="P6" s="672"/>
      <c r="Q6" s="673"/>
      <c r="R6" s="672"/>
      <c r="S6" s="672"/>
      <c r="T6" s="672"/>
      <c r="U6" s="672"/>
      <c r="V6" s="672"/>
      <c r="W6" s="673"/>
      <c r="X6" s="690"/>
      <c r="Y6" s="690"/>
      <c r="Z6" s="690"/>
      <c r="AA6" s="690"/>
      <c r="AB6" s="690"/>
      <c r="AC6" s="691"/>
      <c r="AD6" s="672"/>
      <c r="AE6" s="672"/>
      <c r="AF6" s="672"/>
      <c r="AG6" s="672"/>
      <c r="AH6" s="672"/>
      <c r="AI6" s="673"/>
      <c r="AJ6" s="672"/>
      <c r="AK6" s="673"/>
      <c r="AL6" s="15"/>
      <c r="AM6" s="15"/>
      <c r="AN6" s="15"/>
      <c r="AO6" s="15"/>
      <c r="AP6" s="15"/>
      <c r="AQ6" s="15"/>
      <c r="AR6" s="15"/>
      <c r="AS6" s="15"/>
      <c r="AT6" s="15"/>
      <c r="AU6" s="15"/>
      <c r="AV6" s="15"/>
      <c r="AW6" s="15"/>
    </row>
    <row r="7" spans="1:49" s="404" customFormat="1" ht="13.5" customHeight="1" x14ac:dyDescent="0.15">
      <c r="A7" s="675"/>
      <c r="B7" s="679" t="s">
        <v>104</v>
      </c>
      <c r="C7" s="680"/>
      <c r="D7" s="686"/>
      <c r="E7" s="656"/>
      <c r="F7" s="656"/>
      <c r="G7" s="656"/>
      <c r="H7" s="656"/>
      <c r="I7" s="656"/>
      <c r="J7" s="656"/>
      <c r="K7" s="656"/>
      <c r="L7" s="656"/>
      <c r="M7" s="656"/>
      <c r="N7" s="656"/>
      <c r="O7" s="656"/>
      <c r="P7" s="656"/>
      <c r="Q7" s="656"/>
      <c r="R7" s="656"/>
      <c r="S7" s="656"/>
      <c r="T7" s="656"/>
      <c r="U7" s="656"/>
      <c r="V7" s="656"/>
      <c r="W7" s="656"/>
      <c r="X7" s="656"/>
      <c r="Y7" s="656"/>
      <c r="Z7" s="685"/>
      <c r="AA7" s="692" t="s">
        <v>105</v>
      </c>
      <c r="AB7" s="693"/>
      <c r="AC7" s="680"/>
      <c r="AD7" s="686"/>
      <c r="AE7" s="656"/>
      <c r="AF7" s="656"/>
      <c r="AG7" s="656"/>
      <c r="AH7" s="656"/>
      <c r="AI7" s="656"/>
      <c r="AJ7" s="656"/>
      <c r="AK7" s="685"/>
      <c r="AL7" s="15"/>
      <c r="AM7" s="15"/>
      <c r="AN7" s="15"/>
      <c r="AO7" s="15"/>
      <c r="AP7" s="15"/>
      <c r="AQ7" s="15"/>
      <c r="AR7" s="15"/>
      <c r="AS7" s="15"/>
      <c r="AT7" s="15"/>
      <c r="AU7" s="15"/>
      <c r="AV7" s="15"/>
      <c r="AW7" s="15"/>
    </row>
    <row r="8" spans="1:49" s="404" customFormat="1" ht="13.5" customHeight="1" x14ac:dyDescent="0.15">
      <c r="A8" s="676"/>
      <c r="B8" s="669"/>
      <c r="C8" s="670"/>
      <c r="D8" s="672"/>
      <c r="E8" s="672"/>
      <c r="F8" s="672"/>
      <c r="G8" s="672"/>
      <c r="H8" s="672"/>
      <c r="I8" s="672"/>
      <c r="J8" s="672"/>
      <c r="K8" s="672"/>
      <c r="L8" s="672"/>
      <c r="M8" s="672"/>
      <c r="N8" s="672"/>
      <c r="O8" s="672"/>
      <c r="P8" s="672"/>
      <c r="Q8" s="672"/>
      <c r="R8" s="672"/>
      <c r="S8" s="672"/>
      <c r="T8" s="672"/>
      <c r="U8" s="672"/>
      <c r="V8" s="672"/>
      <c r="W8" s="672"/>
      <c r="X8" s="672"/>
      <c r="Y8" s="672"/>
      <c r="Z8" s="673"/>
      <c r="AA8" s="669"/>
      <c r="AB8" s="669"/>
      <c r="AC8" s="670"/>
      <c r="AD8" s="672"/>
      <c r="AE8" s="672"/>
      <c r="AF8" s="672"/>
      <c r="AG8" s="672"/>
      <c r="AH8" s="672"/>
      <c r="AI8" s="672"/>
      <c r="AJ8" s="672"/>
      <c r="AK8" s="673"/>
      <c r="AL8" s="15"/>
      <c r="AM8" s="15"/>
      <c r="AN8" s="15"/>
      <c r="AO8" s="15"/>
      <c r="AP8" s="15"/>
      <c r="AQ8" s="15"/>
      <c r="AR8" s="15"/>
      <c r="AS8" s="15"/>
      <c r="AT8" s="15"/>
      <c r="AU8" s="15"/>
      <c r="AV8" s="15"/>
      <c r="AW8" s="15"/>
    </row>
    <row r="9" spans="1:49" s="404" customFormat="1" ht="13.5" customHeight="1" x14ac:dyDescent="0.15">
      <c r="A9" s="674" t="s">
        <v>106</v>
      </c>
      <c r="B9" s="692" t="s">
        <v>107</v>
      </c>
      <c r="C9" s="694"/>
      <c r="D9" s="695"/>
      <c r="E9" s="678" t="s">
        <v>108</v>
      </c>
      <c r="F9" s="696"/>
      <c r="G9" s="696"/>
      <c r="H9" s="696"/>
      <c r="I9" s="697"/>
      <c r="J9" s="678" t="s">
        <v>109</v>
      </c>
      <c r="K9" s="696"/>
      <c r="L9" s="696"/>
      <c r="M9" s="696"/>
      <c r="N9" s="696"/>
      <c r="O9" s="696"/>
      <c r="P9" s="697"/>
      <c r="Q9" s="698" t="s">
        <v>110</v>
      </c>
      <c r="R9" s="699"/>
      <c r="S9" s="699"/>
      <c r="T9" s="699"/>
      <c r="U9" s="700"/>
      <c r="V9" s="698" t="s">
        <v>111</v>
      </c>
      <c r="W9" s="699"/>
      <c r="X9" s="699"/>
      <c r="Y9" s="699"/>
      <c r="Z9" s="699"/>
      <c r="AA9" s="699"/>
      <c r="AB9" s="699"/>
      <c r="AC9" s="699"/>
      <c r="AD9" s="699"/>
      <c r="AE9" s="699"/>
      <c r="AF9" s="699"/>
      <c r="AG9" s="699"/>
      <c r="AH9" s="700"/>
      <c r="AI9" s="678" t="s">
        <v>112</v>
      </c>
      <c r="AJ9" s="696"/>
      <c r="AK9" s="697"/>
      <c r="AL9" s="15"/>
      <c r="AM9" s="15"/>
      <c r="AN9" s="15"/>
      <c r="AO9" s="15"/>
      <c r="AP9" s="15"/>
      <c r="AQ9" s="15"/>
      <c r="AR9" s="15"/>
      <c r="AS9" s="15"/>
      <c r="AT9" s="15"/>
      <c r="AU9" s="15"/>
      <c r="AV9" s="15"/>
      <c r="AW9" s="15"/>
    </row>
    <row r="10" spans="1:49" s="404" customFormat="1" ht="13.5" customHeight="1" x14ac:dyDescent="0.15">
      <c r="A10" s="675"/>
      <c r="B10" s="694"/>
      <c r="C10" s="694"/>
      <c r="D10" s="695"/>
      <c r="E10" s="686"/>
      <c r="F10" s="656"/>
      <c r="G10" s="656"/>
      <c r="H10" s="656"/>
      <c r="I10" s="685"/>
      <c r="J10" s="686"/>
      <c r="K10" s="656"/>
      <c r="L10" s="656"/>
      <c r="M10" s="656"/>
      <c r="N10" s="656"/>
      <c r="O10" s="656"/>
      <c r="P10" s="685"/>
      <c r="Q10" s="701"/>
      <c r="R10" s="656"/>
      <c r="S10" s="656"/>
      <c r="T10" s="656"/>
      <c r="U10" s="685"/>
      <c r="V10" s="701"/>
      <c r="W10" s="656"/>
      <c r="X10" s="656"/>
      <c r="Y10" s="656"/>
      <c r="Z10" s="656"/>
      <c r="AA10" s="656"/>
      <c r="AB10" s="653" t="s">
        <v>113</v>
      </c>
      <c r="AC10" s="686"/>
      <c r="AD10" s="656"/>
      <c r="AE10" s="656"/>
      <c r="AF10" s="656"/>
      <c r="AG10" s="656"/>
      <c r="AH10" s="685"/>
      <c r="AI10" s="686"/>
      <c r="AJ10" s="656"/>
      <c r="AK10" s="685"/>
      <c r="AL10" s="15"/>
      <c r="AM10" s="15"/>
      <c r="AN10" s="15"/>
      <c r="AO10" s="15"/>
      <c r="AP10" s="15"/>
      <c r="AQ10" s="15"/>
      <c r="AR10" s="15"/>
      <c r="AS10" s="15"/>
      <c r="AT10" s="15"/>
      <c r="AU10" s="15"/>
      <c r="AV10" s="15"/>
      <c r="AW10" s="15"/>
    </row>
    <row r="11" spans="1:49" s="404" customFormat="1" ht="13.5" customHeight="1" x14ac:dyDescent="0.15">
      <c r="A11" s="675"/>
      <c r="B11" s="696"/>
      <c r="C11" s="696"/>
      <c r="D11" s="697"/>
      <c r="E11" s="672"/>
      <c r="F11" s="672"/>
      <c r="G11" s="672"/>
      <c r="H11" s="672"/>
      <c r="I11" s="673"/>
      <c r="J11" s="672"/>
      <c r="K11" s="672"/>
      <c r="L11" s="672"/>
      <c r="M11" s="672"/>
      <c r="N11" s="672"/>
      <c r="O11" s="672"/>
      <c r="P11" s="673"/>
      <c r="Q11" s="702"/>
      <c r="R11" s="672"/>
      <c r="S11" s="672"/>
      <c r="T11" s="672"/>
      <c r="U11" s="673"/>
      <c r="V11" s="702"/>
      <c r="W11" s="672"/>
      <c r="X11" s="672"/>
      <c r="Y11" s="672"/>
      <c r="Z11" s="672"/>
      <c r="AA11" s="672"/>
      <c r="AB11" s="703"/>
      <c r="AC11" s="672"/>
      <c r="AD11" s="672"/>
      <c r="AE11" s="672"/>
      <c r="AF11" s="672"/>
      <c r="AG11" s="672"/>
      <c r="AH11" s="673"/>
      <c r="AI11" s="672"/>
      <c r="AJ11" s="672"/>
      <c r="AK11" s="673"/>
      <c r="AL11" s="15"/>
      <c r="AM11" s="15"/>
      <c r="AN11" s="15"/>
      <c r="AO11" s="15"/>
      <c r="AP11" s="15"/>
      <c r="AQ11" s="15"/>
      <c r="AR11" s="15"/>
      <c r="AS11" s="15"/>
      <c r="AT11" s="15"/>
      <c r="AU11" s="15"/>
      <c r="AV11" s="15"/>
      <c r="AW11" s="15"/>
    </row>
    <row r="12" spans="1:49" s="404" customFormat="1" ht="13.5" customHeight="1" x14ac:dyDescent="0.15">
      <c r="A12" s="675"/>
      <c r="B12" s="678" t="s">
        <v>114</v>
      </c>
      <c r="C12" s="696"/>
      <c r="D12" s="696"/>
      <c r="E12" s="696"/>
      <c r="F12" s="696"/>
      <c r="G12" s="696"/>
      <c r="H12" s="696"/>
      <c r="I12" s="696"/>
      <c r="J12" s="696"/>
      <c r="K12" s="696"/>
      <c r="L12" s="697"/>
      <c r="M12" s="678" t="s">
        <v>115</v>
      </c>
      <c r="N12" s="696"/>
      <c r="O12" s="696"/>
      <c r="P12" s="696"/>
      <c r="Q12" s="697"/>
      <c r="R12" s="678" t="s">
        <v>116</v>
      </c>
      <c r="S12" s="696"/>
      <c r="T12" s="696"/>
      <c r="U12" s="697"/>
      <c r="V12" s="678" t="s">
        <v>117</v>
      </c>
      <c r="W12" s="696"/>
      <c r="X12" s="696"/>
      <c r="Y12" s="697"/>
      <c r="Z12" s="677" t="s">
        <v>118</v>
      </c>
      <c r="AA12" s="704"/>
      <c r="AB12" s="704"/>
      <c r="AC12" s="704"/>
      <c r="AD12" s="704"/>
      <c r="AE12" s="705"/>
      <c r="AF12" s="677" t="s">
        <v>119</v>
      </c>
      <c r="AG12" s="704"/>
      <c r="AH12" s="704"/>
      <c r="AI12" s="704"/>
      <c r="AJ12" s="704"/>
      <c r="AK12" s="705"/>
      <c r="AL12" s="15"/>
      <c r="AM12" s="15"/>
      <c r="AN12" s="15"/>
      <c r="AO12" s="15"/>
      <c r="AP12" s="15"/>
      <c r="AQ12" s="15"/>
      <c r="AR12" s="15"/>
      <c r="AS12" s="15"/>
      <c r="AT12" s="15"/>
      <c r="AU12" s="15"/>
      <c r="AV12" s="15"/>
      <c r="AW12" s="15"/>
    </row>
    <row r="13" spans="1:49" s="404" customFormat="1" ht="13.5" customHeight="1" x14ac:dyDescent="0.15">
      <c r="A13" s="675"/>
      <c r="B13" s="686"/>
      <c r="C13" s="656"/>
      <c r="D13" s="656"/>
      <c r="E13" s="656"/>
      <c r="F13" s="656"/>
      <c r="G13" s="656"/>
      <c r="H13" s="656"/>
      <c r="I13" s="656"/>
      <c r="J13" s="656"/>
      <c r="K13" s="656"/>
      <c r="L13" s="685"/>
      <c r="M13" s="706"/>
      <c r="N13" s="707"/>
      <c r="O13" s="707"/>
      <c r="P13" s="707"/>
      <c r="Q13" s="708"/>
      <c r="R13" s="686"/>
      <c r="S13" s="656"/>
      <c r="T13" s="656"/>
      <c r="U13" s="685"/>
      <c r="V13" s="686"/>
      <c r="W13" s="656"/>
      <c r="X13" s="656"/>
      <c r="Y13" s="685"/>
      <c r="Z13" s="686"/>
      <c r="AA13" s="656"/>
      <c r="AB13" s="656"/>
      <c r="AC13" s="656"/>
      <c r="AD13" s="656"/>
      <c r="AE13" s="685"/>
      <c r="AF13" s="686"/>
      <c r="AG13" s="656"/>
      <c r="AH13" s="656"/>
      <c r="AI13" s="656"/>
      <c r="AJ13" s="656"/>
      <c r="AK13" s="685"/>
      <c r="AL13" s="15"/>
      <c r="AM13" s="15"/>
      <c r="AN13" s="15"/>
      <c r="AO13" s="15"/>
      <c r="AP13" s="15"/>
      <c r="AQ13" s="15"/>
      <c r="AR13" s="15"/>
      <c r="AS13" s="15"/>
      <c r="AT13" s="15"/>
      <c r="AU13" s="15"/>
      <c r="AV13" s="15"/>
      <c r="AW13" s="15"/>
    </row>
    <row r="14" spans="1:49" s="404" customFormat="1" ht="13.5" customHeight="1" x14ac:dyDescent="0.15">
      <c r="A14" s="676"/>
      <c r="B14" s="672"/>
      <c r="C14" s="672"/>
      <c r="D14" s="672"/>
      <c r="E14" s="672"/>
      <c r="F14" s="672"/>
      <c r="G14" s="672"/>
      <c r="H14" s="672"/>
      <c r="I14" s="672"/>
      <c r="J14" s="672"/>
      <c r="K14" s="672"/>
      <c r="L14" s="673"/>
      <c r="M14" s="709"/>
      <c r="N14" s="671"/>
      <c r="O14" s="671"/>
      <c r="P14" s="671"/>
      <c r="Q14" s="710"/>
      <c r="R14" s="672"/>
      <c r="S14" s="672"/>
      <c r="T14" s="672"/>
      <c r="U14" s="673"/>
      <c r="V14" s="672"/>
      <c r="W14" s="672"/>
      <c r="X14" s="672"/>
      <c r="Y14" s="673"/>
      <c r="Z14" s="672"/>
      <c r="AA14" s="672"/>
      <c r="AB14" s="672"/>
      <c r="AC14" s="672"/>
      <c r="AD14" s="672"/>
      <c r="AE14" s="673"/>
      <c r="AF14" s="672"/>
      <c r="AG14" s="672"/>
      <c r="AH14" s="672"/>
      <c r="AI14" s="672"/>
      <c r="AJ14" s="672"/>
      <c r="AK14" s="673"/>
      <c r="AL14" s="15"/>
      <c r="AM14" s="15"/>
      <c r="AN14" s="15"/>
      <c r="AO14" s="15"/>
      <c r="AP14" s="15"/>
      <c r="AQ14" s="15"/>
      <c r="AR14" s="15"/>
      <c r="AS14" s="15"/>
      <c r="AT14" s="15"/>
      <c r="AU14" s="15"/>
      <c r="AV14" s="15"/>
      <c r="AW14" s="15"/>
    </row>
    <row r="15" spans="1:49" s="404" customFormat="1" ht="13.5" customHeight="1" x14ac:dyDescent="0.15">
      <c r="A15" s="674" t="s">
        <v>120</v>
      </c>
      <c r="B15" s="698" t="s">
        <v>121</v>
      </c>
      <c r="C15" s="711"/>
      <c r="D15" s="711"/>
      <c r="E15" s="711"/>
      <c r="F15" s="711"/>
      <c r="G15" s="711"/>
      <c r="H15" s="711"/>
      <c r="I15" s="698" t="s">
        <v>122</v>
      </c>
      <c r="J15" s="711"/>
      <c r="K15" s="712"/>
      <c r="L15" s="698" t="s">
        <v>104</v>
      </c>
      <c r="M15" s="711"/>
      <c r="N15" s="711"/>
      <c r="O15" s="711"/>
      <c r="P15" s="711"/>
      <c r="Q15" s="711"/>
      <c r="R15" s="712"/>
      <c r="S15" s="698" t="s">
        <v>105</v>
      </c>
      <c r="T15" s="711"/>
      <c r="U15" s="711"/>
      <c r="V15" s="711"/>
      <c r="W15" s="712"/>
      <c r="X15" s="698" t="s">
        <v>124</v>
      </c>
      <c r="Y15" s="711"/>
      <c r="Z15" s="712"/>
      <c r="AA15" s="698" t="s">
        <v>123</v>
      </c>
      <c r="AB15" s="711"/>
      <c r="AC15" s="712"/>
      <c r="AD15" s="698" t="s">
        <v>125</v>
      </c>
      <c r="AE15" s="712"/>
      <c r="AF15" s="698" t="s">
        <v>126</v>
      </c>
      <c r="AG15" s="711"/>
      <c r="AH15" s="711"/>
      <c r="AI15" s="711"/>
      <c r="AJ15" s="711"/>
      <c r="AK15" s="712"/>
      <c r="AL15" s="15"/>
      <c r="AM15" s="15"/>
      <c r="AN15" s="15"/>
      <c r="AO15" s="15"/>
      <c r="AP15" s="15"/>
      <c r="AQ15" s="15"/>
      <c r="AR15" s="15"/>
      <c r="AS15" s="15"/>
      <c r="AT15" s="15"/>
      <c r="AU15" s="15"/>
      <c r="AV15" s="15"/>
      <c r="AW15" s="15"/>
    </row>
    <row r="16" spans="1:49" s="404" customFormat="1" ht="13.5" customHeight="1" x14ac:dyDescent="0.15">
      <c r="A16" s="675"/>
      <c r="B16" s="713" t="s">
        <v>127</v>
      </c>
      <c r="C16" s="686"/>
      <c r="D16" s="656"/>
      <c r="E16" s="656"/>
      <c r="F16" s="656"/>
      <c r="G16" s="656"/>
      <c r="H16" s="714" t="s">
        <v>102</v>
      </c>
      <c r="I16" s="706"/>
      <c r="J16" s="716"/>
      <c r="K16" s="717"/>
      <c r="L16" s="718"/>
      <c r="M16" s="719"/>
      <c r="N16" s="719"/>
      <c r="O16" s="719"/>
      <c r="P16" s="719"/>
      <c r="Q16" s="719"/>
      <c r="R16" s="720"/>
      <c r="S16" s="706"/>
      <c r="T16" s="716"/>
      <c r="U16" s="716"/>
      <c r="V16" s="716"/>
      <c r="W16" s="717"/>
      <c r="X16" s="706"/>
      <c r="Y16" s="716"/>
      <c r="Z16" s="717"/>
      <c r="AA16" s="706"/>
      <c r="AB16" s="716"/>
      <c r="AC16" s="717"/>
      <c r="AD16" s="706"/>
      <c r="AE16" s="717"/>
      <c r="AF16" s="706"/>
      <c r="AG16" s="716"/>
      <c r="AH16" s="716"/>
      <c r="AI16" s="716"/>
      <c r="AJ16" s="716"/>
      <c r="AK16" s="717"/>
      <c r="AL16" s="15"/>
      <c r="AM16" s="15"/>
      <c r="AN16" s="15"/>
      <c r="AO16" s="15"/>
      <c r="AP16" s="15"/>
      <c r="AQ16" s="15"/>
      <c r="AR16" s="15"/>
      <c r="AS16" s="15"/>
      <c r="AT16" s="15"/>
      <c r="AU16" s="15"/>
      <c r="AV16" s="15"/>
      <c r="AW16" s="15"/>
    </row>
    <row r="17" spans="1:49" s="404" customFormat="1" ht="13.5" customHeight="1" x14ac:dyDescent="0.15">
      <c r="A17" s="675"/>
      <c r="B17" s="703"/>
      <c r="C17" s="672"/>
      <c r="D17" s="672"/>
      <c r="E17" s="672"/>
      <c r="F17" s="672"/>
      <c r="G17" s="672"/>
      <c r="H17" s="715"/>
      <c r="I17" s="702"/>
      <c r="J17" s="672"/>
      <c r="K17" s="673"/>
      <c r="L17" s="721"/>
      <c r="M17" s="722"/>
      <c r="N17" s="722"/>
      <c r="O17" s="722"/>
      <c r="P17" s="722"/>
      <c r="Q17" s="722"/>
      <c r="R17" s="723"/>
      <c r="S17" s="702"/>
      <c r="T17" s="672"/>
      <c r="U17" s="672"/>
      <c r="V17" s="672"/>
      <c r="W17" s="673"/>
      <c r="X17" s="702"/>
      <c r="Y17" s="672"/>
      <c r="Z17" s="673"/>
      <c r="AA17" s="702"/>
      <c r="AB17" s="672"/>
      <c r="AC17" s="673"/>
      <c r="AD17" s="702"/>
      <c r="AE17" s="673"/>
      <c r="AF17" s="702"/>
      <c r="AG17" s="672"/>
      <c r="AH17" s="672"/>
      <c r="AI17" s="672"/>
      <c r="AJ17" s="672"/>
      <c r="AK17" s="673"/>
      <c r="AL17" s="15"/>
      <c r="AM17" s="15"/>
      <c r="AN17" s="15"/>
      <c r="AO17" s="15"/>
      <c r="AP17" s="15"/>
      <c r="AQ17" s="15"/>
      <c r="AR17" s="15"/>
      <c r="AS17" s="15"/>
      <c r="AT17" s="15"/>
      <c r="AU17" s="15"/>
      <c r="AV17" s="15"/>
      <c r="AW17" s="15"/>
    </row>
    <row r="18" spans="1:49" s="404" customFormat="1" ht="13.5" customHeight="1" x14ac:dyDescent="0.15">
      <c r="A18" s="675"/>
      <c r="B18" s="713" t="s">
        <v>128</v>
      </c>
      <c r="C18" s="686"/>
      <c r="D18" s="656"/>
      <c r="E18" s="656"/>
      <c r="F18" s="656"/>
      <c r="G18" s="656"/>
      <c r="H18" s="714" t="s">
        <v>102</v>
      </c>
      <c r="I18" s="706"/>
      <c r="J18" s="716"/>
      <c r="K18" s="717"/>
      <c r="L18" s="706"/>
      <c r="M18" s="716"/>
      <c r="N18" s="716"/>
      <c r="O18" s="716"/>
      <c r="P18" s="716"/>
      <c r="Q18" s="716"/>
      <c r="R18" s="717"/>
      <c r="S18" s="706"/>
      <c r="T18" s="716"/>
      <c r="U18" s="716"/>
      <c r="V18" s="716"/>
      <c r="W18" s="717"/>
      <c r="X18" s="706"/>
      <c r="Y18" s="716"/>
      <c r="Z18" s="717"/>
      <c r="AA18" s="706"/>
      <c r="AB18" s="716"/>
      <c r="AC18" s="717"/>
      <c r="AD18" s="706"/>
      <c r="AE18" s="717"/>
      <c r="AF18" s="706"/>
      <c r="AG18" s="716"/>
      <c r="AH18" s="716"/>
      <c r="AI18" s="716"/>
      <c r="AJ18" s="716"/>
      <c r="AK18" s="717"/>
      <c r="AL18" s="15"/>
      <c r="AM18" s="15"/>
      <c r="AN18" s="15"/>
      <c r="AO18" s="15"/>
      <c r="AP18" s="15"/>
      <c r="AQ18" s="15"/>
      <c r="AR18" s="15"/>
      <c r="AS18" s="15"/>
      <c r="AT18" s="15"/>
      <c r="AU18" s="15"/>
      <c r="AV18" s="15"/>
      <c r="AW18" s="15"/>
    </row>
    <row r="19" spans="1:49" s="404" customFormat="1" ht="13.5" customHeight="1" x14ac:dyDescent="0.15">
      <c r="A19" s="676"/>
      <c r="B19" s="703"/>
      <c r="C19" s="672"/>
      <c r="D19" s="672"/>
      <c r="E19" s="672"/>
      <c r="F19" s="672"/>
      <c r="G19" s="672"/>
      <c r="H19" s="715"/>
      <c r="I19" s="702"/>
      <c r="J19" s="672"/>
      <c r="K19" s="673"/>
      <c r="L19" s="702"/>
      <c r="M19" s="672"/>
      <c r="N19" s="672"/>
      <c r="O19" s="672"/>
      <c r="P19" s="672"/>
      <c r="Q19" s="672"/>
      <c r="R19" s="673"/>
      <c r="S19" s="702"/>
      <c r="T19" s="672"/>
      <c r="U19" s="672"/>
      <c r="V19" s="672"/>
      <c r="W19" s="673"/>
      <c r="X19" s="702"/>
      <c r="Y19" s="672"/>
      <c r="Z19" s="673"/>
      <c r="AA19" s="702"/>
      <c r="AB19" s="672"/>
      <c r="AC19" s="673"/>
      <c r="AD19" s="702"/>
      <c r="AE19" s="673"/>
      <c r="AF19" s="702"/>
      <c r="AG19" s="672"/>
      <c r="AH19" s="672"/>
      <c r="AI19" s="672"/>
      <c r="AJ19" s="672"/>
      <c r="AK19" s="673"/>
      <c r="AL19" s="15"/>
      <c r="AM19" s="15"/>
      <c r="AN19" s="15"/>
      <c r="AO19" s="15"/>
      <c r="AP19" s="15"/>
      <c r="AQ19" s="15"/>
      <c r="AR19" s="15"/>
      <c r="AS19" s="15"/>
      <c r="AT19" s="15"/>
      <c r="AU19" s="15"/>
      <c r="AV19" s="15"/>
      <c r="AW19" s="15"/>
    </row>
    <row r="20" spans="1:49" s="404" customFormat="1" ht="13.5" customHeight="1" x14ac:dyDescent="0.15">
      <c r="A20" s="724" t="s">
        <v>129</v>
      </c>
      <c r="B20" s="726" t="s">
        <v>130</v>
      </c>
      <c r="C20" s="669"/>
      <c r="D20" s="669"/>
      <c r="E20" s="670"/>
      <c r="F20" s="671"/>
      <c r="G20" s="672"/>
      <c r="H20" s="672"/>
      <c r="I20" s="672"/>
      <c r="J20" s="672"/>
      <c r="K20" s="672"/>
      <c r="L20" s="672"/>
      <c r="M20" s="673"/>
      <c r="N20" s="726" t="s">
        <v>131</v>
      </c>
      <c r="O20" s="669"/>
      <c r="P20" s="669"/>
      <c r="Q20" s="670"/>
      <c r="R20" s="671"/>
      <c r="S20" s="672"/>
      <c r="T20" s="672"/>
      <c r="U20" s="672"/>
      <c r="V20" s="672"/>
      <c r="W20" s="672"/>
      <c r="X20" s="672"/>
      <c r="Y20" s="673"/>
      <c r="Z20" s="726" t="s">
        <v>132</v>
      </c>
      <c r="AA20" s="669"/>
      <c r="AB20" s="669"/>
      <c r="AC20" s="670"/>
      <c r="AD20" s="671"/>
      <c r="AE20" s="672"/>
      <c r="AF20" s="672"/>
      <c r="AG20" s="672"/>
      <c r="AH20" s="672"/>
      <c r="AI20" s="672"/>
      <c r="AJ20" s="672"/>
      <c r="AK20" s="673"/>
      <c r="AL20" s="15"/>
      <c r="AM20" s="15"/>
      <c r="AN20" s="15"/>
      <c r="AO20" s="15"/>
      <c r="AP20" s="15"/>
      <c r="AQ20" s="15"/>
      <c r="AR20" s="15"/>
      <c r="AS20" s="15"/>
      <c r="AT20" s="15"/>
      <c r="AU20" s="15"/>
      <c r="AV20" s="15"/>
      <c r="AW20" s="15"/>
    </row>
    <row r="21" spans="1:49" s="404" customFormat="1" ht="13.5" customHeight="1" x14ac:dyDescent="0.15">
      <c r="A21" s="725"/>
      <c r="B21" s="726" t="s">
        <v>133</v>
      </c>
      <c r="C21" s="669"/>
      <c r="D21" s="669"/>
      <c r="E21" s="670"/>
      <c r="F21" s="727"/>
      <c r="G21" s="728"/>
      <c r="H21" s="728"/>
      <c r="I21" s="728"/>
      <c r="J21" s="728"/>
      <c r="K21" s="728"/>
      <c r="L21" s="728"/>
      <c r="M21" s="729"/>
      <c r="N21" s="726" t="s">
        <v>134</v>
      </c>
      <c r="O21" s="669"/>
      <c r="P21" s="669"/>
      <c r="Q21" s="670"/>
      <c r="R21" s="727"/>
      <c r="S21" s="728"/>
      <c r="T21" s="728"/>
      <c r="U21" s="728"/>
      <c r="V21" s="728"/>
      <c r="W21" s="728"/>
      <c r="X21" s="728"/>
      <c r="Y21" s="729"/>
      <c r="Z21" s="730" t="s">
        <v>135</v>
      </c>
      <c r="AA21" s="731"/>
      <c r="AB21" s="731"/>
      <c r="AC21" s="680"/>
      <c r="AD21" s="686"/>
      <c r="AE21" s="732"/>
      <c r="AF21" s="732"/>
      <c r="AG21" s="732"/>
      <c r="AH21" s="732"/>
      <c r="AI21" s="732"/>
      <c r="AJ21" s="732"/>
      <c r="AK21" s="685"/>
      <c r="AL21" s="15"/>
      <c r="AM21" s="15"/>
      <c r="AN21" s="15"/>
      <c r="AO21" s="15"/>
      <c r="AP21" s="15"/>
      <c r="AQ21" s="15"/>
      <c r="AR21" s="15"/>
      <c r="AS21" s="15"/>
      <c r="AT21" s="15"/>
      <c r="AU21" s="15"/>
      <c r="AV21" s="15"/>
      <c r="AW21" s="15"/>
    </row>
    <row r="22" spans="1:49" s="404" customFormat="1" ht="13.5" customHeight="1" x14ac:dyDescent="0.15">
      <c r="A22" s="725"/>
      <c r="B22" s="726" t="s">
        <v>1179</v>
      </c>
      <c r="C22" s="669"/>
      <c r="D22" s="669"/>
      <c r="E22" s="670"/>
      <c r="F22" s="671"/>
      <c r="G22" s="672"/>
      <c r="H22" s="672"/>
      <c r="I22" s="672"/>
      <c r="J22" s="672"/>
      <c r="K22" s="672"/>
      <c r="L22" s="672"/>
      <c r="M22" s="673"/>
      <c r="N22" s="726" t="s">
        <v>136</v>
      </c>
      <c r="O22" s="669"/>
      <c r="P22" s="669"/>
      <c r="Q22" s="670"/>
      <c r="R22" s="727"/>
      <c r="S22" s="728"/>
      <c r="T22" s="728"/>
      <c r="U22" s="728"/>
      <c r="V22" s="728"/>
      <c r="W22" s="728"/>
      <c r="X22" s="728"/>
      <c r="Y22" s="733"/>
      <c r="Z22" s="734" t="s">
        <v>1249</v>
      </c>
      <c r="AA22" s="734"/>
      <c r="AB22" s="734"/>
      <c r="AC22" s="734"/>
      <c r="AD22" s="734"/>
      <c r="AE22" s="734"/>
      <c r="AF22" s="735"/>
      <c r="AG22" s="735"/>
      <c r="AH22" s="735"/>
      <c r="AI22" s="735"/>
      <c r="AJ22" s="735"/>
      <c r="AK22" s="735"/>
      <c r="AL22" s="15"/>
      <c r="AM22" s="15"/>
      <c r="AN22" s="15"/>
      <c r="AO22" s="15"/>
      <c r="AP22" s="15"/>
      <c r="AQ22" s="15"/>
      <c r="AR22" s="15"/>
      <c r="AS22" s="15"/>
      <c r="AT22" s="15"/>
      <c r="AU22" s="15"/>
      <c r="AV22" s="15"/>
      <c r="AW22" s="15"/>
    </row>
    <row r="23" spans="1:49" s="404" customFormat="1" ht="13.5" customHeight="1" x14ac:dyDescent="0.15">
      <c r="A23" s="725"/>
      <c r="B23" s="726" t="s">
        <v>137</v>
      </c>
      <c r="C23" s="669"/>
      <c r="D23" s="669"/>
      <c r="E23" s="670"/>
      <c r="F23" s="671"/>
      <c r="G23" s="672"/>
      <c r="H23" s="672"/>
      <c r="I23" s="672"/>
      <c r="J23" s="672"/>
      <c r="K23" s="672"/>
      <c r="L23" s="672"/>
      <c r="M23" s="673"/>
      <c r="N23" s="726" t="s">
        <v>138</v>
      </c>
      <c r="O23" s="669"/>
      <c r="P23" s="669"/>
      <c r="Q23" s="670"/>
      <c r="R23" s="671"/>
      <c r="S23" s="672"/>
      <c r="T23" s="672"/>
      <c r="U23" s="672"/>
      <c r="V23" s="672"/>
      <c r="W23" s="672"/>
      <c r="X23" s="672"/>
      <c r="Y23" s="672"/>
      <c r="Z23" s="736" t="s">
        <v>139</v>
      </c>
      <c r="AA23" s="736"/>
      <c r="AB23" s="736"/>
      <c r="AC23" s="736"/>
      <c r="AD23" s="736"/>
      <c r="AE23" s="735"/>
      <c r="AF23" s="735"/>
      <c r="AG23" s="735"/>
      <c r="AH23" s="735"/>
      <c r="AI23" s="735"/>
      <c r="AJ23" s="735"/>
      <c r="AK23" s="735"/>
      <c r="AL23" s="15"/>
      <c r="AM23" s="15"/>
      <c r="AN23" s="15"/>
      <c r="AO23" s="15"/>
      <c r="AP23" s="15"/>
      <c r="AQ23" s="15"/>
      <c r="AR23" s="15"/>
      <c r="AS23" s="15"/>
      <c r="AT23" s="15"/>
      <c r="AU23" s="15"/>
      <c r="AV23" s="15"/>
      <c r="AW23" s="15"/>
    </row>
    <row r="24" spans="1:49" s="404" customFormat="1" ht="13.5" customHeight="1" x14ac:dyDescent="0.15">
      <c r="A24" s="737" t="s">
        <v>140</v>
      </c>
      <c r="B24" s="738" t="s">
        <v>141</v>
      </c>
      <c r="C24" s="669"/>
      <c r="D24" s="669"/>
      <c r="E24" s="669"/>
      <c r="F24" s="669"/>
      <c r="G24" s="669"/>
      <c r="H24" s="669"/>
      <c r="I24" s="669"/>
      <c r="J24" s="669"/>
      <c r="K24" s="669"/>
      <c r="L24" s="669"/>
      <c r="M24" s="670"/>
      <c r="N24" s="739" t="s">
        <v>142</v>
      </c>
      <c r="O24" s="740"/>
      <c r="P24" s="740"/>
      <c r="Q24" s="741"/>
      <c r="R24" s="679" t="s">
        <v>143</v>
      </c>
      <c r="S24" s="731"/>
      <c r="T24" s="731"/>
      <c r="U24" s="731"/>
      <c r="V24" s="731"/>
      <c r="W24" s="731"/>
      <c r="X24" s="731"/>
      <c r="Y24" s="731"/>
      <c r="Z24" s="731"/>
      <c r="AA24" s="731"/>
      <c r="AB24" s="731"/>
      <c r="AC24" s="731"/>
      <c r="AD24" s="731"/>
      <c r="AE24" s="731"/>
      <c r="AF24" s="731"/>
      <c r="AG24" s="731"/>
      <c r="AH24" s="731"/>
      <c r="AI24" s="731"/>
      <c r="AJ24" s="731"/>
      <c r="AK24" s="680"/>
      <c r="AL24" s="15"/>
      <c r="AM24" s="15"/>
      <c r="AN24" s="15"/>
      <c r="AO24" s="15"/>
      <c r="AP24" s="15"/>
      <c r="AQ24" s="15"/>
      <c r="AR24" s="15"/>
      <c r="AS24" s="15"/>
      <c r="AT24" s="15"/>
      <c r="AU24" s="15"/>
      <c r="AV24" s="15"/>
      <c r="AW24" s="15"/>
    </row>
    <row r="25" spans="1:49" s="404" customFormat="1" ht="13.5" customHeight="1" x14ac:dyDescent="0.15">
      <c r="A25" s="737"/>
      <c r="B25" s="686"/>
      <c r="C25" s="656"/>
      <c r="D25" s="656"/>
      <c r="E25" s="656"/>
      <c r="F25" s="656"/>
      <c r="G25" s="656"/>
      <c r="H25" s="656"/>
      <c r="I25" s="656"/>
      <c r="J25" s="656"/>
      <c r="K25" s="656"/>
      <c r="L25" s="656"/>
      <c r="M25" s="685"/>
      <c r="N25" s="742"/>
      <c r="O25" s="743"/>
      <c r="P25" s="743"/>
      <c r="Q25" s="743"/>
      <c r="R25" s="744"/>
      <c r="S25" s="744"/>
      <c r="T25" s="744"/>
      <c r="U25" s="744"/>
      <c r="V25" s="744"/>
      <c r="W25" s="744"/>
      <c r="X25" s="744"/>
      <c r="Y25" s="744"/>
      <c r="Z25" s="744"/>
      <c r="AA25" s="744"/>
      <c r="AB25" s="744"/>
      <c r="AC25" s="744"/>
      <c r="AD25" s="744"/>
      <c r="AE25" s="744"/>
      <c r="AF25" s="744"/>
      <c r="AG25" s="744"/>
      <c r="AH25" s="744"/>
      <c r="AI25" s="744"/>
      <c r="AJ25" s="744"/>
      <c r="AK25" s="744"/>
      <c r="AL25" s="15"/>
      <c r="AM25" s="15"/>
      <c r="AN25" s="15"/>
      <c r="AO25" s="15"/>
      <c r="AP25" s="15"/>
      <c r="AQ25" s="15"/>
      <c r="AR25" s="15"/>
      <c r="AS25" s="15"/>
      <c r="AT25" s="15"/>
      <c r="AU25" s="15"/>
      <c r="AV25" s="15"/>
      <c r="AW25" s="15"/>
    </row>
    <row r="26" spans="1:49" s="404" customFormat="1" ht="13.5" customHeight="1" x14ac:dyDescent="0.15">
      <c r="A26" s="737"/>
      <c r="B26" s="732"/>
      <c r="C26" s="732"/>
      <c r="D26" s="732"/>
      <c r="E26" s="732"/>
      <c r="F26" s="732"/>
      <c r="G26" s="732"/>
      <c r="H26" s="732"/>
      <c r="I26" s="732"/>
      <c r="J26" s="732"/>
      <c r="K26" s="732"/>
      <c r="L26" s="732"/>
      <c r="M26" s="685"/>
      <c r="N26" s="743"/>
      <c r="O26" s="743"/>
      <c r="P26" s="743"/>
      <c r="Q26" s="743"/>
      <c r="R26" s="744"/>
      <c r="S26" s="744"/>
      <c r="T26" s="744"/>
      <c r="U26" s="744"/>
      <c r="V26" s="744"/>
      <c r="W26" s="744"/>
      <c r="X26" s="744"/>
      <c r="Y26" s="744"/>
      <c r="Z26" s="744"/>
      <c r="AA26" s="744"/>
      <c r="AB26" s="744"/>
      <c r="AC26" s="744"/>
      <c r="AD26" s="744"/>
      <c r="AE26" s="744"/>
      <c r="AF26" s="744"/>
      <c r="AG26" s="744"/>
      <c r="AH26" s="744"/>
      <c r="AI26" s="744"/>
      <c r="AJ26" s="744"/>
      <c r="AK26" s="744"/>
      <c r="AL26" s="15"/>
      <c r="AM26" s="15"/>
      <c r="AN26" s="15"/>
      <c r="AO26" s="15"/>
      <c r="AP26" s="15"/>
      <c r="AQ26" s="15"/>
      <c r="AR26" s="15"/>
      <c r="AS26" s="15"/>
      <c r="AT26" s="15"/>
      <c r="AU26" s="15"/>
      <c r="AV26" s="15"/>
      <c r="AW26" s="15"/>
    </row>
    <row r="27" spans="1:49" s="404" customFormat="1" ht="13.5" customHeight="1" x14ac:dyDescent="0.15">
      <c r="A27" s="737"/>
      <c r="B27" s="661"/>
      <c r="C27" s="661"/>
      <c r="D27" s="661"/>
      <c r="E27" s="661"/>
      <c r="F27" s="661"/>
      <c r="G27" s="661"/>
      <c r="H27" s="661"/>
      <c r="I27" s="661"/>
      <c r="J27" s="661"/>
      <c r="K27" s="661"/>
      <c r="L27" s="661"/>
      <c r="M27" s="661"/>
      <c r="N27" s="745"/>
      <c r="O27" s="745"/>
      <c r="P27" s="745"/>
      <c r="Q27" s="746"/>
      <c r="R27" s="744"/>
      <c r="S27" s="744"/>
      <c r="T27" s="744"/>
      <c r="U27" s="744"/>
      <c r="V27" s="744"/>
      <c r="W27" s="744"/>
      <c r="X27" s="744"/>
      <c r="Y27" s="744"/>
      <c r="Z27" s="744"/>
      <c r="AA27" s="744"/>
      <c r="AB27" s="744"/>
      <c r="AC27" s="744"/>
      <c r="AD27" s="744"/>
      <c r="AE27" s="744"/>
      <c r="AF27" s="744"/>
      <c r="AG27" s="744"/>
      <c r="AH27" s="744"/>
      <c r="AI27" s="744"/>
      <c r="AJ27" s="744"/>
      <c r="AK27" s="744"/>
      <c r="AL27" s="15"/>
      <c r="AM27" s="15"/>
      <c r="AN27" s="15"/>
      <c r="AO27" s="15"/>
      <c r="AP27" s="15"/>
      <c r="AQ27" s="15"/>
      <c r="AR27" s="15"/>
      <c r="AS27" s="15"/>
      <c r="AT27" s="15"/>
      <c r="AU27" s="15"/>
      <c r="AV27" s="15"/>
      <c r="AW27" s="15"/>
    </row>
    <row r="28" spans="1:49" s="404" customFormat="1" ht="13.5" customHeight="1" x14ac:dyDescent="0.15">
      <c r="A28" s="737"/>
      <c r="B28" s="661"/>
      <c r="C28" s="661"/>
      <c r="D28" s="661"/>
      <c r="E28" s="661"/>
      <c r="F28" s="661"/>
      <c r="G28" s="661"/>
      <c r="H28" s="661"/>
      <c r="I28" s="661"/>
      <c r="J28" s="661"/>
      <c r="K28" s="661"/>
      <c r="L28" s="661"/>
      <c r="M28" s="661"/>
      <c r="N28" s="745"/>
      <c r="O28" s="745"/>
      <c r="P28" s="745"/>
      <c r="Q28" s="745"/>
      <c r="R28" s="747" t="s">
        <v>1250</v>
      </c>
      <c r="S28" s="747"/>
      <c r="T28" s="747"/>
      <c r="U28" s="747"/>
      <c r="V28" s="748"/>
      <c r="W28" s="748"/>
      <c r="X28" s="748"/>
      <c r="Y28" s="748"/>
      <c r="Z28" s="748"/>
      <c r="AA28" s="748"/>
      <c r="AB28" s="748"/>
      <c r="AC28" s="748"/>
      <c r="AD28" s="748"/>
      <c r="AE28" s="748"/>
      <c r="AF28" s="748"/>
      <c r="AG28" s="748"/>
      <c r="AH28" s="748"/>
      <c r="AI28" s="748"/>
      <c r="AJ28" s="748"/>
      <c r="AK28" s="748"/>
      <c r="AL28" s="15"/>
      <c r="AM28" s="15"/>
      <c r="AN28" s="15"/>
      <c r="AO28" s="15"/>
      <c r="AP28" s="15"/>
      <c r="AQ28" s="15"/>
      <c r="AR28" s="15"/>
      <c r="AS28" s="15"/>
      <c r="AT28" s="15"/>
      <c r="AU28" s="15"/>
      <c r="AV28" s="15"/>
      <c r="AW28" s="15"/>
    </row>
    <row r="29" spans="1:49" s="404" customFormat="1" ht="13.5" customHeight="1" x14ac:dyDescent="0.15">
      <c r="A29" s="737"/>
      <c r="B29" s="735"/>
      <c r="C29" s="735"/>
      <c r="D29" s="735"/>
      <c r="E29" s="735"/>
      <c r="F29" s="735"/>
      <c r="G29" s="735"/>
      <c r="H29" s="735"/>
      <c r="I29" s="735"/>
      <c r="J29" s="735"/>
      <c r="K29" s="735"/>
      <c r="L29" s="735"/>
      <c r="M29" s="735"/>
      <c r="N29" s="735"/>
      <c r="O29" s="735"/>
      <c r="P29" s="735"/>
      <c r="Q29" s="735"/>
      <c r="R29" s="747"/>
      <c r="S29" s="747"/>
      <c r="T29" s="747"/>
      <c r="U29" s="747"/>
      <c r="V29" s="748"/>
      <c r="W29" s="748"/>
      <c r="X29" s="748"/>
      <c r="Y29" s="748"/>
      <c r="Z29" s="748"/>
      <c r="AA29" s="748"/>
      <c r="AB29" s="748"/>
      <c r="AC29" s="748"/>
      <c r="AD29" s="748"/>
      <c r="AE29" s="748"/>
      <c r="AF29" s="748"/>
      <c r="AG29" s="748"/>
      <c r="AH29" s="748"/>
      <c r="AI29" s="748"/>
      <c r="AJ29" s="748"/>
      <c r="AK29" s="748"/>
      <c r="AL29" s="15"/>
      <c r="AM29" s="15"/>
      <c r="AN29" s="15"/>
      <c r="AO29" s="15"/>
      <c r="AP29" s="15"/>
      <c r="AQ29" s="15"/>
      <c r="AR29" s="15"/>
      <c r="AS29" s="15"/>
      <c r="AT29" s="15"/>
      <c r="AU29" s="15"/>
      <c r="AV29" s="15"/>
      <c r="AW29" s="15"/>
    </row>
    <row r="30" spans="1:49" s="404" customFormat="1" ht="13.5" customHeight="1" x14ac:dyDescent="0.15">
      <c r="A30" s="737"/>
      <c r="B30" s="735"/>
      <c r="C30" s="735"/>
      <c r="D30" s="735"/>
      <c r="E30" s="735"/>
      <c r="F30" s="735"/>
      <c r="G30" s="735"/>
      <c r="H30" s="735"/>
      <c r="I30" s="735"/>
      <c r="J30" s="735"/>
      <c r="K30" s="735"/>
      <c r="L30" s="735"/>
      <c r="M30" s="735"/>
      <c r="N30" s="735"/>
      <c r="O30" s="735"/>
      <c r="P30" s="735"/>
      <c r="Q30" s="735"/>
      <c r="R30" s="749" t="s">
        <v>1251</v>
      </c>
      <c r="S30" s="750"/>
      <c r="T30" s="750"/>
      <c r="U30" s="751"/>
      <c r="V30" s="752"/>
      <c r="W30" s="753"/>
      <c r="X30" s="753"/>
      <c r="Y30" s="753"/>
      <c r="Z30" s="753"/>
      <c r="AA30" s="753"/>
      <c r="AB30" s="753"/>
      <c r="AC30" s="754"/>
      <c r="AD30" s="756"/>
      <c r="AE30" s="756"/>
      <c r="AF30" s="756"/>
      <c r="AG30" s="756"/>
      <c r="AH30" s="756"/>
      <c r="AI30" s="756"/>
      <c r="AJ30" s="757" t="s">
        <v>1224</v>
      </c>
      <c r="AK30" s="758"/>
      <c r="AL30" s="15"/>
      <c r="AM30" s="15"/>
      <c r="AN30" s="15"/>
      <c r="AO30" s="15"/>
      <c r="AP30" s="15"/>
      <c r="AQ30" s="15"/>
      <c r="AR30" s="15"/>
      <c r="AS30" s="15"/>
      <c r="AT30" s="15"/>
      <c r="AU30" s="15"/>
      <c r="AV30" s="15"/>
      <c r="AW30" s="15"/>
    </row>
    <row r="31" spans="1:49" s="404" customFormat="1" ht="13.5" customHeight="1" x14ac:dyDescent="0.15">
      <c r="A31" s="737"/>
      <c r="B31" s="735"/>
      <c r="C31" s="735"/>
      <c r="D31" s="735"/>
      <c r="E31" s="735"/>
      <c r="F31" s="735"/>
      <c r="G31" s="735"/>
      <c r="H31" s="735"/>
      <c r="I31" s="735"/>
      <c r="J31" s="735"/>
      <c r="K31" s="735"/>
      <c r="L31" s="735"/>
      <c r="M31" s="735"/>
      <c r="N31" s="735"/>
      <c r="O31" s="735"/>
      <c r="P31" s="735"/>
      <c r="Q31" s="735"/>
      <c r="R31" s="704"/>
      <c r="S31" s="704"/>
      <c r="T31" s="704"/>
      <c r="U31" s="705"/>
      <c r="V31" s="709"/>
      <c r="W31" s="671"/>
      <c r="X31" s="671"/>
      <c r="Y31" s="671"/>
      <c r="Z31" s="671"/>
      <c r="AA31" s="671"/>
      <c r="AB31" s="671"/>
      <c r="AC31" s="755"/>
      <c r="AD31" s="722"/>
      <c r="AE31" s="722"/>
      <c r="AF31" s="722"/>
      <c r="AG31" s="722"/>
      <c r="AH31" s="722"/>
      <c r="AI31" s="722"/>
      <c r="AJ31" s="703"/>
      <c r="AK31" s="715"/>
      <c r="AL31" s="15"/>
      <c r="AM31" s="15"/>
      <c r="AN31" s="15"/>
      <c r="AO31" s="15"/>
      <c r="AP31" s="15"/>
      <c r="AQ31" s="15"/>
      <c r="AR31" s="15"/>
      <c r="AS31" s="15"/>
      <c r="AT31" s="15"/>
      <c r="AU31" s="15"/>
      <c r="AV31" s="15"/>
      <c r="AW31" s="15"/>
    </row>
    <row r="32" spans="1:49" s="404" customFormat="1" ht="13.5" customHeight="1" x14ac:dyDescent="0.15">
      <c r="A32" s="737"/>
      <c r="B32" s="735"/>
      <c r="C32" s="735"/>
      <c r="D32" s="735"/>
      <c r="E32" s="735"/>
      <c r="F32" s="735"/>
      <c r="G32" s="735"/>
      <c r="H32" s="735"/>
      <c r="I32" s="735"/>
      <c r="J32" s="735"/>
      <c r="K32" s="735"/>
      <c r="L32" s="735"/>
      <c r="M32" s="735"/>
      <c r="N32" s="735"/>
      <c r="O32" s="735"/>
      <c r="P32" s="735"/>
      <c r="Q32" s="735"/>
      <c r="R32" s="759" t="s">
        <v>1225</v>
      </c>
      <c r="S32" s="760"/>
      <c r="T32" s="760"/>
      <c r="U32" s="761"/>
      <c r="V32" s="706"/>
      <c r="W32" s="707"/>
      <c r="X32" s="707"/>
      <c r="Y32" s="707"/>
      <c r="Z32" s="707"/>
      <c r="AA32" s="707"/>
      <c r="AB32" s="707"/>
      <c r="AC32" s="762"/>
      <c r="AD32" s="719"/>
      <c r="AE32" s="719"/>
      <c r="AF32" s="719"/>
      <c r="AG32" s="719"/>
      <c r="AH32" s="719"/>
      <c r="AI32" s="719"/>
      <c r="AJ32" s="763" t="s">
        <v>1224</v>
      </c>
      <c r="AK32" s="764"/>
      <c r="AL32" s="15"/>
      <c r="AM32" s="15"/>
      <c r="AN32" s="15"/>
      <c r="AO32" s="15"/>
      <c r="AP32" s="15"/>
      <c r="AQ32" s="15"/>
      <c r="AR32" s="15"/>
      <c r="AS32" s="15"/>
      <c r="AT32" s="15"/>
      <c r="AU32" s="15"/>
      <c r="AV32" s="15"/>
      <c r="AW32" s="15"/>
    </row>
    <row r="33" spans="1:49" s="404" customFormat="1" ht="13.5" customHeight="1" x14ac:dyDescent="0.15">
      <c r="A33" s="737"/>
      <c r="B33" s="735"/>
      <c r="C33" s="735"/>
      <c r="D33" s="735"/>
      <c r="E33" s="735"/>
      <c r="F33" s="735"/>
      <c r="G33" s="735"/>
      <c r="H33" s="735"/>
      <c r="I33" s="735"/>
      <c r="J33" s="735"/>
      <c r="K33" s="735"/>
      <c r="L33" s="735"/>
      <c r="M33" s="735"/>
      <c r="N33" s="735"/>
      <c r="O33" s="735"/>
      <c r="P33" s="735"/>
      <c r="Q33" s="735"/>
      <c r="R33" s="669"/>
      <c r="S33" s="669"/>
      <c r="T33" s="669"/>
      <c r="U33" s="670"/>
      <c r="V33" s="709"/>
      <c r="W33" s="671"/>
      <c r="X33" s="671"/>
      <c r="Y33" s="671"/>
      <c r="Z33" s="671"/>
      <c r="AA33" s="671"/>
      <c r="AB33" s="671"/>
      <c r="AC33" s="755"/>
      <c r="AD33" s="722"/>
      <c r="AE33" s="722"/>
      <c r="AF33" s="722"/>
      <c r="AG33" s="722"/>
      <c r="AH33" s="722"/>
      <c r="AI33" s="722"/>
      <c r="AJ33" s="703"/>
      <c r="AK33" s="715"/>
      <c r="AL33" s="15"/>
      <c r="AM33" s="15"/>
      <c r="AN33" s="15"/>
      <c r="AO33" s="15"/>
      <c r="AP33" s="15"/>
      <c r="AQ33" s="15"/>
      <c r="AR33" s="15"/>
      <c r="AS33" s="15"/>
      <c r="AT33" s="15"/>
      <c r="AU33" s="15"/>
      <c r="AV33" s="15"/>
      <c r="AW33" s="15"/>
    </row>
    <row r="34" spans="1:49" s="404" customFormat="1" ht="13.5" customHeight="1" x14ac:dyDescent="0.15">
      <c r="A34" s="737"/>
      <c r="B34" s="735"/>
      <c r="C34" s="735"/>
      <c r="D34" s="735"/>
      <c r="E34" s="735"/>
      <c r="F34" s="735"/>
      <c r="G34" s="735"/>
      <c r="H34" s="735"/>
      <c r="I34" s="735"/>
      <c r="J34" s="735"/>
      <c r="K34" s="735"/>
      <c r="L34" s="735"/>
      <c r="M34" s="735"/>
      <c r="N34" s="735"/>
      <c r="O34" s="735"/>
      <c r="P34" s="735"/>
      <c r="Q34" s="735"/>
      <c r="R34" s="759" t="s">
        <v>1226</v>
      </c>
      <c r="S34" s="760"/>
      <c r="T34" s="760"/>
      <c r="U34" s="761"/>
      <c r="V34" s="727"/>
      <c r="W34" s="765"/>
      <c r="X34" s="765"/>
      <c r="Y34" s="765"/>
      <c r="Z34" s="765"/>
      <c r="AA34" s="765"/>
      <c r="AB34" s="765"/>
      <c r="AC34" s="766"/>
      <c r="AD34" s="767"/>
      <c r="AE34" s="765"/>
      <c r="AF34" s="765"/>
      <c r="AG34" s="765"/>
      <c r="AH34" s="765"/>
      <c r="AI34" s="765"/>
      <c r="AJ34" s="765"/>
      <c r="AK34" s="766"/>
      <c r="AL34" s="15"/>
      <c r="AM34" s="15"/>
      <c r="AN34" s="15"/>
      <c r="AO34" s="15"/>
      <c r="AP34" s="15"/>
      <c r="AQ34" s="15"/>
      <c r="AR34" s="15"/>
      <c r="AS34" s="15"/>
      <c r="AT34" s="15"/>
      <c r="AU34" s="15"/>
      <c r="AV34" s="15"/>
      <c r="AW34" s="15"/>
    </row>
    <row r="35" spans="1:49" s="404" customFormat="1" ht="13.5" customHeight="1" x14ac:dyDescent="0.15">
      <c r="A35" s="737"/>
      <c r="B35" s="735"/>
      <c r="C35" s="735"/>
      <c r="D35" s="735"/>
      <c r="E35" s="735"/>
      <c r="F35" s="735"/>
      <c r="G35" s="735"/>
      <c r="H35" s="735"/>
      <c r="I35" s="735"/>
      <c r="J35" s="735"/>
      <c r="K35" s="735"/>
      <c r="L35" s="735"/>
      <c r="M35" s="735"/>
      <c r="N35" s="735"/>
      <c r="O35" s="735"/>
      <c r="P35" s="735"/>
      <c r="Q35" s="735"/>
      <c r="R35" s="669"/>
      <c r="S35" s="669"/>
      <c r="T35" s="669"/>
      <c r="U35" s="670"/>
      <c r="V35" s="727"/>
      <c r="W35" s="765"/>
      <c r="X35" s="765"/>
      <c r="Y35" s="765"/>
      <c r="Z35" s="765"/>
      <c r="AA35" s="765"/>
      <c r="AB35" s="765"/>
      <c r="AC35" s="766"/>
      <c r="AD35" s="767"/>
      <c r="AE35" s="765"/>
      <c r="AF35" s="765"/>
      <c r="AG35" s="765"/>
      <c r="AH35" s="765"/>
      <c r="AI35" s="765"/>
      <c r="AJ35" s="765"/>
      <c r="AK35" s="766"/>
      <c r="AL35" s="15"/>
      <c r="AM35" s="15"/>
      <c r="AN35" s="15"/>
      <c r="AO35" s="15"/>
      <c r="AP35" s="15"/>
      <c r="AQ35" s="15"/>
      <c r="AR35" s="15"/>
      <c r="AS35" s="15"/>
      <c r="AT35" s="15"/>
      <c r="AU35" s="15"/>
      <c r="AV35" s="15"/>
      <c r="AW35" s="15"/>
    </row>
    <row r="36" spans="1:49" s="404" customFormat="1" ht="13.5" customHeight="1" x14ac:dyDescent="0.15">
      <c r="A36" s="737"/>
      <c r="B36" s="735"/>
      <c r="C36" s="735"/>
      <c r="D36" s="735"/>
      <c r="E36" s="735"/>
      <c r="F36" s="735"/>
      <c r="G36" s="735"/>
      <c r="H36" s="735"/>
      <c r="I36" s="735"/>
      <c r="J36" s="735"/>
      <c r="K36" s="735"/>
      <c r="L36" s="735"/>
      <c r="M36" s="735"/>
      <c r="N36" s="735"/>
      <c r="O36" s="735"/>
      <c r="P36" s="735"/>
      <c r="Q36" s="735"/>
      <c r="R36" s="768" t="s">
        <v>1227</v>
      </c>
      <c r="S36" s="759"/>
      <c r="T36" s="759"/>
      <c r="U36" s="769"/>
      <c r="V36" s="772"/>
      <c r="W36" s="773"/>
      <c r="X36" s="773"/>
      <c r="Y36" s="773"/>
      <c r="Z36" s="773"/>
      <c r="AA36" s="773"/>
      <c r="AB36" s="773"/>
      <c r="AC36" s="773"/>
      <c r="AD36" s="773"/>
      <c r="AE36" s="773"/>
      <c r="AF36" s="773"/>
      <c r="AG36" s="773"/>
      <c r="AH36" s="773"/>
      <c r="AI36" s="773"/>
      <c r="AJ36" s="773"/>
      <c r="AK36" s="774"/>
      <c r="AL36" s="15"/>
      <c r="AM36" s="15"/>
      <c r="AN36" s="15"/>
      <c r="AO36" s="15"/>
      <c r="AP36" s="15"/>
      <c r="AQ36" s="15"/>
      <c r="AR36" s="15"/>
      <c r="AS36" s="15"/>
      <c r="AT36" s="15"/>
      <c r="AU36" s="15"/>
      <c r="AV36" s="15"/>
      <c r="AW36" s="15"/>
    </row>
    <row r="37" spans="1:49" s="404" customFormat="1" ht="13.5" customHeight="1" x14ac:dyDescent="0.15">
      <c r="A37" s="737"/>
      <c r="B37" s="660" t="s">
        <v>1228</v>
      </c>
      <c r="C37" s="660"/>
      <c r="D37" s="660"/>
      <c r="E37" s="660"/>
      <c r="F37" s="756"/>
      <c r="G37" s="756"/>
      <c r="H37" s="756"/>
      <c r="I37" s="780"/>
      <c r="J37" s="781"/>
      <c r="K37" s="781"/>
      <c r="L37" s="781"/>
      <c r="M37" s="781"/>
      <c r="N37" s="781"/>
      <c r="O37" s="781"/>
      <c r="P37" s="781"/>
      <c r="Q37" s="782"/>
      <c r="R37" s="770"/>
      <c r="S37" s="692"/>
      <c r="T37" s="692"/>
      <c r="U37" s="771"/>
      <c r="V37" s="775"/>
      <c r="W37" s="776"/>
      <c r="X37" s="776"/>
      <c r="Y37" s="776"/>
      <c r="Z37" s="776"/>
      <c r="AA37" s="776"/>
      <c r="AB37" s="776"/>
      <c r="AC37" s="776"/>
      <c r="AD37" s="776"/>
      <c r="AE37" s="776"/>
      <c r="AF37" s="776"/>
      <c r="AG37" s="776"/>
      <c r="AH37" s="776"/>
      <c r="AI37" s="776"/>
      <c r="AJ37" s="776"/>
      <c r="AK37" s="777"/>
      <c r="AL37" s="15"/>
      <c r="AM37" s="15"/>
      <c r="AN37" s="15"/>
      <c r="AO37" s="15"/>
      <c r="AP37" s="15"/>
      <c r="AQ37" s="15"/>
      <c r="AR37" s="15"/>
      <c r="AS37" s="15"/>
      <c r="AT37" s="15"/>
      <c r="AU37" s="15"/>
      <c r="AV37" s="15"/>
      <c r="AW37" s="15"/>
    </row>
    <row r="38" spans="1:49" s="404" customFormat="1" ht="13.5" customHeight="1" x14ac:dyDescent="0.15">
      <c r="A38" s="737"/>
      <c r="B38" s="660"/>
      <c r="C38" s="660"/>
      <c r="D38" s="660"/>
      <c r="E38" s="660"/>
      <c r="F38" s="778"/>
      <c r="G38" s="778"/>
      <c r="H38" s="778"/>
      <c r="I38" s="783"/>
      <c r="J38" s="784"/>
      <c r="K38" s="784"/>
      <c r="L38" s="784"/>
      <c r="M38" s="784"/>
      <c r="N38" s="784"/>
      <c r="O38" s="784"/>
      <c r="P38" s="784"/>
      <c r="Q38" s="785"/>
      <c r="R38" s="660" t="s">
        <v>1229</v>
      </c>
      <c r="S38" s="789"/>
      <c r="T38" s="789"/>
      <c r="U38" s="789"/>
      <c r="V38" s="744"/>
      <c r="W38" s="790"/>
      <c r="X38" s="790"/>
      <c r="Y38" s="790"/>
      <c r="Z38" s="790"/>
      <c r="AA38" s="790"/>
      <c r="AB38" s="790"/>
      <c r="AC38" s="790"/>
      <c r="AD38" s="790"/>
      <c r="AE38" s="790"/>
      <c r="AF38" s="790"/>
      <c r="AG38" s="790"/>
      <c r="AH38" s="790"/>
      <c r="AI38" s="790"/>
      <c r="AJ38" s="790"/>
      <c r="AK38" s="791"/>
      <c r="AL38" s="15"/>
      <c r="AM38" s="15"/>
      <c r="AN38" s="15"/>
      <c r="AO38" s="15"/>
      <c r="AP38" s="15"/>
      <c r="AQ38" s="15"/>
      <c r="AR38" s="15"/>
      <c r="AS38" s="15"/>
      <c r="AT38" s="15"/>
      <c r="AU38" s="15"/>
      <c r="AV38" s="15"/>
      <c r="AW38" s="15"/>
    </row>
    <row r="39" spans="1:49" s="404" customFormat="1" ht="13.5" customHeight="1" x14ac:dyDescent="0.15">
      <c r="A39" s="737"/>
      <c r="B39" s="660"/>
      <c r="C39" s="660"/>
      <c r="D39" s="660"/>
      <c r="E39" s="660"/>
      <c r="F39" s="779"/>
      <c r="G39" s="779"/>
      <c r="H39" s="779"/>
      <c r="I39" s="786"/>
      <c r="J39" s="787"/>
      <c r="K39" s="787"/>
      <c r="L39" s="787"/>
      <c r="M39" s="787"/>
      <c r="N39" s="787"/>
      <c r="O39" s="787"/>
      <c r="P39" s="787"/>
      <c r="Q39" s="788"/>
      <c r="R39" s="789"/>
      <c r="S39" s="789"/>
      <c r="T39" s="789"/>
      <c r="U39" s="789"/>
      <c r="V39" s="791"/>
      <c r="W39" s="791"/>
      <c r="X39" s="791"/>
      <c r="Y39" s="791"/>
      <c r="Z39" s="791"/>
      <c r="AA39" s="791"/>
      <c r="AB39" s="791"/>
      <c r="AC39" s="791"/>
      <c r="AD39" s="791"/>
      <c r="AE39" s="791"/>
      <c r="AF39" s="791"/>
      <c r="AG39" s="791"/>
      <c r="AH39" s="791"/>
      <c r="AI39" s="791"/>
      <c r="AJ39" s="791"/>
      <c r="AK39" s="791"/>
      <c r="AL39" s="15"/>
      <c r="AM39" s="15"/>
      <c r="AN39" s="15"/>
      <c r="AO39" s="15"/>
      <c r="AP39" s="15"/>
      <c r="AQ39" s="15"/>
      <c r="AR39" s="15"/>
      <c r="AS39" s="15"/>
      <c r="AT39" s="15"/>
      <c r="AU39" s="15"/>
      <c r="AV39" s="15"/>
      <c r="AW39" s="15"/>
    </row>
    <row r="40" spans="1:49" s="404" customFormat="1" ht="13.5" customHeight="1" x14ac:dyDescent="0.15">
      <c r="A40" s="674" t="s">
        <v>1252</v>
      </c>
      <c r="B40" s="793" t="s">
        <v>1253</v>
      </c>
      <c r="C40" s="794"/>
      <c r="D40" s="794"/>
      <c r="E40" s="795"/>
      <c r="F40" s="798"/>
      <c r="G40" s="799"/>
      <c r="H40" s="799"/>
      <c r="I40" s="799"/>
      <c r="J40" s="799"/>
      <c r="K40" s="799"/>
      <c r="L40" s="799"/>
      <c r="M40" s="799"/>
      <c r="N40" s="799"/>
      <c r="O40" s="799"/>
      <c r="P40" s="799"/>
      <c r="Q40" s="799"/>
      <c r="R40" s="801" t="s">
        <v>144</v>
      </c>
      <c r="S40" s="731"/>
      <c r="T40" s="731"/>
      <c r="U40" s="680"/>
      <c r="V40" s="798"/>
      <c r="W40" s="803"/>
      <c r="X40" s="803"/>
      <c r="Y40" s="803"/>
      <c r="Z40" s="803"/>
      <c r="AA40" s="803"/>
      <c r="AB40" s="803"/>
      <c r="AC40" s="803"/>
      <c r="AD40" s="803"/>
      <c r="AE40" s="803"/>
      <c r="AF40" s="803"/>
      <c r="AG40" s="803"/>
      <c r="AH40" s="803"/>
      <c r="AI40" s="803"/>
      <c r="AJ40" s="803"/>
      <c r="AK40" s="804"/>
      <c r="AL40" s="15"/>
      <c r="AM40" s="15"/>
      <c r="AN40" s="15"/>
      <c r="AO40" s="15"/>
      <c r="AP40" s="15"/>
      <c r="AQ40" s="15"/>
      <c r="AR40" s="15"/>
      <c r="AS40" s="15"/>
      <c r="AT40" s="15"/>
      <c r="AU40" s="15"/>
      <c r="AV40" s="15"/>
      <c r="AW40" s="15"/>
    </row>
    <row r="41" spans="1:49" s="404" customFormat="1" ht="13.5" customHeight="1" x14ac:dyDescent="0.15">
      <c r="A41" s="725"/>
      <c r="B41" s="794"/>
      <c r="C41" s="794"/>
      <c r="D41" s="794"/>
      <c r="E41" s="795"/>
      <c r="F41" s="799"/>
      <c r="G41" s="799"/>
      <c r="H41" s="799"/>
      <c r="I41" s="799"/>
      <c r="J41" s="799"/>
      <c r="K41" s="799"/>
      <c r="L41" s="799"/>
      <c r="M41" s="799"/>
      <c r="N41" s="799"/>
      <c r="O41" s="799"/>
      <c r="P41" s="799"/>
      <c r="Q41" s="799"/>
      <c r="R41" s="802"/>
      <c r="S41" s="669"/>
      <c r="T41" s="669"/>
      <c r="U41" s="670"/>
      <c r="V41" s="805"/>
      <c r="W41" s="805"/>
      <c r="X41" s="805"/>
      <c r="Y41" s="805"/>
      <c r="Z41" s="805"/>
      <c r="AA41" s="805"/>
      <c r="AB41" s="805"/>
      <c r="AC41" s="805"/>
      <c r="AD41" s="805"/>
      <c r="AE41" s="805"/>
      <c r="AF41" s="805"/>
      <c r="AG41" s="805"/>
      <c r="AH41" s="805"/>
      <c r="AI41" s="805"/>
      <c r="AJ41" s="805"/>
      <c r="AK41" s="806"/>
      <c r="AL41" s="15"/>
      <c r="AM41" s="15"/>
      <c r="AN41" s="15"/>
      <c r="AO41" s="15"/>
      <c r="AP41" s="15"/>
      <c r="AQ41" s="15"/>
      <c r="AR41" s="15"/>
      <c r="AS41" s="15"/>
      <c r="AT41" s="15"/>
      <c r="AU41" s="15"/>
      <c r="AV41" s="15"/>
      <c r="AW41" s="15"/>
    </row>
    <row r="42" spans="1:49" s="404" customFormat="1" ht="13.5" customHeight="1" x14ac:dyDescent="0.15">
      <c r="A42" s="725"/>
      <c r="B42" s="796"/>
      <c r="C42" s="796"/>
      <c r="D42" s="796"/>
      <c r="E42" s="797"/>
      <c r="F42" s="800"/>
      <c r="G42" s="800"/>
      <c r="H42" s="800"/>
      <c r="I42" s="800"/>
      <c r="J42" s="800"/>
      <c r="K42" s="800"/>
      <c r="L42" s="800"/>
      <c r="M42" s="800"/>
      <c r="N42" s="800"/>
      <c r="O42" s="800"/>
      <c r="P42" s="800"/>
      <c r="Q42" s="800"/>
      <c r="R42" s="698" t="s">
        <v>145</v>
      </c>
      <c r="S42" s="740"/>
      <c r="T42" s="740"/>
      <c r="U42" s="741"/>
      <c r="V42" s="807"/>
      <c r="W42" s="808"/>
      <c r="X42" s="808"/>
      <c r="Y42" s="808"/>
      <c r="Z42" s="808"/>
      <c r="AA42" s="808"/>
      <c r="AB42" s="808"/>
      <c r="AC42" s="808"/>
      <c r="AD42" s="808"/>
      <c r="AE42" s="808"/>
      <c r="AF42" s="808"/>
      <c r="AG42" s="808"/>
      <c r="AH42" s="808"/>
      <c r="AI42" s="808"/>
      <c r="AJ42" s="808"/>
      <c r="AK42" s="809"/>
      <c r="AL42" s="15"/>
      <c r="AM42" s="15"/>
      <c r="AN42" s="15"/>
      <c r="AO42" s="15"/>
      <c r="AP42" s="15"/>
      <c r="AQ42" s="15"/>
      <c r="AR42" s="15"/>
      <c r="AS42" s="15"/>
      <c r="AT42" s="15"/>
      <c r="AU42" s="15"/>
      <c r="AV42" s="15"/>
      <c r="AW42" s="15"/>
    </row>
    <row r="43" spans="1:49" s="404" customFormat="1" ht="13.5" customHeight="1" x14ac:dyDescent="0.15">
      <c r="A43" s="725"/>
      <c r="B43" s="810" t="s">
        <v>1254</v>
      </c>
      <c r="C43" s="794"/>
      <c r="D43" s="794"/>
      <c r="E43" s="795"/>
      <c r="F43" s="798"/>
      <c r="G43" s="799"/>
      <c r="H43" s="799"/>
      <c r="I43" s="799"/>
      <c r="J43" s="799"/>
      <c r="K43" s="799"/>
      <c r="L43" s="799"/>
      <c r="M43" s="799"/>
      <c r="N43" s="799"/>
      <c r="O43" s="799"/>
      <c r="P43" s="799"/>
      <c r="Q43" s="799"/>
      <c r="R43" s="811" t="s">
        <v>146</v>
      </c>
      <c r="S43" s="812"/>
      <c r="T43" s="812"/>
      <c r="U43" s="813"/>
      <c r="V43" s="798"/>
      <c r="W43" s="803"/>
      <c r="X43" s="803"/>
      <c r="Y43" s="803"/>
      <c r="Z43" s="803"/>
      <c r="AA43" s="803"/>
      <c r="AB43" s="803"/>
      <c r="AC43" s="803"/>
      <c r="AD43" s="803"/>
      <c r="AE43" s="803"/>
      <c r="AF43" s="803"/>
      <c r="AG43" s="803"/>
      <c r="AH43" s="803"/>
      <c r="AI43" s="803"/>
      <c r="AJ43" s="803"/>
      <c r="AK43" s="804"/>
      <c r="AL43" s="15"/>
      <c r="AM43" s="15"/>
      <c r="AN43" s="15"/>
      <c r="AO43" s="15"/>
      <c r="AP43" s="15"/>
      <c r="AQ43" s="15"/>
      <c r="AR43" s="15"/>
      <c r="AS43" s="15"/>
      <c r="AT43" s="15"/>
      <c r="AU43" s="15"/>
      <c r="AV43" s="15"/>
      <c r="AW43" s="15"/>
    </row>
    <row r="44" spans="1:49" s="404" customFormat="1" ht="13.5" customHeight="1" x14ac:dyDescent="0.15">
      <c r="A44" s="792"/>
      <c r="B44" s="796"/>
      <c r="C44" s="796"/>
      <c r="D44" s="796"/>
      <c r="E44" s="797"/>
      <c r="F44" s="800"/>
      <c r="G44" s="800"/>
      <c r="H44" s="800"/>
      <c r="I44" s="800"/>
      <c r="J44" s="800"/>
      <c r="K44" s="800"/>
      <c r="L44" s="800"/>
      <c r="M44" s="800"/>
      <c r="N44" s="800"/>
      <c r="O44" s="800"/>
      <c r="P44" s="800"/>
      <c r="Q44" s="800"/>
      <c r="R44" s="814"/>
      <c r="S44" s="796"/>
      <c r="T44" s="796"/>
      <c r="U44" s="797"/>
      <c r="V44" s="805"/>
      <c r="W44" s="805"/>
      <c r="X44" s="805"/>
      <c r="Y44" s="805"/>
      <c r="Z44" s="805"/>
      <c r="AA44" s="805"/>
      <c r="AB44" s="805"/>
      <c r="AC44" s="805"/>
      <c r="AD44" s="805"/>
      <c r="AE44" s="805"/>
      <c r="AF44" s="805"/>
      <c r="AG44" s="805"/>
      <c r="AH44" s="805"/>
      <c r="AI44" s="805"/>
      <c r="AJ44" s="805"/>
      <c r="AK44" s="806"/>
      <c r="AL44" s="15"/>
      <c r="AM44" s="15"/>
      <c r="AN44" s="15"/>
      <c r="AO44" s="15"/>
      <c r="AP44" s="15"/>
      <c r="AQ44" s="15"/>
      <c r="AR44" s="15"/>
      <c r="AS44" s="15"/>
      <c r="AT44" s="15"/>
      <c r="AU44" s="15"/>
      <c r="AV44" s="15"/>
      <c r="AW44" s="15"/>
    </row>
    <row r="45" spans="1:49" s="404" customFormat="1" ht="13.5" customHeight="1" x14ac:dyDescent="0.15">
      <c r="A45" s="815" t="s">
        <v>147</v>
      </c>
      <c r="B45" s="669"/>
      <c r="C45" s="669"/>
      <c r="D45" s="669"/>
      <c r="E45" s="669"/>
      <c r="F45" s="669"/>
      <c r="G45" s="669"/>
      <c r="H45" s="669"/>
      <c r="I45" s="669"/>
      <c r="J45" s="669"/>
      <c r="K45" s="669"/>
      <c r="L45" s="669"/>
      <c r="M45" s="669"/>
      <c r="N45" s="669"/>
      <c r="O45" s="669"/>
      <c r="P45" s="669"/>
      <c r="Q45" s="669"/>
      <c r="R45" s="670"/>
      <c r="S45" s="816" t="s">
        <v>148</v>
      </c>
      <c r="T45" s="669"/>
      <c r="U45" s="669"/>
      <c r="V45" s="669"/>
      <c r="W45" s="669"/>
      <c r="X45" s="669"/>
      <c r="Y45" s="669"/>
      <c r="Z45" s="669"/>
      <c r="AA45" s="669"/>
      <c r="AB45" s="669"/>
      <c r="AC45" s="669"/>
      <c r="AD45" s="669"/>
      <c r="AE45" s="669"/>
      <c r="AF45" s="669"/>
      <c r="AG45" s="669"/>
      <c r="AH45" s="669"/>
      <c r="AI45" s="669"/>
      <c r="AJ45" s="669"/>
      <c r="AK45" s="670"/>
      <c r="AL45" s="15"/>
      <c r="AM45" s="15"/>
      <c r="AN45" s="15"/>
      <c r="AO45" s="15"/>
      <c r="AP45" s="15"/>
      <c r="AQ45" s="15"/>
      <c r="AR45" s="15"/>
      <c r="AS45" s="15"/>
      <c r="AT45" s="15"/>
      <c r="AU45" s="15"/>
      <c r="AV45" s="15"/>
      <c r="AW45" s="15"/>
    </row>
    <row r="46" spans="1:49" s="404" customFormat="1" ht="13.5" customHeight="1" x14ac:dyDescent="0.15">
      <c r="A46" s="817"/>
      <c r="B46" s="799"/>
      <c r="C46" s="799"/>
      <c r="D46" s="799"/>
      <c r="E46" s="799"/>
      <c r="F46" s="799"/>
      <c r="G46" s="799"/>
      <c r="H46" s="799"/>
      <c r="I46" s="799"/>
      <c r="J46" s="799"/>
      <c r="K46" s="799"/>
      <c r="L46" s="799"/>
      <c r="M46" s="799"/>
      <c r="N46" s="799"/>
      <c r="O46" s="799"/>
      <c r="P46" s="799"/>
      <c r="Q46" s="799"/>
      <c r="R46" s="818"/>
      <c r="S46" s="798"/>
      <c r="T46" s="799"/>
      <c r="U46" s="799"/>
      <c r="V46" s="799"/>
      <c r="W46" s="799"/>
      <c r="X46" s="799"/>
      <c r="Y46" s="799"/>
      <c r="Z46" s="799"/>
      <c r="AA46" s="799"/>
      <c r="AB46" s="799"/>
      <c r="AC46" s="799"/>
      <c r="AD46" s="799"/>
      <c r="AE46" s="799"/>
      <c r="AF46" s="799"/>
      <c r="AG46" s="799"/>
      <c r="AH46" s="799"/>
      <c r="AI46" s="799"/>
      <c r="AJ46" s="799"/>
      <c r="AK46" s="818"/>
      <c r="AL46" s="15"/>
      <c r="AM46" s="15"/>
      <c r="AN46" s="15"/>
      <c r="AO46" s="15"/>
      <c r="AP46" s="15"/>
      <c r="AQ46" s="15"/>
      <c r="AR46" s="15"/>
      <c r="AS46" s="15"/>
      <c r="AT46" s="15"/>
      <c r="AU46" s="15"/>
      <c r="AV46" s="15"/>
      <c r="AW46" s="15"/>
    </row>
    <row r="47" spans="1:49" s="404" customFormat="1" ht="13.5" customHeight="1" x14ac:dyDescent="0.15">
      <c r="A47" s="819"/>
      <c r="B47" s="800"/>
      <c r="C47" s="800"/>
      <c r="D47" s="800"/>
      <c r="E47" s="800"/>
      <c r="F47" s="800"/>
      <c r="G47" s="800"/>
      <c r="H47" s="800"/>
      <c r="I47" s="800"/>
      <c r="J47" s="800"/>
      <c r="K47" s="800"/>
      <c r="L47" s="800"/>
      <c r="M47" s="800"/>
      <c r="N47" s="800"/>
      <c r="O47" s="800"/>
      <c r="P47" s="800"/>
      <c r="Q47" s="800"/>
      <c r="R47" s="820"/>
      <c r="S47" s="800"/>
      <c r="T47" s="800"/>
      <c r="U47" s="800"/>
      <c r="V47" s="800"/>
      <c r="W47" s="800"/>
      <c r="X47" s="800"/>
      <c r="Y47" s="800"/>
      <c r="Z47" s="800"/>
      <c r="AA47" s="800"/>
      <c r="AB47" s="800"/>
      <c r="AC47" s="800"/>
      <c r="AD47" s="800"/>
      <c r="AE47" s="800"/>
      <c r="AF47" s="800"/>
      <c r="AG47" s="800"/>
      <c r="AH47" s="800"/>
      <c r="AI47" s="800"/>
      <c r="AJ47" s="800"/>
      <c r="AK47" s="820"/>
      <c r="AL47" s="15"/>
      <c r="AM47" s="15"/>
      <c r="AN47" s="15"/>
      <c r="AO47" s="15"/>
      <c r="AP47" s="15"/>
      <c r="AQ47" s="15"/>
      <c r="AR47" s="15"/>
      <c r="AS47" s="15"/>
      <c r="AT47" s="15"/>
      <c r="AU47" s="15"/>
      <c r="AV47" s="15"/>
      <c r="AW47" s="15"/>
    </row>
    <row r="48" spans="1:49" s="404" customFormat="1" ht="13.5" customHeight="1" x14ac:dyDescent="0.15">
      <c r="A48" s="815" t="s">
        <v>149</v>
      </c>
      <c r="B48" s="669"/>
      <c r="C48" s="669"/>
      <c r="D48" s="669"/>
      <c r="E48" s="669"/>
      <c r="F48" s="669"/>
      <c r="G48" s="669"/>
      <c r="H48" s="669"/>
      <c r="I48" s="669"/>
      <c r="J48" s="669"/>
      <c r="K48" s="669"/>
      <c r="L48" s="669"/>
      <c r="M48" s="669"/>
      <c r="N48" s="669"/>
      <c r="O48" s="669"/>
      <c r="P48" s="669"/>
      <c r="Q48" s="669"/>
      <c r="R48" s="669"/>
      <c r="S48" s="669"/>
      <c r="T48" s="669"/>
      <c r="U48" s="669"/>
      <c r="V48" s="669"/>
      <c r="W48" s="669"/>
      <c r="X48" s="669"/>
      <c r="Y48" s="669"/>
      <c r="Z48" s="669"/>
      <c r="AA48" s="669"/>
      <c r="AB48" s="669"/>
      <c r="AC48" s="669"/>
      <c r="AD48" s="669"/>
      <c r="AE48" s="669"/>
      <c r="AF48" s="669"/>
      <c r="AG48" s="669"/>
      <c r="AH48" s="669"/>
      <c r="AI48" s="669"/>
      <c r="AJ48" s="669"/>
      <c r="AK48" s="670"/>
      <c r="AL48" s="15"/>
      <c r="AM48" s="15"/>
      <c r="AN48" s="15"/>
      <c r="AO48" s="15"/>
      <c r="AP48" s="15"/>
      <c r="AQ48" s="15"/>
      <c r="AR48" s="15"/>
      <c r="AS48" s="15"/>
      <c r="AT48" s="15"/>
      <c r="AU48" s="15"/>
      <c r="AV48" s="15"/>
      <c r="AW48" s="15"/>
    </row>
    <row r="49" spans="1:49" s="404" customFormat="1" ht="13.5" customHeight="1" x14ac:dyDescent="0.15">
      <c r="A49" s="821"/>
      <c r="B49" s="822"/>
      <c r="C49" s="822"/>
      <c r="D49" s="822"/>
      <c r="E49" s="822"/>
      <c r="F49" s="822"/>
      <c r="G49" s="822"/>
      <c r="H49" s="822"/>
      <c r="I49" s="822"/>
      <c r="J49" s="822"/>
      <c r="K49" s="822"/>
      <c r="L49" s="822"/>
      <c r="M49" s="822"/>
      <c r="N49" s="822"/>
      <c r="O49" s="822"/>
      <c r="P49" s="822"/>
      <c r="Q49" s="822"/>
      <c r="R49" s="822"/>
      <c r="S49" s="822"/>
      <c r="T49" s="822"/>
      <c r="U49" s="822"/>
      <c r="V49" s="822"/>
      <c r="W49" s="822"/>
      <c r="X49" s="822"/>
      <c r="Y49" s="822"/>
      <c r="Z49" s="822"/>
      <c r="AA49" s="822"/>
      <c r="AB49" s="822"/>
      <c r="AC49" s="822"/>
      <c r="AD49" s="822"/>
      <c r="AE49" s="822"/>
      <c r="AF49" s="822"/>
      <c r="AG49" s="822"/>
      <c r="AH49" s="822"/>
      <c r="AI49" s="822"/>
      <c r="AJ49" s="822"/>
      <c r="AK49" s="823"/>
      <c r="AL49" s="15"/>
      <c r="AM49" s="15"/>
      <c r="AN49" s="15"/>
      <c r="AO49" s="15"/>
      <c r="AP49" s="15"/>
      <c r="AQ49" s="15"/>
      <c r="AR49" s="15"/>
      <c r="AS49" s="15"/>
      <c r="AT49" s="15"/>
      <c r="AU49" s="15"/>
      <c r="AV49" s="15"/>
      <c r="AW49" s="15"/>
    </row>
    <row r="50" spans="1:49" s="404" customFormat="1" ht="13.5" customHeight="1" x14ac:dyDescent="0.15">
      <c r="A50" s="821"/>
      <c r="B50" s="822"/>
      <c r="C50" s="822"/>
      <c r="D50" s="822"/>
      <c r="E50" s="822"/>
      <c r="F50" s="822"/>
      <c r="G50" s="822"/>
      <c r="H50" s="822"/>
      <c r="I50" s="822"/>
      <c r="J50" s="822"/>
      <c r="K50" s="822"/>
      <c r="L50" s="822"/>
      <c r="M50" s="822"/>
      <c r="N50" s="822"/>
      <c r="O50" s="822"/>
      <c r="P50" s="822"/>
      <c r="Q50" s="822"/>
      <c r="R50" s="822"/>
      <c r="S50" s="822"/>
      <c r="T50" s="822"/>
      <c r="U50" s="822"/>
      <c r="V50" s="822"/>
      <c r="W50" s="822"/>
      <c r="X50" s="822"/>
      <c r="Y50" s="822"/>
      <c r="Z50" s="822"/>
      <c r="AA50" s="822"/>
      <c r="AB50" s="822"/>
      <c r="AC50" s="822"/>
      <c r="AD50" s="822"/>
      <c r="AE50" s="822"/>
      <c r="AF50" s="822"/>
      <c r="AG50" s="822"/>
      <c r="AH50" s="822"/>
      <c r="AI50" s="822"/>
      <c r="AJ50" s="822"/>
      <c r="AK50" s="823"/>
      <c r="AL50" s="15"/>
      <c r="AM50" s="15"/>
      <c r="AN50" s="15"/>
      <c r="AO50" s="15"/>
      <c r="AP50" s="15"/>
      <c r="AQ50" s="15"/>
      <c r="AR50" s="15"/>
      <c r="AS50" s="15"/>
      <c r="AT50" s="15"/>
      <c r="AU50" s="15"/>
      <c r="AV50" s="15"/>
      <c r="AW50" s="15"/>
    </row>
    <row r="51" spans="1:49" s="404" customFormat="1" ht="13.5" customHeight="1" x14ac:dyDescent="0.15">
      <c r="A51" s="821"/>
      <c r="B51" s="822"/>
      <c r="C51" s="822"/>
      <c r="D51" s="822"/>
      <c r="E51" s="822"/>
      <c r="F51" s="822"/>
      <c r="G51" s="822"/>
      <c r="H51" s="822"/>
      <c r="I51" s="822"/>
      <c r="J51" s="822"/>
      <c r="K51" s="822"/>
      <c r="L51" s="822"/>
      <c r="M51" s="822"/>
      <c r="N51" s="822"/>
      <c r="O51" s="822"/>
      <c r="P51" s="822"/>
      <c r="Q51" s="822"/>
      <c r="R51" s="822"/>
      <c r="S51" s="822"/>
      <c r="T51" s="822"/>
      <c r="U51" s="822"/>
      <c r="V51" s="822"/>
      <c r="W51" s="822"/>
      <c r="X51" s="822"/>
      <c r="Y51" s="822"/>
      <c r="Z51" s="822"/>
      <c r="AA51" s="822"/>
      <c r="AB51" s="822"/>
      <c r="AC51" s="822"/>
      <c r="AD51" s="822"/>
      <c r="AE51" s="822"/>
      <c r="AF51" s="822"/>
      <c r="AG51" s="822"/>
      <c r="AH51" s="822"/>
      <c r="AI51" s="822"/>
      <c r="AJ51" s="822"/>
      <c r="AK51" s="823"/>
      <c r="AL51" s="15"/>
      <c r="AM51" s="15"/>
      <c r="AN51" s="15"/>
      <c r="AO51" s="15"/>
      <c r="AP51" s="15"/>
      <c r="AQ51" s="15"/>
      <c r="AR51" s="15"/>
      <c r="AS51" s="15"/>
      <c r="AT51" s="15"/>
      <c r="AU51" s="15"/>
      <c r="AV51" s="15"/>
      <c r="AW51" s="15"/>
    </row>
    <row r="52" spans="1:49" s="404" customFormat="1" ht="13.5" customHeight="1" x14ac:dyDescent="0.15">
      <c r="A52" s="824"/>
      <c r="B52" s="825"/>
      <c r="C52" s="825"/>
      <c r="D52" s="825"/>
      <c r="E52" s="825"/>
      <c r="F52" s="825"/>
      <c r="G52" s="825"/>
      <c r="H52" s="825"/>
      <c r="I52" s="825"/>
      <c r="J52" s="825"/>
      <c r="K52" s="825"/>
      <c r="L52" s="825"/>
      <c r="M52" s="825"/>
      <c r="N52" s="825"/>
      <c r="O52" s="825"/>
      <c r="P52" s="825"/>
      <c r="Q52" s="825"/>
      <c r="R52" s="825"/>
      <c r="S52" s="825"/>
      <c r="T52" s="825"/>
      <c r="U52" s="825"/>
      <c r="V52" s="825"/>
      <c r="W52" s="825"/>
      <c r="X52" s="825"/>
      <c r="Y52" s="825"/>
      <c r="Z52" s="825"/>
      <c r="AA52" s="825"/>
      <c r="AB52" s="825"/>
      <c r="AC52" s="825"/>
      <c r="AD52" s="825"/>
      <c r="AE52" s="825"/>
      <c r="AF52" s="825"/>
      <c r="AG52" s="825"/>
      <c r="AH52" s="825"/>
      <c r="AI52" s="825"/>
      <c r="AJ52" s="825"/>
      <c r="AK52" s="826"/>
      <c r="AL52" s="15"/>
      <c r="AM52" s="15"/>
      <c r="AN52" s="15"/>
      <c r="AO52" s="15"/>
      <c r="AP52" s="15"/>
      <c r="AQ52" s="15"/>
      <c r="AR52" s="15"/>
      <c r="AS52" s="15"/>
      <c r="AT52" s="15"/>
      <c r="AU52" s="15"/>
      <c r="AV52" s="15"/>
      <c r="AW52" s="15"/>
    </row>
    <row r="53" spans="1:49" s="404" customFormat="1" ht="13.5" customHeight="1" x14ac:dyDescent="0.15">
      <c r="A53" s="827" t="s">
        <v>150</v>
      </c>
      <c r="B53" s="731"/>
      <c r="C53" s="731"/>
      <c r="D53" s="731"/>
      <c r="E53" s="731"/>
      <c r="F53" s="731"/>
      <c r="G53" s="731"/>
      <c r="H53" s="731"/>
      <c r="I53" s="731"/>
      <c r="J53" s="731"/>
      <c r="K53" s="731"/>
      <c r="L53" s="731"/>
      <c r="M53" s="731"/>
      <c r="N53" s="731"/>
      <c r="O53" s="731"/>
      <c r="P53" s="731"/>
      <c r="Q53" s="731"/>
      <c r="R53" s="731"/>
      <c r="S53" s="731"/>
      <c r="T53" s="731"/>
      <c r="U53" s="731"/>
      <c r="V53" s="731"/>
      <c r="W53" s="731"/>
      <c r="X53" s="731"/>
      <c r="Y53" s="731"/>
      <c r="Z53" s="731"/>
      <c r="AA53" s="731"/>
      <c r="AB53" s="731"/>
      <c r="AC53" s="731"/>
      <c r="AD53" s="731"/>
      <c r="AE53" s="731"/>
      <c r="AF53" s="731"/>
      <c r="AG53" s="731"/>
      <c r="AH53" s="731"/>
      <c r="AI53" s="731"/>
      <c r="AJ53" s="731"/>
      <c r="AK53" s="680"/>
      <c r="AL53" s="15"/>
      <c r="AM53" s="15"/>
      <c r="AN53" s="15"/>
      <c r="AO53" s="15"/>
      <c r="AP53" s="15"/>
      <c r="AQ53" s="15"/>
      <c r="AR53" s="15"/>
      <c r="AS53" s="15"/>
      <c r="AT53" s="15"/>
      <c r="AU53" s="15"/>
      <c r="AV53" s="15"/>
      <c r="AW53" s="15"/>
    </row>
    <row r="54" spans="1:49" s="404" customFormat="1" ht="13.5" customHeight="1" x14ac:dyDescent="0.15">
      <c r="A54" s="744"/>
      <c r="B54" s="828"/>
      <c r="C54" s="828"/>
      <c r="D54" s="828"/>
      <c r="E54" s="828"/>
      <c r="F54" s="828"/>
      <c r="G54" s="828"/>
      <c r="H54" s="828"/>
      <c r="I54" s="828"/>
      <c r="J54" s="828"/>
      <c r="K54" s="828"/>
      <c r="L54" s="828"/>
      <c r="M54" s="828"/>
      <c r="N54" s="828"/>
      <c r="O54" s="828"/>
      <c r="P54" s="828"/>
      <c r="Q54" s="828"/>
      <c r="R54" s="828"/>
      <c r="S54" s="828"/>
      <c r="T54" s="828"/>
      <c r="U54" s="828"/>
      <c r="V54" s="828"/>
      <c r="W54" s="828"/>
      <c r="X54" s="828"/>
      <c r="Y54" s="828"/>
      <c r="Z54" s="828"/>
      <c r="AA54" s="828"/>
      <c r="AB54" s="828"/>
      <c r="AC54" s="828"/>
      <c r="AD54" s="828"/>
      <c r="AE54" s="828"/>
      <c r="AF54" s="828"/>
      <c r="AG54" s="828"/>
      <c r="AH54" s="828"/>
      <c r="AI54" s="828"/>
      <c r="AJ54" s="828"/>
      <c r="AK54" s="828"/>
      <c r="AL54" s="15"/>
      <c r="AM54" s="15"/>
      <c r="AN54" s="15"/>
      <c r="AO54" s="15"/>
      <c r="AP54" s="15"/>
      <c r="AQ54" s="15"/>
      <c r="AR54" s="15"/>
      <c r="AS54" s="15"/>
      <c r="AT54" s="15"/>
      <c r="AU54" s="15"/>
      <c r="AV54" s="15"/>
      <c r="AW54" s="15"/>
    </row>
    <row r="55" spans="1:49" s="404" customFormat="1" ht="13.5" customHeight="1" x14ac:dyDescent="0.15">
      <c r="A55" s="828"/>
      <c r="B55" s="829"/>
      <c r="C55" s="829"/>
      <c r="D55" s="829"/>
      <c r="E55" s="829"/>
      <c r="F55" s="829"/>
      <c r="G55" s="829"/>
      <c r="H55" s="829"/>
      <c r="I55" s="829"/>
      <c r="J55" s="829"/>
      <c r="K55" s="829"/>
      <c r="L55" s="829"/>
      <c r="M55" s="829"/>
      <c r="N55" s="829"/>
      <c r="O55" s="829"/>
      <c r="P55" s="829"/>
      <c r="Q55" s="829"/>
      <c r="R55" s="829"/>
      <c r="S55" s="829"/>
      <c r="T55" s="829"/>
      <c r="U55" s="829"/>
      <c r="V55" s="829"/>
      <c r="W55" s="829"/>
      <c r="X55" s="829"/>
      <c r="Y55" s="829"/>
      <c r="Z55" s="829"/>
      <c r="AA55" s="829"/>
      <c r="AB55" s="829"/>
      <c r="AC55" s="829"/>
      <c r="AD55" s="829"/>
      <c r="AE55" s="829"/>
      <c r="AF55" s="829"/>
      <c r="AG55" s="829"/>
      <c r="AH55" s="829"/>
      <c r="AI55" s="829"/>
      <c r="AJ55" s="829"/>
      <c r="AK55" s="828"/>
      <c r="AL55" s="15"/>
      <c r="AM55" s="15"/>
      <c r="AN55" s="15"/>
      <c r="AO55" s="15"/>
      <c r="AP55" s="15"/>
      <c r="AQ55" s="15"/>
      <c r="AR55" s="15"/>
      <c r="AS55" s="15"/>
      <c r="AT55" s="15"/>
      <c r="AU55" s="15"/>
      <c r="AV55" s="15"/>
      <c r="AW55" s="15"/>
    </row>
    <row r="56" spans="1:49" s="404" customFormat="1" ht="25.5" customHeight="1" x14ac:dyDescent="0.15">
      <c r="A56" s="828"/>
      <c r="B56" s="828"/>
      <c r="C56" s="828"/>
      <c r="D56" s="828"/>
      <c r="E56" s="828"/>
      <c r="F56" s="828"/>
      <c r="G56" s="828"/>
      <c r="H56" s="828"/>
      <c r="I56" s="828"/>
      <c r="J56" s="828"/>
      <c r="K56" s="828"/>
      <c r="L56" s="828"/>
      <c r="M56" s="828"/>
      <c r="N56" s="828"/>
      <c r="O56" s="828"/>
      <c r="P56" s="828"/>
      <c r="Q56" s="828"/>
      <c r="R56" s="828"/>
      <c r="S56" s="828"/>
      <c r="T56" s="828"/>
      <c r="U56" s="828"/>
      <c r="V56" s="828"/>
      <c r="W56" s="828"/>
      <c r="X56" s="828"/>
      <c r="Y56" s="828"/>
      <c r="Z56" s="828"/>
      <c r="AA56" s="828"/>
      <c r="AB56" s="828"/>
      <c r="AC56" s="828"/>
      <c r="AD56" s="828"/>
      <c r="AE56" s="828"/>
      <c r="AF56" s="828"/>
      <c r="AG56" s="828"/>
      <c r="AH56" s="828"/>
      <c r="AI56" s="828"/>
      <c r="AJ56" s="828"/>
      <c r="AK56" s="828"/>
      <c r="AL56" s="15"/>
      <c r="AM56" s="15"/>
      <c r="AN56" s="15"/>
      <c r="AO56" s="15"/>
      <c r="AP56" s="15"/>
      <c r="AQ56" s="15"/>
      <c r="AR56" s="15"/>
      <c r="AS56" s="15"/>
      <c r="AT56" s="15"/>
      <c r="AU56" s="15"/>
      <c r="AV56" s="15"/>
      <c r="AW56" s="15"/>
    </row>
    <row r="57" spans="1:49" s="404" customFormat="1" ht="13.5" customHeight="1" x14ac:dyDescent="0.15">
      <c r="A57" s="830" t="s">
        <v>151</v>
      </c>
      <c r="B57" s="830"/>
      <c r="C57" s="830"/>
      <c r="D57" s="830"/>
      <c r="E57" s="830"/>
      <c r="F57" s="830"/>
      <c r="G57" s="830"/>
      <c r="H57" s="830"/>
      <c r="I57" s="830"/>
      <c r="J57" s="830"/>
      <c r="K57" s="830"/>
      <c r="L57" s="830"/>
      <c r="M57" s="830"/>
      <c r="N57" s="830"/>
      <c r="O57" s="830"/>
      <c r="P57" s="830"/>
      <c r="Q57" s="830"/>
      <c r="R57" s="830"/>
      <c r="S57" s="830"/>
      <c r="T57" s="830"/>
      <c r="U57" s="830"/>
      <c r="V57" s="830"/>
      <c r="W57" s="830"/>
      <c r="X57" s="830"/>
      <c r="Y57" s="830"/>
      <c r="Z57" s="830"/>
      <c r="AA57" s="830"/>
      <c r="AB57" s="830" t="s">
        <v>152</v>
      </c>
      <c r="AC57" s="830"/>
      <c r="AD57" s="830"/>
      <c r="AE57" s="830"/>
      <c r="AF57" s="830"/>
      <c r="AG57" s="830"/>
      <c r="AH57" s="830"/>
      <c r="AI57" s="830"/>
      <c r="AJ57" s="830"/>
      <c r="AK57" s="830"/>
      <c r="AL57" s="15"/>
      <c r="AM57" s="15"/>
      <c r="AN57" s="15"/>
      <c r="AO57" s="15"/>
      <c r="AP57" s="15"/>
      <c r="AQ57" s="15"/>
      <c r="AR57" s="15"/>
      <c r="AS57" s="15"/>
      <c r="AT57" s="15"/>
      <c r="AU57" s="15"/>
      <c r="AV57" s="15"/>
      <c r="AW57" s="15"/>
    </row>
    <row r="58" spans="1:49" s="404" customFormat="1" ht="13.5" customHeight="1" x14ac:dyDescent="0.15">
      <c r="A58" s="841" t="s">
        <v>153</v>
      </c>
      <c r="B58" s="842" t="s">
        <v>154</v>
      </c>
      <c r="C58" s="843"/>
      <c r="D58" s="843"/>
      <c r="E58" s="843"/>
      <c r="F58" s="843"/>
      <c r="G58" s="843"/>
      <c r="H58" s="844"/>
      <c r="I58" s="845"/>
      <c r="J58" s="846"/>
      <c r="K58" s="846"/>
      <c r="L58" s="846"/>
      <c r="M58" s="846"/>
      <c r="N58" s="846"/>
      <c r="O58" s="847"/>
      <c r="P58" s="831"/>
      <c r="Q58" s="832"/>
      <c r="R58" s="832"/>
      <c r="S58" s="832"/>
      <c r="T58" s="832"/>
      <c r="U58" s="832"/>
      <c r="V58" s="832"/>
      <c r="W58" s="832"/>
      <c r="X58" s="832"/>
      <c r="Y58" s="832"/>
      <c r="Z58" s="832"/>
      <c r="AA58" s="833"/>
      <c r="AB58" s="831"/>
      <c r="AC58" s="832"/>
      <c r="AD58" s="832"/>
      <c r="AE58" s="832"/>
      <c r="AF58" s="832"/>
      <c r="AG58" s="832"/>
      <c r="AH58" s="832"/>
      <c r="AI58" s="832"/>
      <c r="AJ58" s="832"/>
      <c r="AK58" s="833"/>
      <c r="AL58" s="15"/>
      <c r="AM58" s="15"/>
      <c r="AN58" s="15"/>
      <c r="AO58" s="15"/>
      <c r="AP58" s="15"/>
      <c r="AQ58" s="15"/>
      <c r="AR58" s="15"/>
      <c r="AS58" s="15"/>
      <c r="AT58" s="15"/>
      <c r="AU58" s="15"/>
      <c r="AV58" s="15"/>
      <c r="AW58" s="15"/>
    </row>
    <row r="59" spans="1:49" s="404" customFormat="1" ht="13.5" customHeight="1" x14ac:dyDescent="0.15">
      <c r="A59" s="725"/>
      <c r="B59" s="738" t="s">
        <v>155</v>
      </c>
      <c r="C59" s="669"/>
      <c r="D59" s="669"/>
      <c r="E59" s="669"/>
      <c r="F59" s="669"/>
      <c r="G59" s="669"/>
      <c r="H59" s="670"/>
      <c r="I59" s="671"/>
      <c r="J59" s="672"/>
      <c r="K59" s="672"/>
      <c r="L59" s="672"/>
      <c r="M59" s="672"/>
      <c r="N59" s="672"/>
      <c r="O59" s="673"/>
      <c r="P59" s="834"/>
      <c r="Q59" s="834"/>
      <c r="R59" s="834"/>
      <c r="S59" s="834"/>
      <c r="T59" s="834"/>
      <c r="U59" s="834"/>
      <c r="V59" s="834"/>
      <c r="W59" s="834"/>
      <c r="X59" s="834"/>
      <c r="Y59" s="834"/>
      <c r="Z59" s="834"/>
      <c r="AA59" s="835"/>
      <c r="AB59" s="834"/>
      <c r="AC59" s="834"/>
      <c r="AD59" s="834"/>
      <c r="AE59" s="834"/>
      <c r="AF59" s="834"/>
      <c r="AG59" s="834"/>
      <c r="AH59" s="834"/>
      <c r="AI59" s="834"/>
      <c r="AJ59" s="834"/>
      <c r="AK59" s="835"/>
      <c r="AL59" s="15"/>
      <c r="AM59" s="15"/>
      <c r="AN59" s="15"/>
      <c r="AO59" s="15"/>
      <c r="AP59" s="15"/>
      <c r="AQ59" s="15"/>
      <c r="AR59" s="15"/>
      <c r="AS59" s="15"/>
      <c r="AT59" s="15"/>
      <c r="AU59" s="15"/>
      <c r="AV59" s="15"/>
      <c r="AW59" s="15"/>
    </row>
    <row r="60" spans="1:49" s="404" customFormat="1" ht="13.5" customHeight="1" x14ac:dyDescent="0.15">
      <c r="A60" s="725"/>
      <c r="B60" s="738" t="s">
        <v>156</v>
      </c>
      <c r="C60" s="669"/>
      <c r="D60" s="669"/>
      <c r="E60" s="669"/>
      <c r="F60" s="669"/>
      <c r="G60" s="669"/>
      <c r="H60" s="670"/>
      <c r="I60" s="671"/>
      <c r="J60" s="672"/>
      <c r="K60" s="672"/>
      <c r="L60" s="672"/>
      <c r="M60" s="672"/>
      <c r="N60" s="672"/>
      <c r="O60" s="673"/>
      <c r="P60" s="834"/>
      <c r="Q60" s="834"/>
      <c r="R60" s="834"/>
      <c r="S60" s="834"/>
      <c r="T60" s="834"/>
      <c r="U60" s="834"/>
      <c r="V60" s="834"/>
      <c r="W60" s="834"/>
      <c r="X60" s="834"/>
      <c r="Y60" s="834"/>
      <c r="Z60" s="834"/>
      <c r="AA60" s="835"/>
      <c r="AB60" s="834"/>
      <c r="AC60" s="834"/>
      <c r="AD60" s="834"/>
      <c r="AE60" s="834"/>
      <c r="AF60" s="834"/>
      <c r="AG60" s="834"/>
      <c r="AH60" s="834"/>
      <c r="AI60" s="834"/>
      <c r="AJ60" s="834"/>
      <c r="AK60" s="835"/>
      <c r="AL60" s="15"/>
      <c r="AM60" s="15"/>
      <c r="AN60" s="15"/>
      <c r="AO60" s="15"/>
      <c r="AP60" s="15"/>
      <c r="AQ60" s="15"/>
      <c r="AR60" s="15"/>
      <c r="AS60" s="15"/>
      <c r="AT60" s="15"/>
      <c r="AU60" s="15"/>
      <c r="AV60" s="15"/>
      <c r="AW60" s="15"/>
    </row>
    <row r="61" spans="1:49" s="404" customFormat="1" ht="13.5" customHeight="1" x14ac:dyDescent="0.15">
      <c r="A61" s="725"/>
      <c r="B61" s="738" t="s">
        <v>157</v>
      </c>
      <c r="C61" s="669"/>
      <c r="D61" s="669"/>
      <c r="E61" s="669"/>
      <c r="F61" s="669"/>
      <c r="G61" s="669"/>
      <c r="H61" s="670"/>
      <c r="I61" s="671"/>
      <c r="J61" s="672"/>
      <c r="K61" s="672"/>
      <c r="L61" s="672"/>
      <c r="M61" s="672"/>
      <c r="N61" s="672"/>
      <c r="O61" s="673"/>
      <c r="P61" s="834"/>
      <c r="Q61" s="834"/>
      <c r="R61" s="834"/>
      <c r="S61" s="834"/>
      <c r="T61" s="834"/>
      <c r="U61" s="834"/>
      <c r="V61" s="834"/>
      <c r="W61" s="834"/>
      <c r="X61" s="834"/>
      <c r="Y61" s="834"/>
      <c r="Z61" s="834"/>
      <c r="AA61" s="835"/>
      <c r="AB61" s="834"/>
      <c r="AC61" s="834"/>
      <c r="AD61" s="834"/>
      <c r="AE61" s="834"/>
      <c r="AF61" s="834"/>
      <c r="AG61" s="834"/>
      <c r="AH61" s="834"/>
      <c r="AI61" s="834"/>
      <c r="AJ61" s="834"/>
      <c r="AK61" s="835"/>
      <c r="AL61" s="15"/>
      <c r="AM61" s="15"/>
      <c r="AN61" s="15"/>
      <c r="AO61" s="15"/>
      <c r="AP61" s="15"/>
      <c r="AQ61" s="15"/>
      <c r="AR61" s="15"/>
      <c r="AS61" s="15"/>
      <c r="AT61" s="15"/>
      <c r="AU61" s="15"/>
      <c r="AV61" s="15"/>
      <c r="AW61" s="15"/>
    </row>
    <row r="62" spans="1:49" s="404" customFormat="1" ht="13.5" customHeight="1" x14ac:dyDescent="0.15">
      <c r="A62" s="725"/>
      <c r="B62" s="738" t="s">
        <v>158</v>
      </c>
      <c r="C62" s="669"/>
      <c r="D62" s="669"/>
      <c r="E62" s="669"/>
      <c r="F62" s="669"/>
      <c r="G62" s="669"/>
      <c r="H62" s="670"/>
      <c r="I62" s="671"/>
      <c r="J62" s="672"/>
      <c r="K62" s="672"/>
      <c r="L62" s="672"/>
      <c r="M62" s="672"/>
      <c r="N62" s="672"/>
      <c r="O62" s="673"/>
      <c r="P62" s="834"/>
      <c r="Q62" s="834"/>
      <c r="R62" s="834"/>
      <c r="S62" s="834"/>
      <c r="T62" s="834"/>
      <c r="U62" s="834"/>
      <c r="V62" s="834"/>
      <c r="W62" s="834"/>
      <c r="X62" s="834"/>
      <c r="Y62" s="834"/>
      <c r="Z62" s="834"/>
      <c r="AA62" s="835"/>
      <c r="AB62" s="834"/>
      <c r="AC62" s="834"/>
      <c r="AD62" s="834"/>
      <c r="AE62" s="834"/>
      <c r="AF62" s="834"/>
      <c r="AG62" s="834"/>
      <c r="AH62" s="834"/>
      <c r="AI62" s="834"/>
      <c r="AJ62" s="834"/>
      <c r="AK62" s="835"/>
      <c r="AL62" s="15"/>
      <c r="AM62" s="15"/>
      <c r="AN62" s="15"/>
      <c r="AO62" s="15"/>
      <c r="AP62" s="15"/>
      <c r="AQ62" s="15"/>
      <c r="AR62" s="15"/>
      <c r="AS62" s="15"/>
      <c r="AT62" s="15"/>
      <c r="AU62" s="15"/>
      <c r="AV62" s="15"/>
      <c r="AW62" s="15"/>
    </row>
    <row r="63" spans="1:49" s="404" customFormat="1" ht="13.5" customHeight="1" x14ac:dyDescent="0.15">
      <c r="A63" s="725"/>
      <c r="B63" s="738" t="s">
        <v>159</v>
      </c>
      <c r="C63" s="669"/>
      <c r="D63" s="669"/>
      <c r="E63" s="669"/>
      <c r="F63" s="669"/>
      <c r="G63" s="669"/>
      <c r="H63" s="670"/>
      <c r="I63" s="671"/>
      <c r="J63" s="672"/>
      <c r="K63" s="672"/>
      <c r="L63" s="672"/>
      <c r="M63" s="672"/>
      <c r="N63" s="671" t="s">
        <v>160</v>
      </c>
      <c r="O63" s="673"/>
      <c r="P63" s="834"/>
      <c r="Q63" s="834"/>
      <c r="R63" s="834"/>
      <c r="S63" s="834"/>
      <c r="T63" s="834"/>
      <c r="U63" s="834"/>
      <c r="V63" s="834"/>
      <c r="W63" s="834"/>
      <c r="X63" s="834"/>
      <c r="Y63" s="834"/>
      <c r="Z63" s="834"/>
      <c r="AA63" s="835"/>
      <c r="AB63" s="834"/>
      <c r="AC63" s="834"/>
      <c r="AD63" s="834"/>
      <c r="AE63" s="834"/>
      <c r="AF63" s="834"/>
      <c r="AG63" s="834"/>
      <c r="AH63" s="834"/>
      <c r="AI63" s="834"/>
      <c r="AJ63" s="834"/>
      <c r="AK63" s="835"/>
      <c r="AL63" s="15"/>
      <c r="AM63" s="15"/>
      <c r="AN63" s="15"/>
      <c r="AO63" s="15"/>
      <c r="AP63" s="15"/>
      <c r="AQ63" s="15"/>
      <c r="AR63" s="15"/>
      <c r="AS63" s="15"/>
      <c r="AT63" s="15"/>
      <c r="AU63" s="15"/>
      <c r="AV63" s="15"/>
      <c r="AW63" s="15"/>
    </row>
    <row r="64" spans="1:49" s="404" customFormat="1" ht="13.5" customHeight="1" x14ac:dyDescent="0.15">
      <c r="A64" s="725"/>
      <c r="B64" s="738" t="s">
        <v>161</v>
      </c>
      <c r="C64" s="669"/>
      <c r="D64" s="669"/>
      <c r="E64" s="669"/>
      <c r="F64" s="669"/>
      <c r="G64" s="669"/>
      <c r="H64" s="670"/>
      <c r="I64" s="671"/>
      <c r="J64" s="672"/>
      <c r="K64" s="672"/>
      <c r="L64" s="672"/>
      <c r="M64" s="672"/>
      <c r="N64" s="671" t="s">
        <v>162</v>
      </c>
      <c r="O64" s="673"/>
      <c r="P64" s="834"/>
      <c r="Q64" s="834"/>
      <c r="R64" s="834"/>
      <c r="S64" s="834"/>
      <c r="T64" s="834"/>
      <c r="U64" s="834"/>
      <c r="V64" s="834"/>
      <c r="W64" s="834"/>
      <c r="X64" s="834"/>
      <c r="Y64" s="834"/>
      <c r="Z64" s="834"/>
      <c r="AA64" s="835"/>
      <c r="AB64" s="834"/>
      <c r="AC64" s="834"/>
      <c r="AD64" s="834"/>
      <c r="AE64" s="834"/>
      <c r="AF64" s="834"/>
      <c r="AG64" s="834"/>
      <c r="AH64" s="834"/>
      <c r="AI64" s="834"/>
      <c r="AJ64" s="834"/>
      <c r="AK64" s="835"/>
      <c r="AL64" s="15"/>
      <c r="AM64" s="15"/>
      <c r="AN64" s="15"/>
      <c r="AO64" s="15"/>
      <c r="AP64" s="15"/>
      <c r="AQ64" s="15"/>
      <c r="AR64" s="15"/>
      <c r="AS64" s="15"/>
      <c r="AT64" s="15"/>
      <c r="AU64" s="15"/>
      <c r="AV64" s="15"/>
      <c r="AW64" s="15"/>
    </row>
    <row r="65" spans="1:49" s="404" customFormat="1" ht="13.5" customHeight="1" x14ac:dyDescent="0.15">
      <c r="A65" s="725"/>
      <c r="B65" s="838" t="s">
        <v>163</v>
      </c>
      <c r="C65" s="839" t="s">
        <v>163</v>
      </c>
      <c r="D65" s="669"/>
      <c r="E65" s="669"/>
      <c r="F65" s="669"/>
      <c r="G65" s="669"/>
      <c r="H65" s="670"/>
      <c r="I65" s="671"/>
      <c r="J65" s="672"/>
      <c r="K65" s="672"/>
      <c r="L65" s="672"/>
      <c r="M65" s="672"/>
      <c r="N65" s="672"/>
      <c r="O65" s="673"/>
      <c r="P65" s="834"/>
      <c r="Q65" s="834"/>
      <c r="R65" s="834"/>
      <c r="S65" s="834"/>
      <c r="T65" s="834"/>
      <c r="U65" s="834"/>
      <c r="V65" s="834"/>
      <c r="W65" s="834"/>
      <c r="X65" s="834"/>
      <c r="Y65" s="834"/>
      <c r="Z65" s="834"/>
      <c r="AA65" s="835"/>
      <c r="AB65" s="834"/>
      <c r="AC65" s="834"/>
      <c r="AD65" s="834"/>
      <c r="AE65" s="834"/>
      <c r="AF65" s="834"/>
      <c r="AG65" s="834"/>
      <c r="AH65" s="834"/>
      <c r="AI65" s="834"/>
      <c r="AJ65" s="834"/>
      <c r="AK65" s="835"/>
      <c r="AL65" s="15"/>
      <c r="AM65" s="15"/>
      <c r="AN65" s="15"/>
      <c r="AO65" s="15"/>
      <c r="AP65" s="15"/>
      <c r="AQ65" s="15"/>
      <c r="AR65" s="15"/>
      <c r="AS65" s="15"/>
      <c r="AT65" s="15"/>
      <c r="AU65" s="15"/>
      <c r="AV65" s="15"/>
      <c r="AW65" s="15"/>
    </row>
    <row r="66" spans="1:49" s="404" customFormat="1" ht="13.5" customHeight="1" x14ac:dyDescent="0.15">
      <c r="A66" s="725"/>
      <c r="B66" s="670"/>
      <c r="C66" s="839" t="s">
        <v>164</v>
      </c>
      <c r="D66" s="669"/>
      <c r="E66" s="669"/>
      <c r="F66" s="669"/>
      <c r="G66" s="669"/>
      <c r="H66" s="670"/>
      <c r="I66" s="671"/>
      <c r="J66" s="672"/>
      <c r="K66" s="672"/>
      <c r="L66" s="672"/>
      <c r="M66" s="672"/>
      <c r="N66" s="672"/>
      <c r="O66" s="673"/>
      <c r="P66" s="834"/>
      <c r="Q66" s="834"/>
      <c r="R66" s="834"/>
      <c r="S66" s="834"/>
      <c r="T66" s="834"/>
      <c r="U66" s="834"/>
      <c r="V66" s="834"/>
      <c r="W66" s="834"/>
      <c r="X66" s="834"/>
      <c r="Y66" s="834"/>
      <c r="Z66" s="834"/>
      <c r="AA66" s="835"/>
      <c r="AB66" s="834"/>
      <c r="AC66" s="834"/>
      <c r="AD66" s="834"/>
      <c r="AE66" s="834"/>
      <c r="AF66" s="834"/>
      <c r="AG66" s="834"/>
      <c r="AH66" s="834"/>
      <c r="AI66" s="834"/>
      <c r="AJ66" s="834"/>
      <c r="AK66" s="835"/>
      <c r="AL66" s="15"/>
      <c r="AM66" s="15"/>
      <c r="AN66" s="15"/>
      <c r="AO66" s="15"/>
      <c r="AP66" s="15"/>
      <c r="AQ66" s="15"/>
      <c r="AR66" s="15"/>
      <c r="AS66" s="15"/>
      <c r="AT66" s="15"/>
      <c r="AU66" s="15"/>
      <c r="AV66" s="15"/>
      <c r="AW66" s="15"/>
    </row>
    <row r="67" spans="1:49" s="404" customFormat="1" ht="13.5" customHeight="1" x14ac:dyDescent="0.15">
      <c r="A67" s="725"/>
      <c r="B67" s="838" t="s">
        <v>165</v>
      </c>
      <c r="C67" s="839" t="s">
        <v>165</v>
      </c>
      <c r="D67" s="669"/>
      <c r="E67" s="669"/>
      <c r="F67" s="669"/>
      <c r="G67" s="669"/>
      <c r="H67" s="670"/>
      <c r="I67" s="671"/>
      <c r="J67" s="672"/>
      <c r="K67" s="672"/>
      <c r="L67" s="672"/>
      <c r="M67" s="672"/>
      <c r="N67" s="672"/>
      <c r="O67" s="673"/>
      <c r="P67" s="834"/>
      <c r="Q67" s="834"/>
      <c r="R67" s="834"/>
      <c r="S67" s="834"/>
      <c r="T67" s="834"/>
      <c r="U67" s="834"/>
      <c r="V67" s="834"/>
      <c r="W67" s="834"/>
      <c r="X67" s="834"/>
      <c r="Y67" s="834"/>
      <c r="Z67" s="834"/>
      <c r="AA67" s="835"/>
      <c r="AB67" s="834"/>
      <c r="AC67" s="834"/>
      <c r="AD67" s="834"/>
      <c r="AE67" s="834"/>
      <c r="AF67" s="834"/>
      <c r="AG67" s="834"/>
      <c r="AH67" s="834"/>
      <c r="AI67" s="834"/>
      <c r="AJ67" s="834"/>
      <c r="AK67" s="835"/>
      <c r="AL67" s="15"/>
      <c r="AM67" s="15"/>
      <c r="AN67" s="15"/>
      <c r="AO67" s="15"/>
      <c r="AP67" s="15"/>
      <c r="AQ67" s="15"/>
      <c r="AR67" s="15"/>
      <c r="AS67" s="15"/>
      <c r="AT67" s="15"/>
      <c r="AU67" s="15"/>
      <c r="AV67" s="15"/>
      <c r="AW67" s="15"/>
    </row>
    <row r="68" spans="1:49" s="404" customFormat="1" ht="13.5" customHeight="1" x14ac:dyDescent="0.15">
      <c r="A68" s="792"/>
      <c r="B68" s="670"/>
      <c r="C68" s="839" t="s">
        <v>166</v>
      </c>
      <c r="D68" s="669"/>
      <c r="E68" s="669"/>
      <c r="F68" s="669"/>
      <c r="G68" s="669"/>
      <c r="H68" s="670"/>
      <c r="I68" s="671"/>
      <c r="J68" s="672"/>
      <c r="K68" s="672"/>
      <c r="L68" s="672"/>
      <c r="M68" s="672"/>
      <c r="N68" s="672"/>
      <c r="O68" s="673"/>
      <c r="P68" s="836"/>
      <c r="Q68" s="836"/>
      <c r="R68" s="836"/>
      <c r="S68" s="836"/>
      <c r="T68" s="836"/>
      <c r="U68" s="836"/>
      <c r="V68" s="836"/>
      <c r="W68" s="836"/>
      <c r="X68" s="836"/>
      <c r="Y68" s="836"/>
      <c r="Z68" s="836"/>
      <c r="AA68" s="837"/>
      <c r="AB68" s="836"/>
      <c r="AC68" s="836"/>
      <c r="AD68" s="836"/>
      <c r="AE68" s="836"/>
      <c r="AF68" s="836"/>
      <c r="AG68" s="836"/>
      <c r="AH68" s="836"/>
      <c r="AI68" s="836"/>
      <c r="AJ68" s="836"/>
      <c r="AK68" s="837"/>
      <c r="AL68" s="15"/>
      <c r="AM68" s="15"/>
      <c r="AN68" s="15"/>
      <c r="AO68" s="15"/>
      <c r="AP68" s="15"/>
      <c r="AQ68" s="15"/>
      <c r="AR68" s="15"/>
      <c r="AS68" s="15"/>
      <c r="AT68" s="15"/>
      <c r="AU68" s="15"/>
      <c r="AV68" s="15"/>
      <c r="AW68" s="15"/>
    </row>
    <row r="69" spans="1:49" s="404" customFormat="1" ht="13.5" customHeight="1" x14ac:dyDescent="0.15">
      <c r="A69" s="724" t="s">
        <v>167</v>
      </c>
      <c r="B69" s="738" t="s">
        <v>168</v>
      </c>
      <c r="C69" s="669"/>
      <c r="D69" s="669"/>
      <c r="E69" s="669"/>
      <c r="F69" s="669"/>
      <c r="G69" s="669"/>
      <c r="H69" s="670"/>
      <c r="I69" s="840"/>
      <c r="J69" s="672"/>
      <c r="K69" s="672"/>
      <c r="L69" s="672"/>
      <c r="M69" s="672"/>
      <c r="N69" s="672"/>
      <c r="O69" s="673"/>
      <c r="P69" s="798"/>
      <c r="Q69" s="834"/>
      <c r="R69" s="834"/>
      <c r="S69" s="834"/>
      <c r="T69" s="834"/>
      <c r="U69" s="834"/>
      <c r="V69" s="834"/>
      <c r="W69" s="834"/>
      <c r="X69" s="834"/>
      <c r="Y69" s="834"/>
      <c r="Z69" s="834"/>
      <c r="AA69" s="835"/>
      <c r="AB69" s="798"/>
      <c r="AC69" s="834"/>
      <c r="AD69" s="834"/>
      <c r="AE69" s="834"/>
      <c r="AF69" s="834"/>
      <c r="AG69" s="834"/>
      <c r="AH69" s="834"/>
      <c r="AI69" s="834"/>
      <c r="AJ69" s="834"/>
      <c r="AK69" s="835"/>
      <c r="AL69" s="15"/>
      <c r="AM69" s="15"/>
      <c r="AN69" s="15"/>
      <c r="AO69" s="15"/>
      <c r="AP69" s="15"/>
      <c r="AQ69" s="15"/>
      <c r="AR69" s="15"/>
      <c r="AS69" s="15"/>
      <c r="AT69" s="15"/>
      <c r="AU69" s="15"/>
      <c r="AV69" s="15"/>
      <c r="AW69" s="15"/>
    </row>
    <row r="70" spans="1:49" s="404" customFormat="1" ht="13.5" customHeight="1" x14ac:dyDescent="0.15">
      <c r="A70" s="725"/>
      <c r="B70" s="738" t="s">
        <v>169</v>
      </c>
      <c r="C70" s="669"/>
      <c r="D70" s="669"/>
      <c r="E70" s="669"/>
      <c r="F70" s="669"/>
      <c r="G70" s="669"/>
      <c r="H70" s="670"/>
      <c r="I70" s="840"/>
      <c r="J70" s="672"/>
      <c r="K70" s="672"/>
      <c r="L70" s="672"/>
      <c r="M70" s="672"/>
      <c r="N70" s="672"/>
      <c r="O70" s="673"/>
      <c r="P70" s="834"/>
      <c r="Q70" s="834"/>
      <c r="R70" s="834"/>
      <c r="S70" s="834"/>
      <c r="T70" s="834"/>
      <c r="U70" s="834"/>
      <c r="V70" s="834"/>
      <c r="W70" s="834"/>
      <c r="X70" s="834"/>
      <c r="Y70" s="834"/>
      <c r="Z70" s="834"/>
      <c r="AA70" s="835"/>
      <c r="AB70" s="834"/>
      <c r="AC70" s="834"/>
      <c r="AD70" s="834"/>
      <c r="AE70" s="834"/>
      <c r="AF70" s="834"/>
      <c r="AG70" s="834"/>
      <c r="AH70" s="834"/>
      <c r="AI70" s="834"/>
      <c r="AJ70" s="834"/>
      <c r="AK70" s="835"/>
      <c r="AL70" s="15"/>
      <c r="AM70" s="15"/>
      <c r="AN70" s="15"/>
      <c r="AO70" s="15"/>
      <c r="AP70" s="15"/>
      <c r="AQ70" s="15"/>
      <c r="AR70" s="15"/>
      <c r="AS70" s="15"/>
      <c r="AT70" s="15"/>
      <c r="AU70" s="15"/>
      <c r="AV70" s="15"/>
      <c r="AW70" s="15"/>
    </row>
    <row r="71" spans="1:49" s="404" customFormat="1" ht="13.5" customHeight="1" x14ac:dyDescent="0.15">
      <c r="A71" s="725"/>
      <c r="B71" s="738" t="s">
        <v>170</v>
      </c>
      <c r="C71" s="669"/>
      <c r="D71" s="669"/>
      <c r="E71" s="669"/>
      <c r="F71" s="669"/>
      <c r="G71" s="669"/>
      <c r="H71" s="670"/>
      <c r="I71" s="840"/>
      <c r="J71" s="672"/>
      <c r="K71" s="672"/>
      <c r="L71" s="672"/>
      <c r="M71" s="672"/>
      <c r="N71" s="672"/>
      <c r="O71" s="673"/>
      <c r="P71" s="834"/>
      <c r="Q71" s="834"/>
      <c r="R71" s="834"/>
      <c r="S71" s="834"/>
      <c r="T71" s="834"/>
      <c r="U71" s="834"/>
      <c r="V71" s="834"/>
      <c r="W71" s="834"/>
      <c r="X71" s="834"/>
      <c r="Y71" s="834"/>
      <c r="Z71" s="834"/>
      <c r="AA71" s="835"/>
      <c r="AB71" s="834"/>
      <c r="AC71" s="834"/>
      <c r="AD71" s="834"/>
      <c r="AE71" s="834"/>
      <c r="AF71" s="834"/>
      <c r="AG71" s="834"/>
      <c r="AH71" s="834"/>
      <c r="AI71" s="834"/>
      <c r="AJ71" s="834"/>
      <c r="AK71" s="835"/>
      <c r="AL71" s="15"/>
      <c r="AM71" s="15"/>
      <c r="AN71" s="15"/>
      <c r="AO71" s="15"/>
      <c r="AP71" s="15"/>
      <c r="AQ71" s="15"/>
      <c r="AR71" s="15"/>
      <c r="AS71" s="15"/>
      <c r="AT71" s="15"/>
      <c r="AU71" s="15"/>
      <c r="AV71" s="15"/>
      <c r="AW71" s="15"/>
    </row>
    <row r="72" spans="1:49" s="404" customFormat="1" ht="13.5" customHeight="1" x14ac:dyDescent="0.15">
      <c r="A72" s="725"/>
      <c r="B72" s="738" t="s">
        <v>171</v>
      </c>
      <c r="C72" s="669"/>
      <c r="D72" s="669"/>
      <c r="E72" s="669"/>
      <c r="F72" s="669"/>
      <c r="G72" s="669"/>
      <c r="H72" s="670"/>
      <c r="I72" s="840"/>
      <c r="J72" s="672"/>
      <c r="K72" s="672"/>
      <c r="L72" s="672"/>
      <c r="M72" s="672"/>
      <c r="N72" s="672"/>
      <c r="O72" s="673"/>
      <c r="P72" s="834"/>
      <c r="Q72" s="834"/>
      <c r="R72" s="834"/>
      <c r="S72" s="834"/>
      <c r="T72" s="834"/>
      <c r="U72" s="834"/>
      <c r="V72" s="834"/>
      <c r="W72" s="834"/>
      <c r="X72" s="834"/>
      <c r="Y72" s="834"/>
      <c r="Z72" s="834"/>
      <c r="AA72" s="835"/>
      <c r="AB72" s="834"/>
      <c r="AC72" s="834"/>
      <c r="AD72" s="834"/>
      <c r="AE72" s="834"/>
      <c r="AF72" s="834"/>
      <c r="AG72" s="834"/>
      <c r="AH72" s="834"/>
      <c r="AI72" s="834"/>
      <c r="AJ72" s="834"/>
      <c r="AK72" s="835"/>
      <c r="AL72" s="15"/>
      <c r="AM72" s="15"/>
      <c r="AN72" s="15"/>
      <c r="AO72" s="15"/>
      <c r="AP72" s="15"/>
      <c r="AQ72" s="15"/>
      <c r="AR72" s="15"/>
      <c r="AS72" s="15"/>
      <c r="AT72" s="15"/>
      <c r="AU72" s="15"/>
      <c r="AV72" s="15"/>
      <c r="AW72" s="15"/>
    </row>
    <row r="73" spans="1:49" s="404" customFormat="1" ht="13.5" customHeight="1" x14ac:dyDescent="0.15">
      <c r="A73" s="725"/>
      <c r="B73" s="738" t="s">
        <v>172</v>
      </c>
      <c r="C73" s="669"/>
      <c r="D73" s="669"/>
      <c r="E73" s="669"/>
      <c r="F73" s="669"/>
      <c r="G73" s="669"/>
      <c r="H73" s="670"/>
      <c r="I73" s="840"/>
      <c r="J73" s="672"/>
      <c r="K73" s="672"/>
      <c r="L73" s="672"/>
      <c r="M73" s="672"/>
      <c r="N73" s="672"/>
      <c r="O73" s="673"/>
      <c r="P73" s="834"/>
      <c r="Q73" s="834"/>
      <c r="R73" s="834"/>
      <c r="S73" s="834"/>
      <c r="T73" s="834"/>
      <c r="U73" s="834"/>
      <c r="V73" s="834"/>
      <c r="W73" s="834"/>
      <c r="X73" s="834"/>
      <c r="Y73" s="834"/>
      <c r="Z73" s="834"/>
      <c r="AA73" s="835"/>
      <c r="AB73" s="834"/>
      <c r="AC73" s="834"/>
      <c r="AD73" s="834"/>
      <c r="AE73" s="834"/>
      <c r="AF73" s="834"/>
      <c r="AG73" s="834"/>
      <c r="AH73" s="834"/>
      <c r="AI73" s="834"/>
      <c r="AJ73" s="834"/>
      <c r="AK73" s="835"/>
      <c r="AL73" s="15"/>
      <c r="AM73" s="15"/>
      <c r="AN73" s="15"/>
      <c r="AO73" s="15"/>
      <c r="AP73" s="15"/>
      <c r="AQ73" s="15"/>
      <c r="AR73" s="15"/>
      <c r="AS73" s="15"/>
      <c r="AT73" s="15"/>
      <c r="AU73" s="15"/>
      <c r="AV73" s="15"/>
      <c r="AW73" s="15"/>
    </row>
    <row r="74" spans="1:49" s="404" customFormat="1" ht="13.5" customHeight="1" x14ac:dyDescent="0.15">
      <c r="A74" s="725"/>
      <c r="B74" s="738" t="s">
        <v>173</v>
      </c>
      <c r="C74" s="669"/>
      <c r="D74" s="669"/>
      <c r="E74" s="669"/>
      <c r="F74" s="669"/>
      <c r="G74" s="669"/>
      <c r="H74" s="670"/>
      <c r="I74" s="840"/>
      <c r="J74" s="672"/>
      <c r="K74" s="672"/>
      <c r="L74" s="672"/>
      <c r="M74" s="672"/>
      <c r="N74" s="672"/>
      <c r="O74" s="673"/>
      <c r="P74" s="834"/>
      <c r="Q74" s="834"/>
      <c r="R74" s="834"/>
      <c r="S74" s="834"/>
      <c r="T74" s="834"/>
      <c r="U74" s="834"/>
      <c r="V74" s="834"/>
      <c r="W74" s="834"/>
      <c r="X74" s="834"/>
      <c r="Y74" s="834"/>
      <c r="Z74" s="834"/>
      <c r="AA74" s="835"/>
      <c r="AB74" s="834"/>
      <c r="AC74" s="834"/>
      <c r="AD74" s="834"/>
      <c r="AE74" s="834"/>
      <c r="AF74" s="834"/>
      <c r="AG74" s="834"/>
      <c r="AH74" s="834"/>
      <c r="AI74" s="834"/>
      <c r="AJ74" s="834"/>
      <c r="AK74" s="835"/>
      <c r="AL74" s="15"/>
      <c r="AM74" s="15"/>
      <c r="AN74" s="15"/>
      <c r="AO74" s="15"/>
      <c r="AP74" s="15"/>
      <c r="AQ74" s="15"/>
      <c r="AR74" s="15"/>
      <c r="AS74" s="15"/>
      <c r="AT74" s="15"/>
      <c r="AU74" s="15"/>
      <c r="AV74" s="15"/>
      <c r="AW74" s="15"/>
    </row>
    <row r="75" spans="1:49" s="404" customFormat="1" ht="13.5" customHeight="1" x14ac:dyDescent="0.15">
      <c r="A75" s="725"/>
      <c r="B75" s="738" t="s">
        <v>174</v>
      </c>
      <c r="C75" s="669"/>
      <c r="D75" s="669"/>
      <c r="E75" s="669"/>
      <c r="F75" s="669"/>
      <c r="G75" s="669"/>
      <c r="H75" s="670"/>
      <c r="I75" s="840"/>
      <c r="J75" s="672"/>
      <c r="K75" s="672"/>
      <c r="L75" s="672"/>
      <c r="M75" s="672"/>
      <c r="N75" s="672"/>
      <c r="O75" s="673"/>
      <c r="P75" s="834"/>
      <c r="Q75" s="834"/>
      <c r="R75" s="834"/>
      <c r="S75" s="834"/>
      <c r="T75" s="834"/>
      <c r="U75" s="834"/>
      <c r="V75" s="834"/>
      <c r="W75" s="834"/>
      <c r="X75" s="834"/>
      <c r="Y75" s="834"/>
      <c r="Z75" s="834"/>
      <c r="AA75" s="835"/>
      <c r="AB75" s="834"/>
      <c r="AC75" s="834"/>
      <c r="AD75" s="834"/>
      <c r="AE75" s="834"/>
      <c r="AF75" s="834"/>
      <c r="AG75" s="834"/>
      <c r="AH75" s="834"/>
      <c r="AI75" s="834"/>
      <c r="AJ75" s="834"/>
      <c r="AK75" s="835"/>
      <c r="AL75" s="15"/>
      <c r="AM75" s="15"/>
      <c r="AN75" s="15"/>
      <c r="AO75" s="15"/>
      <c r="AP75" s="15"/>
      <c r="AQ75" s="15"/>
      <c r="AR75" s="15"/>
      <c r="AS75" s="15"/>
      <c r="AT75" s="15"/>
      <c r="AU75" s="15"/>
      <c r="AV75" s="15"/>
      <c r="AW75" s="15"/>
    </row>
    <row r="76" spans="1:49" s="404" customFormat="1" ht="13.5" customHeight="1" x14ac:dyDescent="0.15">
      <c r="A76" s="725"/>
      <c r="B76" s="738" t="s">
        <v>175</v>
      </c>
      <c r="C76" s="669"/>
      <c r="D76" s="669"/>
      <c r="E76" s="669"/>
      <c r="F76" s="669"/>
      <c r="G76" s="669"/>
      <c r="H76" s="670"/>
      <c r="I76" s="840"/>
      <c r="J76" s="672"/>
      <c r="K76" s="672"/>
      <c r="L76" s="672"/>
      <c r="M76" s="672"/>
      <c r="N76" s="672"/>
      <c r="O76" s="673"/>
      <c r="P76" s="834"/>
      <c r="Q76" s="834"/>
      <c r="R76" s="834"/>
      <c r="S76" s="834"/>
      <c r="T76" s="834"/>
      <c r="U76" s="834"/>
      <c r="V76" s="834"/>
      <c r="W76" s="834"/>
      <c r="X76" s="834"/>
      <c r="Y76" s="834"/>
      <c r="Z76" s="834"/>
      <c r="AA76" s="835"/>
      <c r="AB76" s="834"/>
      <c r="AC76" s="834"/>
      <c r="AD76" s="834"/>
      <c r="AE76" s="834"/>
      <c r="AF76" s="834"/>
      <c r="AG76" s="834"/>
      <c r="AH76" s="834"/>
      <c r="AI76" s="834"/>
      <c r="AJ76" s="834"/>
      <c r="AK76" s="835"/>
      <c r="AL76" s="15"/>
      <c r="AM76" s="15"/>
      <c r="AN76" s="15"/>
      <c r="AO76" s="15"/>
      <c r="AP76" s="15"/>
      <c r="AQ76" s="15"/>
      <c r="AR76" s="15"/>
      <c r="AS76" s="15"/>
      <c r="AT76" s="15"/>
      <c r="AU76" s="15"/>
      <c r="AV76" s="15"/>
      <c r="AW76" s="15"/>
    </row>
    <row r="77" spans="1:49" s="404" customFormat="1" ht="13.5" customHeight="1" x14ac:dyDescent="0.15">
      <c r="A77" s="725"/>
      <c r="B77" s="738" t="s">
        <v>176</v>
      </c>
      <c r="C77" s="669"/>
      <c r="D77" s="669"/>
      <c r="E77" s="669"/>
      <c r="F77" s="669"/>
      <c r="G77" s="669"/>
      <c r="H77" s="670"/>
      <c r="I77" s="671"/>
      <c r="J77" s="672"/>
      <c r="K77" s="672"/>
      <c r="L77" s="672"/>
      <c r="M77" s="672"/>
      <c r="N77" s="672"/>
      <c r="O77" s="673"/>
      <c r="P77" s="834"/>
      <c r="Q77" s="834"/>
      <c r="R77" s="834"/>
      <c r="S77" s="834"/>
      <c r="T77" s="834"/>
      <c r="U77" s="834"/>
      <c r="V77" s="834"/>
      <c r="W77" s="834"/>
      <c r="X77" s="834"/>
      <c r="Y77" s="834"/>
      <c r="Z77" s="834"/>
      <c r="AA77" s="835"/>
      <c r="AB77" s="834"/>
      <c r="AC77" s="834"/>
      <c r="AD77" s="834"/>
      <c r="AE77" s="834"/>
      <c r="AF77" s="834"/>
      <c r="AG77" s="834"/>
      <c r="AH77" s="834"/>
      <c r="AI77" s="834"/>
      <c r="AJ77" s="834"/>
      <c r="AK77" s="835"/>
      <c r="AL77" s="15"/>
      <c r="AM77" s="15"/>
      <c r="AN77" s="15"/>
      <c r="AO77" s="15"/>
      <c r="AP77" s="15"/>
      <c r="AQ77" s="15"/>
      <c r="AR77" s="15"/>
      <c r="AS77" s="15"/>
      <c r="AT77" s="15"/>
      <c r="AU77" s="15"/>
      <c r="AV77" s="15"/>
      <c r="AW77" s="15"/>
    </row>
    <row r="78" spans="1:49" s="404" customFormat="1" ht="13.5" customHeight="1" x14ac:dyDescent="0.15">
      <c r="A78" s="792"/>
      <c r="B78" s="738" t="s">
        <v>177</v>
      </c>
      <c r="C78" s="669"/>
      <c r="D78" s="669"/>
      <c r="E78" s="669"/>
      <c r="F78" s="669"/>
      <c r="G78" s="669"/>
      <c r="H78" s="670"/>
      <c r="I78" s="671"/>
      <c r="J78" s="672"/>
      <c r="K78" s="672"/>
      <c r="L78" s="672"/>
      <c r="M78" s="672"/>
      <c r="N78" s="672"/>
      <c r="O78" s="673"/>
      <c r="P78" s="836"/>
      <c r="Q78" s="836"/>
      <c r="R78" s="836"/>
      <c r="S78" s="836"/>
      <c r="T78" s="836"/>
      <c r="U78" s="836"/>
      <c r="V78" s="836"/>
      <c r="W78" s="836"/>
      <c r="X78" s="836"/>
      <c r="Y78" s="836"/>
      <c r="Z78" s="836"/>
      <c r="AA78" s="837"/>
      <c r="AB78" s="836"/>
      <c r="AC78" s="836"/>
      <c r="AD78" s="836"/>
      <c r="AE78" s="836"/>
      <c r="AF78" s="836"/>
      <c r="AG78" s="836"/>
      <c r="AH78" s="836"/>
      <c r="AI78" s="836"/>
      <c r="AJ78" s="836"/>
      <c r="AK78" s="837"/>
      <c r="AL78" s="15"/>
      <c r="AM78" s="15"/>
      <c r="AN78" s="15"/>
      <c r="AO78" s="15"/>
      <c r="AP78" s="15"/>
      <c r="AQ78" s="15"/>
      <c r="AR78" s="15"/>
      <c r="AS78" s="15"/>
      <c r="AT78" s="15"/>
      <c r="AU78" s="15"/>
      <c r="AV78" s="15"/>
      <c r="AW78" s="15"/>
    </row>
    <row r="79" spans="1:49" s="404" customFormat="1" ht="13.5" customHeight="1" x14ac:dyDescent="0.15">
      <c r="A79" s="724" t="s">
        <v>1255</v>
      </c>
      <c r="B79" s="848" t="s">
        <v>178</v>
      </c>
      <c r="C79" s="839" t="s">
        <v>179</v>
      </c>
      <c r="D79" s="669"/>
      <c r="E79" s="669"/>
      <c r="F79" s="669"/>
      <c r="G79" s="669"/>
      <c r="H79" s="670"/>
      <c r="I79" s="671"/>
      <c r="J79" s="672"/>
      <c r="K79" s="672"/>
      <c r="L79" s="672"/>
      <c r="M79" s="672"/>
      <c r="N79" s="672"/>
      <c r="O79" s="673"/>
      <c r="P79" s="798"/>
      <c r="Q79" s="834"/>
      <c r="R79" s="834"/>
      <c r="S79" s="834"/>
      <c r="T79" s="834"/>
      <c r="U79" s="834"/>
      <c r="V79" s="834"/>
      <c r="W79" s="834"/>
      <c r="X79" s="834"/>
      <c r="Y79" s="834"/>
      <c r="Z79" s="834"/>
      <c r="AA79" s="835"/>
      <c r="AB79" s="798"/>
      <c r="AC79" s="834"/>
      <c r="AD79" s="834"/>
      <c r="AE79" s="834"/>
      <c r="AF79" s="834"/>
      <c r="AG79" s="834"/>
      <c r="AH79" s="834"/>
      <c r="AI79" s="834"/>
      <c r="AJ79" s="834"/>
      <c r="AK79" s="835"/>
      <c r="AL79" s="15"/>
      <c r="AM79" s="15"/>
      <c r="AN79" s="15"/>
      <c r="AO79" s="15"/>
      <c r="AP79" s="15"/>
      <c r="AQ79" s="15"/>
      <c r="AR79" s="15"/>
      <c r="AS79" s="15"/>
      <c r="AT79" s="15"/>
      <c r="AU79" s="15"/>
      <c r="AV79" s="15"/>
      <c r="AW79" s="15"/>
    </row>
    <row r="80" spans="1:49" s="404" customFormat="1" ht="13.5" customHeight="1" x14ac:dyDescent="0.15">
      <c r="A80" s="725"/>
      <c r="B80" s="680"/>
      <c r="C80" s="839" t="s">
        <v>180</v>
      </c>
      <c r="D80" s="669"/>
      <c r="E80" s="669"/>
      <c r="F80" s="669"/>
      <c r="G80" s="669"/>
      <c r="H80" s="670"/>
      <c r="I80" s="671"/>
      <c r="J80" s="672"/>
      <c r="K80" s="672"/>
      <c r="L80" s="672"/>
      <c r="M80" s="672"/>
      <c r="N80" s="672"/>
      <c r="O80" s="673"/>
      <c r="P80" s="834"/>
      <c r="Q80" s="834"/>
      <c r="R80" s="834"/>
      <c r="S80" s="834"/>
      <c r="T80" s="834"/>
      <c r="U80" s="834"/>
      <c r="V80" s="834"/>
      <c r="W80" s="834"/>
      <c r="X80" s="834"/>
      <c r="Y80" s="834"/>
      <c r="Z80" s="834"/>
      <c r="AA80" s="835"/>
      <c r="AB80" s="834"/>
      <c r="AC80" s="834"/>
      <c r="AD80" s="834"/>
      <c r="AE80" s="834"/>
      <c r="AF80" s="834"/>
      <c r="AG80" s="834"/>
      <c r="AH80" s="834"/>
      <c r="AI80" s="834"/>
      <c r="AJ80" s="834"/>
      <c r="AK80" s="835"/>
      <c r="AL80" s="15"/>
      <c r="AM80" s="15"/>
      <c r="AN80" s="15"/>
      <c r="AO80" s="15"/>
      <c r="AP80" s="15"/>
      <c r="AQ80" s="15"/>
      <c r="AR80" s="15"/>
      <c r="AS80" s="15"/>
      <c r="AT80" s="15"/>
      <c r="AU80" s="15"/>
      <c r="AV80" s="15"/>
      <c r="AW80" s="15"/>
    </row>
    <row r="81" spans="1:49" s="404" customFormat="1" ht="13.5" customHeight="1" x14ac:dyDescent="0.15">
      <c r="A81" s="725"/>
      <c r="B81" s="680"/>
      <c r="C81" s="839" t="s">
        <v>181</v>
      </c>
      <c r="D81" s="669"/>
      <c r="E81" s="669"/>
      <c r="F81" s="669"/>
      <c r="G81" s="669"/>
      <c r="H81" s="670"/>
      <c r="I81" s="671"/>
      <c r="J81" s="672"/>
      <c r="K81" s="672"/>
      <c r="L81" s="672"/>
      <c r="M81" s="672"/>
      <c r="N81" s="672"/>
      <c r="O81" s="673"/>
      <c r="P81" s="834"/>
      <c r="Q81" s="834"/>
      <c r="R81" s="834"/>
      <c r="S81" s="834"/>
      <c r="T81" s="834"/>
      <c r="U81" s="834"/>
      <c r="V81" s="834"/>
      <c r="W81" s="834"/>
      <c r="X81" s="834"/>
      <c r="Y81" s="834"/>
      <c r="Z81" s="834"/>
      <c r="AA81" s="835"/>
      <c r="AB81" s="834"/>
      <c r="AC81" s="834"/>
      <c r="AD81" s="834"/>
      <c r="AE81" s="834"/>
      <c r="AF81" s="834"/>
      <c r="AG81" s="834"/>
      <c r="AH81" s="834"/>
      <c r="AI81" s="834"/>
      <c r="AJ81" s="834"/>
      <c r="AK81" s="835"/>
      <c r="AL81" s="15"/>
      <c r="AM81" s="15"/>
      <c r="AN81" s="15"/>
      <c r="AO81" s="15"/>
      <c r="AP81" s="15"/>
      <c r="AQ81" s="15"/>
      <c r="AR81" s="15"/>
      <c r="AS81" s="15"/>
      <c r="AT81" s="15"/>
      <c r="AU81" s="15"/>
      <c r="AV81" s="15"/>
      <c r="AW81" s="15"/>
    </row>
    <row r="82" spans="1:49" s="404" customFormat="1" ht="13.5" customHeight="1" x14ac:dyDescent="0.15">
      <c r="A82" s="725"/>
      <c r="B82" s="680"/>
      <c r="C82" s="849" t="s">
        <v>182</v>
      </c>
      <c r="D82" s="680"/>
      <c r="E82" s="839" t="s">
        <v>183</v>
      </c>
      <c r="F82" s="669"/>
      <c r="G82" s="669"/>
      <c r="H82" s="670"/>
      <c r="I82" s="671"/>
      <c r="J82" s="672"/>
      <c r="K82" s="672"/>
      <c r="L82" s="672"/>
      <c r="M82" s="672"/>
      <c r="N82" s="672"/>
      <c r="O82" s="673"/>
      <c r="P82" s="834"/>
      <c r="Q82" s="834"/>
      <c r="R82" s="834"/>
      <c r="S82" s="834"/>
      <c r="T82" s="834"/>
      <c r="U82" s="834"/>
      <c r="V82" s="834"/>
      <c r="W82" s="834"/>
      <c r="X82" s="834"/>
      <c r="Y82" s="834"/>
      <c r="Z82" s="834"/>
      <c r="AA82" s="835"/>
      <c r="AB82" s="834"/>
      <c r="AC82" s="834"/>
      <c r="AD82" s="834"/>
      <c r="AE82" s="834"/>
      <c r="AF82" s="834"/>
      <c r="AG82" s="834"/>
      <c r="AH82" s="834"/>
      <c r="AI82" s="834"/>
      <c r="AJ82" s="834"/>
      <c r="AK82" s="835"/>
      <c r="AL82" s="15"/>
      <c r="AM82" s="15"/>
      <c r="AN82" s="15"/>
      <c r="AO82" s="15"/>
      <c r="AP82" s="15"/>
      <c r="AQ82" s="15"/>
      <c r="AR82" s="15"/>
      <c r="AS82" s="15"/>
      <c r="AT82" s="15"/>
      <c r="AU82" s="15"/>
      <c r="AV82" s="15"/>
      <c r="AW82" s="15"/>
    </row>
    <row r="83" spans="1:49" s="404" customFormat="1" ht="13.5" customHeight="1" x14ac:dyDescent="0.15">
      <c r="A83" s="725"/>
      <c r="B83" s="680"/>
      <c r="C83" s="693"/>
      <c r="D83" s="680"/>
      <c r="E83" s="839" t="s">
        <v>184</v>
      </c>
      <c r="F83" s="669"/>
      <c r="G83" s="669"/>
      <c r="H83" s="670"/>
      <c r="I83" s="671"/>
      <c r="J83" s="672"/>
      <c r="K83" s="672"/>
      <c r="L83" s="672"/>
      <c r="M83" s="672"/>
      <c r="N83" s="672"/>
      <c r="O83" s="673"/>
      <c r="P83" s="834"/>
      <c r="Q83" s="834"/>
      <c r="R83" s="834"/>
      <c r="S83" s="834"/>
      <c r="T83" s="834"/>
      <c r="U83" s="834"/>
      <c r="V83" s="834"/>
      <c r="W83" s="834"/>
      <c r="X83" s="834"/>
      <c r="Y83" s="834"/>
      <c r="Z83" s="834"/>
      <c r="AA83" s="835"/>
      <c r="AB83" s="834"/>
      <c r="AC83" s="834"/>
      <c r="AD83" s="834"/>
      <c r="AE83" s="834"/>
      <c r="AF83" s="834"/>
      <c r="AG83" s="834"/>
      <c r="AH83" s="834"/>
      <c r="AI83" s="834"/>
      <c r="AJ83" s="834"/>
      <c r="AK83" s="835"/>
      <c r="AL83" s="15"/>
      <c r="AM83" s="15"/>
      <c r="AN83" s="15"/>
      <c r="AO83" s="15"/>
      <c r="AP83" s="15"/>
      <c r="AQ83" s="15"/>
      <c r="AR83" s="15"/>
      <c r="AS83" s="15"/>
      <c r="AT83" s="15"/>
      <c r="AU83" s="15"/>
      <c r="AV83" s="15"/>
      <c r="AW83" s="15"/>
    </row>
    <row r="84" spans="1:49" s="404" customFormat="1" ht="13.5" customHeight="1" x14ac:dyDescent="0.15">
      <c r="A84" s="725"/>
      <c r="B84" s="680"/>
      <c r="C84" s="669"/>
      <c r="D84" s="670"/>
      <c r="E84" s="839" t="s">
        <v>1180</v>
      </c>
      <c r="F84" s="669"/>
      <c r="G84" s="669"/>
      <c r="H84" s="670"/>
      <c r="I84" s="850"/>
      <c r="J84" s="672"/>
      <c r="K84" s="672"/>
      <c r="L84" s="672"/>
      <c r="M84" s="672"/>
      <c r="N84" s="672"/>
      <c r="O84" s="673"/>
      <c r="P84" s="834"/>
      <c r="Q84" s="834"/>
      <c r="R84" s="834"/>
      <c r="S84" s="834"/>
      <c r="T84" s="834"/>
      <c r="U84" s="834"/>
      <c r="V84" s="834"/>
      <c r="W84" s="834"/>
      <c r="X84" s="834"/>
      <c r="Y84" s="834"/>
      <c r="Z84" s="834"/>
      <c r="AA84" s="835"/>
      <c r="AB84" s="834"/>
      <c r="AC84" s="834"/>
      <c r="AD84" s="834"/>
      <c r="AE84" s="834"/>
      <c r="AF84" s="834"/>
      <c r="AG84" s="834"/>
      <c r="AH84" s="834"/>
      <c r="AI84" s="834"/>
      <c r="AJ84" s="834"/>
      <c r="AK84" s="835"/>
      <c r="AL84" s="15"/>
      <c r="AM84" s="15"/>
      <c r="AN84" s="15"/>
      <c r="AO84" s="15"/>
      <c r="AP84" s="15"/>
      <c r="AQ84" s="15"/>
      <c r="AR84" s="15"/>
      <c r="AS84" s="15"/>
      <c r="AT84" s="15"/>
      <c r="AU84" s="15"/>
      <c r="AV84" s="15"/>
      <c r="AW84" s="15"/>
    </row>
    <row r="85" spans="1:49" s="404" customFormat="1" ht="13.5" customHeight="1" x14ac:dyDescent="0.15">
      <c r="A85" s="725"/>
      <c r="B85" s="680"/>
      <c r="C85" s="839" t="s">
        <v>185</v>
      </c>
      <c r="D85" s="669"/>
      <c r="E85" s="669"/>
      <c r="F85" s="669"/>
      <c r="G85" s="669"/>
      <c r="H85" s="670"/>
      <c r="I85" s="671"/>
      <c r="J85" s="672"/>
      <c r="K85" s="672"/>
      <c r="L85" s="672"/>
      <c r="M85" s="672"/>
      <c r="N85" s="672"/>
      <c r="O85" s="673"/>
      <c r="P85" s="834"/>
      <c r="Q85" s="834"/>
      <c r="R85" s="834"/>
      <c r="S85" s="834"/>
      <c r="T85" s="834"/>
      <c r="U85" s="834"/>
      <c r="V85" s="834"/>
      <c r="W85" s="834"/>
      <c r="X85" s="834"/>
      <c r="Y85" s="834"/>
      <c r="Z85" s="834"/>
      <c r="AA85" s="835"/>
      <c r="AB85" s="834"/>
      <c r="AC85" s="834"/>
      <c r="AD85" s="834"/>
      <c r="AE85" s="834"/>
      <c r="AF85" s="834"/>
      <c r="AG85" s="834"/>
      <c r="AH85" s="834"/>
      <c r="AI85" s="834"/>
      <c r="AJ85" s="834"/>
      <c r="AK85" s="835"/>
      <c r="AL85" s="15"/>
      <c r="AM85" s="15"/>
      <c r="AN85" s="15"/>
      <c r="AO85" s="15"/>
      <c r="AP85" s="15"/>
      <c r="AQ85" s="15"/>
      <c r="AR85" s="15"/>
      <c r="AS85" s="15"/>
      <c r="AT85" s="15"/>
      <c r="AU85" s="15"/>
      <c r="AV85" s="15"/>
      <c r="AW85" s="15"/>
    </row>
    <row r="86" spans="1:49" s="404" customFormat="1" ht="13.5" customHeight="1" x14ac:dyDescent="0.15">
      <c r="A86" s="725"/>
      <c r="B86" s="670"/>
      <c r="C86" s="839" t="s">
        <v>186</v>
      </c>
      <c r="D86" s="669"/>
      <c r="E86" s="669"/>
      <c r="F86" s="669"/>
      <c r="G86" s="669"/>
      <c r="H86" s="670"/>
      <c r="I86" s="671"/>
      <c r="J86" s="672"/>
      <c r="K86" s="672"/>
      <c r="L86" s="672"/>
      <c r="M86" s="672"/>
      <c r="N86" s="672"/>
      <c r="O86" s="673"/>
      <c r="P86" s="836"/>
      <c r="Q86" s="836"/>
      <c r="R86" s="836"/>
      <c r="S86" s="836"/>
      <c r="T86" s="836"/>
      <c r="U86" s="836"/>
      <c r="V86" s="836"/>
      <c r="W86" s="836"/>
      <c r="X86" s="836"/>
      <c r="Y86" s="836"/>
      <c r="Z86" s="836"/>
      <c r="AA86" s="837"/>
      <c r="AB86" s="836"/>
      <c r="AC86" s="836"/>
      <c r="AD86" s="836"/>
      <c r="AE86" s="836"/>
      <c r="AF86" s="836"/>
      <c r="AG86" s="836"/>
      <c r="AH86" s="836"/>
      <c r="AI86" s="836"/>
      <c r="AJ86" s="836"/>
      <c r="AK86" s="837"/>
      <c r="AL86" s="15"/>
      <c r="AM86" s="15"/>
      <c r="AN86" s="15"/>
      <c r="AO86" s="15"/>
      <c r="AP86" s="15"/>
      <c r="AQ86" s="15"/>
      <c r="AR86" s="15"/>
      <c r="AS86" s="15"/>
      <c r="AT86" s="15"/>
      <c r="AU86" s="15"/>
      <c r="AV86" s="15"/>
      <c r="AW86" s="15"/>
    </row>
    <row r="87" spans="1:49" s="404" customFormat="1" ht="13.5" customHeight="1" x14ac:dyDescent="0.15">
      <c r="A87" s="725"/>
      <c r="B87" s="848" t="s">
        <v>187</v>
      </c>
      <c r="C87" s="839" t="s">
        <v>1181</v>
      </c>
      <c r="D87" s="669"/>
      <c r="E87" s="669"/>
      <c r="F87" s="669"/>
      <c r="G87" s="669"/>
      <c r="H87" s="670"/>
      <c r="I87" s="671"/>
      <c r="J87" s="672"/>
      <c r="K87" s="672"/>
      <c r="L87" s="672"/>
      <c r="M87" s="672"/>
      <c r="N87" s="672"/>
      <c r="O87" s="673"/>
      <c r="P87" s="798"/>
      <c r="Q87" s="834"/>
      <c r="R87" s="834"/>
      <c r="S87" s="834"/>
      <c r="T87" s="834"/>
      <c r="U87" s="834"/>
      <c r="V87" s="834"/>
      <c r="W87" s="834"/>
      <c r="X87" s="834"/>
      <c r="Y87" s="834"/>
      <c r="Z87" s="834"/>
      <c r="AA87" s="835"/>
      <c r="AB87" s="798"/>
      <c r="AC87" s="834"/>
      <c r="AD87" s="834"/>
      <c r="AE87" s="834"/>
      <c r="AF87" s="834"/>
      <c r="AG87" s="834"/>
      <c r="AH87" s="834"/>
      <c r="AI87" s="834"/>
      <c r="AJ87" s="834"/>
      <c r="AK87" s="835"/>
      <c r="AL87" s="15"/>
      <c r="AM87" s="15"/>
      <c r="AN87" s="15"/>
      <c r="AO87" s="15"/>
      <c r="AP87" s="15"/>
      <c r="AQ87" s="15"/>
      <c r="AR87" s="15"/>
      <c r="AS87" s="15"/>
      <c r="AT87" s="15"/>
      <c r="AU87" s="15"/>
      <c r="AV87" s="15"/>
      <c r="AW87" s="15"/>
    </row>
    <row r="88" spans="1:49" s="404" customFormat="1" ht="13.5" customHeight="1" x14ac:dyDescent="0.15">
      <c r="A88" s="725"/>
      <c r="B88" s="680"/>
      <c r="C88" s="839" t="s">
        <v>1182</v>
      </c>
      <c r="D88" s="669"/>
      <c r="E88" s="669"/>
      <c r="F88" s="669"/>
      <c r="G88" s="669"/>
      <c r="H88" s="670"/>
      <c r="I88" s="671"/>
      <c r="J88" s="672"/>
      <c r="K88" s="672"/>
      <c r="L88" s="672"/>
      <c r="M88" s="672"/>
      <c r="N88" s="672"/>
      <c r="O88" s="673"/>
      <c r="P88" s="834"/>
      <c r="Q88" s="834"/>
      <c r="R88" s="834"/>
      <c r="S88" s="834"/>
      <c r="T88" s="834"/>
      <c r="U88" s="834"/>
      <c r="V88" s="834"/>
      <c r="W88" s="834"/>
      <c r="X88" s="834"/>
      <c r="Y88" s="834"/>
      <c r="Z88" s="834"/>
      <c r="AA88" s="835"/>
      <c r="AB88" s="834"/>
      <c r="AC88" s="834"/>
      <c r="AD88" s="834"/>
      <c r="AE88" s="834"/>
      <c r="AF88" s="834"/>
      <c r="AG88" s="834"/>
      <c r="AH88" s="834"/>
      <c r="AI88" s="834"/>
      <c r="AJ88" s="834"/>
      <c r="AK88" s="835"/>
      <c r="AL88" s="15"/>
      <c r="AM88" s="15"/>
      <c r="AN88" s="15"/>
      <c r="AO88" s="15"/>
      <c r="AP88" s="15"/>
      <c r="AQ88" s="15"/>
      <c r="AR88" s="15"/>
      <c r="AS88" s="15"/>
      <c r="AT88" s="15"/>
      <c r="AU88" s="15"/>
      <c r="AV88" s="15"/>
      <c r="AW88" s="15"/>
    </row>
    <row r="89" spans="1:49" s="404" customFormat="1" ht="13.5" customHeight="1" x14ac:dyDescent="0.15">
      <c r="A89" s="725"/>
      <c r="B89" s="680"/>
      <c r="C89" s="849" t="s">
        <v>188</v>
      </c>
      <c r="D89" s="680"/>
      <c r="E89" s="839" t="s">
        <v>189</v>
      </c>
      <c r="F89" s="669"/>
      <c r="G89" s="669"/>
      <c r="H89" s="670"/>
      <c r="I89" s="727"/>
      <c r="J89" s="728"/>
      <c r="K89" s="728"/>
      <c r="L89" s="728"/>
      <c r="M89" s="728"/>
      <c r="N89" s="728"/>
      <c r="O89" s="729"/>
      <c r="P89" s="834"/>
      <c r="Q89" s="834"/>
      <c r="R89" s="834"/>
      <c r="S89" s="834"/>
      <c r="T89" s="834"/>
      <c r="U89" s="834"/>
      <c r="V89" s="834"/>
      <c r="W89" s="834"/>
      <c r="X89" s="834"/>
      <c r="Y89" s="834"/>
      <c r="Z89" s="834"/>
      <c r="AA89" s="835"/>
      <c r="AB89" s="834"/>
      <c r="AC89" s="834"/>
      <c r="AD89" s="834"/>
      <c r="AE89" s="834"/>
      <c r="AF89" s="834"/>
      <c r="AG89" s="834"/>
      <c r="AH89" s="834"/>
      <c r="AI89" s="834"/>
      <c r="AJ89" s="834"/>
      <c r="AK89" s="835"/>
      <c r="AL89" s="15"/>
      <c r="AM89" s="15"/>
      <c r="AN89" s="15"/>
      <c r="AO89" s="15"/>
      <c r="AP89" s="15"/>
      <c r="AQ89" s="15"/>
      <c r="AR89" s="15"/>
      <c r="AS89" s="15"/>
      <c r="AT89" s="15"/>
      <c r="AU89" s="15"/>
      <c r="AV89" s="15"/>
      <c r="AW89" s="15"/>
    </row>
    <row r="90" spans="1:49" s="404" customFormat="1" ht="13.5" customHeight="1" x14ac:dyDescent="0.15">
      <c r="A90" s="725"/>
      <c r="B90" s="670"/>
      <c r="C90" s="669"/>
      <c r="D90" s="670"/>
      <c r="E90" s="839" t="s">
        <v>190</v>
      </c>
      <c r="F90" s="669"/>
      <c r="G90" s="669"/>
      <c r="H90" s="670"/>
      <c r="I90" s="671"/>
      <c r="J90" s="672"/>
      <c r="K90" s="672"/>
      <c r="L90" s="672"/>
      <c r="M90" s="672"/>
      <c r="N90" s="672"/>
      <c r="O90" s="673"/>
      <c r="P90" s="836"/>
      <c r="Q90" s="836"/>
      <c r="R90" s="836"/>
      <c r="S90" s="836"/>
      <c r="T90" s="836"/>
      <c r="U90" s="836"/>
      <c r="V90" s="836"/>
      <c r="W90" s="836"/>
      <c r="X90" s="836"/>
      <c r="Y90" s="836"/>
      <c r="Z90" s="836"/>
      <c r="AA90" s="837"/>
      <c r="AB90" s="836"/>
      <c r="AC90" s="836"/>
      <c r="AD90" s="836"/>
      <c r="AE90" s="836"/>
      <c r="AF90" s="836"/>
      <c r="AG90" s="836"/>
      <c r="AH90" s="836"/>
      <c r="AI90" s="836"/>
      <c r="AJ90" s="836"/>
      <c r="AK90" s="837"/>
      <c r="AL90" s="15"/>
      <c r="AM90" s="15"/>
      <c r="AN90" s="15"/>
      <c r="AO90" s="15"/>
      <c r="AP90" s="15"/>
      <c r="AQ90" s="15"/>
      <c r="AR90" s="15"/>
      <c r="AS90" s="15"/>
      <c r="AT90" s="15"/>
      <c r="AU90" s="15"/>
      <c r="AV90" s="15"/>
      <c r="AW90" s="15"/>
    </row>
    <row r="91" spans="1:49" s="404" customFormat="1" ht="13.5" customHeight="1" x14ac:dyDescent="0.15">
      <c r="A91" s="725"/>
      <c r="B91" s="838" t="s">
        <v>191</v>
      </c>
      <c r="C91" s="839" t="s">
        <v>192</v>
      </c>
      <c r="D91" s="669"/>
      <c r="E91" s="669"/>
      <c r="F91" s="669"/>
      <c r="G91" s="669"/>
      <c r="H91" s="670"/>
      <c r="I91" s="671"/>
      <c r="J91" s="672"/>
      <c r="K91" s="672"/>
      <c r="L91" s="672"/>
      <c r="M91" s="672"/>
      <c r="N91" s="672"/>
      <c r="O91" s="673"/>
      <c r="P91" s="798"/>
      <c r="Q91" s="834"/>
      <c r="R91" s="834"/>
      <c r="S91" s="834"/>
      <c r="T91" s="834"/>
      <c r="U91" s="834"/>
      <c r="V91" s="834"/>
      <c r="W91" s="834"/>
      <c r="X91" s="834"/>
      <c r="Y91" s="834"/>
      <c r="Z91" s="834"/>
      <c r="AA91" s="835"/>
      <c r="AB91" s="798"/>
      <c r="AC91" s="834"/>
      <c r="AD91" s="834"/>
      <c r="AE91" s="834"/>
      <c r="AF91" s="834"/>
      <c r="AG91" s="834"/>
      <c r="AH91" s="834"/>
      <c r="AI91" s="834"/>
      <c r="AJ91" s="834"/>
      <c r="AK91" s="835"/>
      <c r="AL91" s="15"/>
      <c r="AM91" s="15"/>
      <c r="AN91" s="15"/>
      <c r="AO91" s="15"/>
      <c r="AP91" s="15"/>
      <c r="AQ91" s="15"/>
      <c r="AR91" s="15"/>
      <c r="AS91" s="15"/>
      <c r="AT91" s="15"/>
      <c r="AU91" s="15"/>
      <c r="AV91" s="15"/>
      <c r="AW91" s="15"/>
    </row>
    <row r="92" spans="1:49" s="404" customFormat="1" ht="13.5" customHeight="1" x14ac:dyDescent="0.15">
      <c r="A92" s="725"/>
      <c r="B92" s="680"/>
      <c r="C92" s="839" t="s">
        <v>182</v>
      </c>
      <c r="D92" s="669"/>
      <c r="E92" s="669"/>
      <c r="F92" s="669"/>
      <c r="G92" s="669"/>
      <c r="H92" s="670"/>
      <c r="I92" s="671"/>
      <c r="J92" s="672"/>
      <c r="K92" s="672"/>
      <c r="L92" s="672"/>
      <c r="M92" s="672"/>
      <c r="N92" s="672"/>
      <c r="O92" s="673"/>
      <c r="P92" s="834"/>
      <c r="Q92" s="834"/>
      <c r="R92" s="834"/>
      <c r="S92" s="834"/>
      <c r="T92" s="834"/>
      <c r="U92" s="834"/>
      <c r="V92" s="834"/>
      <c r="W92" s="834"/>
      <c r="X92" s="834"/>
      <c r="Y92" s="834"/>
      <c r="Z92" s="834"/>
      <c r="AA92" s="835"/>
      <c r="AB92" s="834"/>
      <c r="AC92" s="834"/>
      <c r="AD92" s="834"/>
      <c r="AE92" s="834"/>
      <c r="AF92" s="834"/>
      <c r="AG92" s="834"/>
      <c r="AH92" s="834"/>
      <c r="AI92" s="834"/>
      <c r="AJ92" s="834"/>
      <c r="AK92" s="835"/>
      <c r="AL92" s="15"/>
      <c r="AM92" s="15"/>
      <c r="AN92" s="15"/>
      <c r="AO92" s="15"/>
      <c r="AP92" s="15"/>
      <c r="AQ92" s="15"/>
      <c r="AR92" s="15"/>
      <c r="AS92" s="15"/>
      <c r="AT92" s="15"/>
      <c r="AU92" s="15"/>
      <c r="AV92" s="15"/>
      <c r="AW92" s="15"/>
    </row>
    <row r="93" spans="1:49" s="404" customFormat="1" ht="13.5" customHeight="1" x14ac:dyDescent="0.15">
      <c r="A93" s="725"/>
      <c r="B93" s="670"/>
      <c r="C93" s="839" t="s">
        <v>193</v>
      </c>
      <c r="D93" s="669"/>
      <c r="E93" s="669"/>
      <c r="F93" s="669"/>
      <c r="G93" s="669"/>
      <c r="H93" s="670"/>
      <c r="I93" s="671"/>
      <c r="J93" s="672"/>
      <c r="K93" s="672"/>
      <c r="L93" s="672"/>
      <c r="M93" s="672"/>
      <c r="N93" s="672"/>
      <c r="O93" s="673"/>
      <c r="P93" s="834"/>
      <c r="Q93" s="834"/>
      <c r="R93" s="834"/>
      <c r="S93" s="834"/>
      <c r="T93" s="834"/>
      <c r="U93" s="834"/>
      <c r="V93" s="834"/>
      <c r="W93" s="834"/>
      <c r="X93" s="834"/>
      <c r="Y93" s="834"/>
      <c r="Z93" s="834"/>
      <c r="AA93" s="835"/>
      <c r="AB93" s="834"/>
      <c r="AC93" s="834"/>
      <c r="AD93" s="834"/>
      <c r="AE93" s="834"/>
      <c r="AF93" s="834"/>
      <c r="AG93" s="834"/>
      <c r="AH93" s="834"/>
      <c r="AI93" s="834"/>
      <c r="AJ93" s="834"/>
      <c r="AK93" s="835"/>
      <c r="AL93" s="15"/>
      <c r="AM93" s="15"/>
      <c r="AN93" s="15"/>
      <c r="AO93" s="15"/>
      <c r="AP93" s="15"/>
      <c r="AQ93" s="15"/>
      <c r="AR93" s="15"/>
      <c r="AS93" s="15"/>
      <c r="AT93" s="15"/>
      <c r="AU93" s="15"/>
      <c r="AV93" s="15"/>
      <c r="AW93" s="15"/>
    </row>
    <row r="94" spans="1:49" s="404" customFormat="1" ht="13.5" customHeight="1" x14ac:dyDescent="0.15">
      <c r="A94" s="725"/>
      <c r="B94" s="848" t="s">
        <v>194</v>
      </c>
      <c r="C94" s="839" t="s">
        <v>195</v>
      </c>
      <c r="D94" s="669"/>
      <c r="E94" s="669"/>
      <c r="F94" s="669"/>
      <c r="G94" s="669"/>
      <c r="H94" s="670"/>
      <c r="I94" s="671"/>
      <c r="J94" s="672"/>
      <c r="K94" s="672"/>
      <c r="L94" s="672"/>
      <c r="M94" s="672"/>
      <c r="N94" s="672"/>
      <c r="O94" s="673"/>
      <c r="P94" s="834"/>
      <c r="Q94" s="834"/>
      <c r="R94" s="834"/>
      <c r="S94" s="834"/>
      <c r="T94" s="834"/>
      <c r="U94" s="834"/>
      <c r="V94" s="834"/>
      <c r="W94" s="834"/>
      <c r="X94" s="834"/>
      <c r="Y94" s="834"/>
      <c r="Z94" s="834"/>
      <c r="AA94" s="835"/>
      <c r="AB94" s="834"/>
      <c r="AC94" s="834"/>
      <c r="AD94" s="834"/>
      <c r="AE94" s="834"/>
      <c r="AF94" s="834"/>
      <c r="AG94" s="834"/>
      <c r="AH94" s="834"/>
      <c r="AI94" s="834"/>
      <c r="AJ94" s="834"/>
      <c r="AK94" s="835"/>
      <c r="AL94" s="15"/>
      <c r="AM94" s="15"/>
      <c r="AN94" s="15"/>
      <c r="AO94" s="15"/>
      <c r="AP94" s="15"/>
      <c r="AQ94" s="15"/>
      <c r="AR94" s="15"/>
      <c r="AS94" s="15"/>
      <c r="AT94" s="15"/>
      <c r="AU94" s="15"/>
      <c r="AV94" s="15"/>
      <c r="AW94" s="15"/>
    </row>
    <row r="95" spans="1:49" s="404" customFormat="1" ht="13.5" customHeight="1" x14ac:dyDescent="0.15">
      <c r="A95" s="725"/>
      <c r="B95" s="670"/>
      <c r="C95" s="839" t="s">
        <v>196</v>
      </c>
      <c r="D95" s="669"/>
      <c r="E95" s="669"/>
      <c r="F95" s="669"/>
      <c r="G95" s="669"/>
      <c r="H95" s="670"/>
      <c r="I95" s="671"/>
      <c r="J95" s="672"/>
      <c r="K95" s="672"/>
      <c r="L95" s="672"/>
      <c r="M95" s="672"/>
      <c r="N95" s="672"/>
      <c r="O95" s="673"/>
      <c r="P95" s="836"/>
      <c r="Q95" s="836"/>
      <c r="R95" s="836"/>
      <c r="S95" s="836"/>
      <c r="T95" s="836"/>
      <c r="U95" s="836"/>
      <c r="V95" s="836"/>
      <c r="W95" s="836"/>
      <c r="X95" s="836"/>
      <c r="Y95" s="836"/>
      <c r="Z95" s="836"/>
      <c r="AA95" s="837"/>
      <c r="AB95" s="836"/>
      <c r="AC95" s="836"/>
      <c r="AD95" s="836"/>
      <c r="AE95" s="836"/>
      <c r="AF95" s="836"/>
      <c r="AG95" s="836"/>
      <c r="AH95" s="836"/>
      <c r="AI95" s="836"/>
      <c r="AJ95" s="836"/>
      <c r="AK95" s="837"/>
      <c r="AL95" s="15"/>
      <c r="AM95" s="15"/>
      <c r="AN95" s="15"/>
      <c r="AO95" s="15"/>
      <c r="AP95" s="15"/>
      <c r="AQ95" s="15"/>
      <c r="AR95" s="15"/>
      <c r="AS95" s="15"/>
      <c r="AT95" s="15"/>
      <c r="AU95" s="15"/>
      <c r="AV95" s="15"/>
      <c r="AW95" s="15"/>
    </row>
    <row r="96" spans="1:49" s="404" customFormat="1" ht="13.5" customHeight="1" x14ac:dyDescent="0.15">
      <c r="A96" s="725"/>
      <c r="B96" s="838" t="s">
        <v>197</v>
      </c>
      <c r="C96" s="839" t="s">
        <v>198</v>
      </c>
      <c r="D96" s="669"/>
      <c r="E96" s="669"/>
      <c r="F96" s="669"/>
      <c r="G96" s="669"/>
      <c r="H96" s="670"/>
      <c r="I96" s="671"/>
      <c r="J96" s="672"/>
      <c r="K96" s="672"/>
      <c r="L96" s="672"/>
      <c r="M96" s="672"/>
      <c r="N96" s="672"/>
      <c r="O96" s="673"/>
      <c r="P96" s="798"/>
      <c r="Q96" s="834"/>
      <c r="R96" s="834"/>
      <c r="S96" s="834"/>
      <c r="T96" s="834"/>
      <c r="U96" s="834"/>
      <c r="V96" s="834"/>
      <c r="W96" s="834"/>
      <c r="X96" s="834"/>
      <c r="Y96" s="834"/>
      <c r="Z96" s="834"/>
      <c r="AA96" s="835"/>
      <c r="AB96" s="798"/>
      <c r="AC96" s="834"/>
      <c r="AD96" s="834"/>
      <c r="AE96" s="834"/>
      <c r="AF96" s="834"/>
      <c r="AG96" s="834"/>
      <c r="AH96" s="834"/>
      <c r="AI96" s="834"/>
      <c r="AJ96" s="834"/>
      <c r="AK96" s="835"/>
      <c r="AL96" s="15"/>
      <c r="AM96" s="15"/>
      <c r="AN96" s="15"/>
      <c r="AO96" s="15"/>
      <c r="AP96" s="15"/>
      <c r="AQ96" s="15"/>
      <c r="AR96" s="15"/>
      <c r="AS96" s="15"/>
      <c r="AT96" s="15"/>
      <c r="AU96" s="15"/>
      <c r="AV96" s="15"/>
      <c r="AW96" s="15"/>
    </row>
    <row r="97" spans="1:49" s="404" customFormat="1" ht="13.5" customHeight="1" x14ac:dyDescent="0.15">
      <c r="A97" s="725"/>
      <c r="B97" s="680"/>
      <c r="C97" s="849" t="s">
        <v>199</v>
      </c>
      <c r="D97" s="680"/>
      <c r="E97" s="738" t="s">
        <v>200</v>
      </c>
      <c r="F97" s="669"/>
      <c r="G97" s="669"/>
      <c r="H97" s="670"/>
      <c r="I97" s="671"/>
      <c r="J97" s="672"/>
      <c r="K97" s="672"/>
      <c r="L97" s="672"/>
      <c r="M97" s="672"/>
      <c r="N97" s="672"/>
      <c r="O97" s="673"/>
      <c r="P97" s="834"/>
      <c r="Q97" s="834"/>
      <c r="R97" s="834"/>
      <c r="S97" s="834"/>
      <c r="T97" s="834"/>
      <c r="U97" s="834"/>
      <c r="V97" s="834"/>
      <c r="W97" s="834"/>
      <c r="X97" s="834"/>
      <c r="Y97" s="834"/>
      <c r="Z97" s="834"/>
      <c r="AA97" s="835"/>
      <c r="AB97" s="834"/>
      <c r="AC97" s="834"/>
      <c r="AD97" s="834"/>
      <c r="AE97" s="834"/>
      <c r="AF97" s="834"/>
      <c r="AG97" s="834"/>
      <c r="AH97" s="834"/>
      <c r="AI97" s="834"/>
      <c r="AJ97" s="834"/>
      <c r="AK97" s="835"/>
      <c r="AL97" s="15"/>
      <c r="AM97" s="15"/>
      <c r="AN97" s="15"/>
      <c r="AO97" s="15"/>
      <c r="AP97" s="15"/>
      <c r="AQ97" s="15"/>
      <c r="AR97" s="15"/>
      <c r="AS97" s="15"/>
      <c r="AT97" s="15"/>
      <c r="AU97" s="15"/>
      <c r="AV97" s="15"/>
      <c r="AW97" s="15"/>
    </row>
    <row r="98" spans="1:49" s="404" customFormat="1" ht="13.5" customHeight="1" x14ac:dyDescent="0.15">
      <c r="A98" s="725"/>
      <c r="B98" s="680"/>
      <c r="C98" s="669"/>
      <c r="D98" s="670"/>
      <c r="E98" s="738" t="s">
        <v>201</v>
      </c>
      <c r="F98" s="669"/>
      <c r="G98" s="669"/>
      <c r="H98" s="670"/>
      <c r="I98" s="671"/>
      <c r="J98" s="672"/>
      <c r="K98" s="672"/>
      <c r="L98" s="672"/>
      <c r="M98" s="672"/>
      <c r="N98" s="672"/>
      <c r="O98" s="673"/>
      <c r="P98" s="834"/>
      <c r="Q98" s="834"/>
      <c r="R98" s="834"/>
      <c r="S98" s="834"/>
      <c r="T98" s="834"/>
      <c r="U98" s="834"/>
      <c r="V98" s="834"/>
      <c r="W98" s="834"/>
      <c r="X98" s="834"/>
      <c r="Y98" s="834"/>
      <c r="Z98" s="834"/>
      <c r="AA98" s="835"/>
      <c r="AB98" s="834"/>
      <c r="AC98" s="834"/>
      <c r="AD98" s="834"/>
      <c r="AE98" s="834"/>
      <c r="AF98" s="834"/>
      <c r="AG98" s="834"/>
      <c r="AH98" s="834"/>
      <c r="AI98" s="834"/>
      <c r="AJ98" s="834"/>
      <c r="AK98" s="835"/>
      <c r="AL98" s="15"/>
      <c r="AM98" s="15"/>
      <c r="AN98" s="15"/>
      <c r="AO98" s="15"/>
      <c r="AP98" s="15"/>
      <c r="AQ98" s="15"/>
      <c r="AR98" s="15"/>
      <c r="AS98" s="15"/>
      <c r="AT98" s="15"/>
      <c r="AU98" s="15"/>
      <c r="AV98" s="15"/>
      <c r="AW98" s="15"/>
    </row>
    <row r="99" spans="1:49" s="404" customFormat="1" ht="13.5" customHeight="1" x14ac:dyDescent="0.15">
      <c r="A99" s="725"/>
      <c r="B99" s="680"/>
      <c r="C99" s="849" t="s">
        <v>202</v>
      </c>
      <c r="D99" s="680"/>
      <c r="E99" s="738" t="s">
        <v>203</v>
      </c>
      <c r="F99" s="669"/>
      <c r="G99" s="669"/>
      <c r="H99" s="670"/>
      <c r="I99" s="671"/>
      <c r="J99" s="672"/>
      <c r="K99" s="672"/>
      <c r="L99" s="672"/>
      <c r="M99" s="672"/>
      <c r="N99" s="672"/>
      <c r="O99" s="673"/>
      <c r="P99" s="834"/>
      <c r="Q99" s="834"/>
      <c r="R99" s="834"/>
      <c r="S99" s="834"/>
      <c r="T99" s="834"/>
      <c r="U99" s="834"/>
      <c r="V99" s="834"/>
      <c r="W99" s="834"/>
      <c r="X99" s="834"/>
      <c r="Y99" s="834"/>
      <c r="Z99" s="834"/>
      <c r="AA99" s="835"/>
      <c r="AB99" s="834"/>
      <c r="AC99" s="834"/>
      <c r="AD99" s="834"/>
      <c r="AE99" s="834"/>
      <c r="AF99" s="834"/>
      <c r="AG99" s="834"/>
      <c r="AH99" s="834"/>
      <c r="AI99" s="834"/>
      <c r="AJ99" s="834"/>
      <c r="AK99" s="835"/>
      <c r="AL99" s="15"/>
      <c r="AM99" s="15"/>
      <c r="AN99" s="15"/>
      <c r="AO99" s="15"/>
      <c r="AP99" s="15"/>
      <c r="AQ99" s="15"/>
      <c r="AR99" s="15"/>
      <c r="AS99" s="15"/>
      <c r="AT99" s="15"/>
      <c r="AU99" s="15"/>
      <c r="AV99" s="15"/>
      <c r="AW99" s="15"/>
    </row>
    <row r="100" spans="1:49" s="404" customFormat="1" ht="13.5" customHeight="1" x14ac:dyDescent="0.15">
      <c r="A100" s="725"/>
      <c r="B100" s="680"/>
      <c r="C100" s="669"/>
      <c r="D100" s="670"/>
      <c r="E100" s="738" t="s">
        <v>201</v>
      </c>
      <c r="F100" s="669"/>
      <c r="G100" s="669"/>
      <c r="H100" s="670"/>
      <c r="I100" s="671"/>
      <c r="J100" s="672"/>
      <c r="K100" s="672"/>
      <c r="L100" s="672"/>
      <c r="M100" s="672"/>
      <c r="N100" s="672"/>
      <c r="O100" s="673"/>
      <c r="P100" s="834"/>
      <c r="Q100" s="834"/>
      <c r="R100" s="834"/>
      <c r="S100" s="834"/>
      <c r="T100" s="834"/>
      <c r="U100" s="834"/>
      <c r="V100" s="834"/>
      <c r="W100" s="834"/>
      <c r="X100" s="834"/>
      <c r="Y100" s="834"/>
      <c r="Z100" s="834"/>
      <c r="AA100" s="835"/>
      <c r="AB100" s="834"/>
      <c r="AC100" s="834"/>
      <c r="AD100" s="834"/>
      <c r="AE100" s="834"/>
      <c r="AF100" s="834"/>
      <c r="AG100" s="834"/>
      <c r="AH100" s="834"/>
      <c r="AI100" s="834"/>
      <c r="AJ100" s="834"/>
      <c r="AK100" s="835"/>
      <c r="AL100" s="15"/>
      <c r="AM100" s="15"/>
      <c r="AN100" s="15"/>
      <c r="AO100" s="15"/>
      <c r="AP100" s="15"/>
      <c r="AQ100" s="15"/>
      <c r="AR100" s="15"/>
      <c r="AS100" s="15"/>
      <c r="AT100" s="15"/>
      <c r="AU100" s="15"/>
      <c r="AV100" s="15"/>
      <c r="AW100" s="15"/>
    </row>
    <row r="101" spans="1:49" s="404" customFormat="1" ht="13.5" customHeight="1" x14ac:dyDescent="0.15">
      <c r="A101" s="725"/>
      <c r="B101" s="680"/>
      <c r="C101" s="849" t="s">
        <v>190</v>
      </c>
      <c r="D101" s="680"/>
      <c r="E101" s="738" t="s">
        <v>204</v>
      </c>
      <c r="F101" s="669"/>
      <c r="G101" s="669"/>
      <c r="H101" s="670"/>
      <c r="I101" s="671"/>
      <c r="J101" s="672"/>
      <c r="K101" s="672"/>
      <c r="L101" s="672"/>
      <c r="M101" s="672"/>
      <c r="N101" s="672"/>
      <c r="O101" s="673"/>
      <c r="P101" s="834"/>
      <c r="Q101" s="834"/>
      <c r="R101" s="834"/>
      <c r="S101" s="834"/>
      <c r="T101" s="834"/>
      <c r="U101" s="834"/>
      <c r="V101" s="834"/>
      <c r="W101" s="834"/>
      <c r="X101" s="834"/>
      <c r="Y101" s="834"/>
      <c r="Z101" s="834"/>
      <c r="AA101" s="835"/>
      <c r="AB101" s="834"/>
      <c r="AC101" s="834"/>
      <c r="AD101" s="834"/>
      <c r="AE101" s="834"/>
      <c r="AF101" s="834"/>
      <c r="AG101" s="834"/>
      <c r="AH101" s="834"/>
      <c r="AI101" s="834"/>
      <c r="AJ101" s="834"/>
      <c r="AK101" s="835"/>
      <c r="AL101" s="15"/>
      <c r="AM101" s="15"/>
      <c r="AN101" s="15"/>
      <c r="AO101" s="15"/>
      <c r="AP101" s="15"/>
      <c r="AQ101" s="15"/>
      <c r="AR101" s="15"/>
      <c r="AS101" s="15"/>
      <c r="AT101" s="15"/>
      <c r="AU101" s="15"/>
      <c r="AV101" s="15"/>
      <c r="AW101" s="15"/>
    </row>
    <row r="102" spans="1:49" s="404" customFormat="1" ht="13.5" customHeight="1" x14ac:dyDescent="0.15">
      <c r="A102" s="725"/>
      <c r="B102" s="680"/>
      <c r="C102" s="669"/>
      <c r="D102" s="670"/>
      <c r="E102" s="738" t="s">
        <v>205</v>
      </c>
      <c r="F102" s="669"/>
      <c r="G102" s="669"/>
      <c r="H102" s="670"/>
      <c r="I102" s="671"/>
      <c r="J102" s="672"/>
      <c r="K102" s="672"/>
      <c r="L102" s="672"/>
      <c r="M102" s="672"/>
      <c r="N102" s="672"/>
      <c r="O102" s="673"/>
      <c r="P102" s="834"/>
      <c r="Q102" s="834"/>
      <c r="R102" s="834"/>
      <c r="S102" s="834"/>
      <c r="T102" s="834"/>
      <c r="U102" s="834"/>
      <c r="V102" s="834"/>
      <c r="W102" s="834"/>
      <c r="X102" s="834"/>
      <c r="Y102" s="834"/>
      <c r="Z102" s="834"/>
      <c r="AA102" s="835"/>
      <c r="AB102" s="834"/>
      <c r="AC102" s="834"/>
      <c r="AD102" s="834"/>
      <c r="AE102" s="834"/>
      <c r="AF102" s="834"/>
      <c r="AG102" s="834"/>
      <c r="AH102" s="834"/>
      <c r="AI102" s="834"/>
      <c r="AJ102" s="834"/>
      <c r="AK102" s="835"/>
      <c r="AL102" s="15"/>
      <c r="AM102" s="15"/>
      <c r="AN102" s="15"/>
      <c r="AO102" s="15"/>
      <c r="AP102" s="15"/>
      <c r="AQ102" s="15"/>
      <c r="AR102" s="15"/>
      <c r="AS102" s="15"/>
      <c r="AT102" s="15"/>
      <c r="AU102" s="15"/>
      <c r="AV102" s="15"/>
      <c r="AW102" s="15"/>
    </row>
    <row r="103" spans="1:49" s="404" customFormat="1" ht="13.5" customHeight="1" x14ac:dyDescent="0.15">
      <c r="A103" s="792"/>
      <c r="B103" s="670"/>
      <c r="C103" s="738" t="s">
        <v>206</v>
      </c>
      <c r="D103" s="669"/>
      <c r="E103" s="669"/>
      <c r="F103" s="669"/>
      <c r="G103" s="669"/>
      <c r="H103" s="670"/>
      <c r="I103" s="840"/>
      <c r="J103" s="672"/>
      <c r="K103" s="672"/>
      <c r="L103" s="672"/>
      <c r="M103" s="672"/>
      <c r="N103" s="672"/>
      <c r="O103" s="673"/>
      <c r="P103" s="836"/>
      <c r="Q103" s="836"/>
      <c r="R103" s="836"/>
      <c r="S103" s="836"/>
      <c r="T103" s="836"/>
      <c r="U103" s="836"/>
      <c r="V103" s="836"/>
      <c r="W103" s="836"/>
      <c r="X103" s="836"/>
      <c r="Y103" s="836"/>
      <c r="Z103" s="836"/>
      <c r="AA103" s="837"/>
      <c r="AB103" s="836"/>
      <c r="AC103" s="836"/>
      <c r="AD103" s="836"/>
      <c r="AE103" s="836"/>
      <c r="AF103" s="836"/>
      <c r="AG103" s="836"/>
      <c r="AH103" s="836"/>
      <c r="AI103" s="836"/>
      <c r="AJ103" s="836"/>
      <c r="AK103" s="837"/>
      <c r="AL103" s="15"/>
      <c r="AM103" s="15"/>
      <c r="AN103" s="15"/>
      <c r="AO103" s="15"/>
      <c r="AP103" s="15"/>
      <c r="AQ103" s="15"/>
      <c r="AR103" s="15"/>
      <c r="AS103" s="15"/>
      <c r="AT103" s="15"/>
      <c r="AU103" s="15"/>
      <c r="AV103" s="15"/>
      <c r="AW103" s="15"/>
    </row>
    <row r="104" spans="1:49" s="404" customFormat="1" ht="13.5" customHeight="1" x14ac:dyDescent="0.15">
      <c r="A104" s="674" t="s">
        <v>207</v>
      </c>
      <c r="B104" s="738" t="s">
        <v>208</v>
      </c>
      <c r="C104" s="669"/>
      <c r="D104" s="669"/>
      <c r="E104" s="670"/>
      <c r="F104" s="671"/>
      <c r="G104" s="672"/>
      <c r="H104" s="673"/>
      <c r="I104" s="851" t="s">
        <v>209</v>
      </c>
      <c r="J104" s="852"/>
      <c r="K104" s="852"/>
      <c r="L104" s="853"/>
      <c r="M104" s="671"/>
      <c r="N104" s="672"/>
      <c r="O104" s="673"/>
      <c r="P104" s="798"/>
      <c r="Q104" s="834"/>
      <c r="R104" s="834"/>
      <c r="S104" s="834"/>
      <c r="T104" s="834"/>
      <c r="U104" s="834"/>
      <c r="V104" s="834"/>
      <c r="W104" s="834"/>
      <c r="X104" s="834"/>
      <c r="Y104" s="834"/>
      <c r="Z104" s="834"/>
      <c r="AA104" s="835"/>
      <c r="AB104" s="798"/>
      <c r="AC104" s="834"/>
      <c r="AD104" s="834"/>
      <c r="AE104" s="834"/>
      <c r="AF104" s="834"/>
      <c r="AG104" s="834"/>
      <c r="AH104" s="834"/>
      <c r="AI104" s="834"/>
      <c r="AJ104" s="834"/>
      <c r="AK104" s="835"/>
      <c r="AL104" s="15"/>
      <c r="AM104" s="15"/>
      <c r="AN104" s="15"/>
      <c r="AO104" s="15"/>
      <c r="AP104" s="15"/>
      <c r="AQ104" s="15"/>
      <c r="AR104" s="15"/>
      <c r="AS104" s="15"/>
      <c r="AT104" s="15"/>
      <c r="AU104" s="15"/>
      <c r="AV104" s="15"/>
      <c r="AW104" s="15"/>
    </row>
    <row r="105" spans="1:49" s="404" customFormat="1" ht="13.5" customHeight="1" x14ac:dyDescent="0.15">
      <c r="A105" s="725"/>
      <c r="B105" s="738" t="s">
        <v>210</v>
      </c>
      <c r="C105" s="669"/>
      <c r="D105" s="669"/>
      <c r="E105" s="670"/>
      <c r="F105" s="671"/>
      <c r="G105" s="672"/>
      <c r="H105" s="673"/>
      <c r="I105" s="738" t="s">
        <v>211</v>
      </c>
      <c r="J105" s="669"/>
      <c r="K105" s="669"/>
      <c r="L105" s="670"/>
      <c r="M105" s="671"/>
      <c r="N105" s="672"/>
      <c r="O105" s="673"/>
      <c r="P105" s="834"/>
      <c r="Q105" s="834"/>
      <c r="R105" s="834"/>
      <c r="S105" s="834"/>
      <c r="T105" s="834"/>
      <c r="U105" s="834"/>
      <c r="V105" s="834"/>
      <c r="W105" s="834"/>
      <c r="X105" s="834"/>
      <c r="Y105" s="834"/>
      <c r="Z105" s="834"/>
      <c r="AA105" s="835"/>
      <c r="AB105" s="834"/>
      <c r="AC105" s="834"/>
      <c r="AD105" s="834"/>
      <c r="AE105" s="834"/>
      <c r="AF105" s="834"/>
      <c r="AG105" s="834"/>
      <c r="AH105" s="834"/>
      <c r="AI105" s="834"/>
      <c r="AJ105" s="834"/>
      <c r="AK105" s="835"/>
      <c r="AL105" s="15"/>
      <c r="AM105" s="15"/>
      <c r="AN105" s="15"/>
      <c r="AO105" s="15"/>
      <c r="AP105" s="15"/>
      <c r="AQ105" s="15"/>
      <c r="AR105" s="15"/>
      <c r="AS105" s="15"/>
      <c r="AT105" s="15"/>
      <c r="AU105" s="15"/>
      <c r="AV105" s="15"/>
      <c r="AW105" s="15"/>
    </row>
    <row r="106" spans="1:49" s="404" customFormat="1" ht="13.5" customHeight="1" x14ac:dyDescent="0.15">
      <c r="A106" s="792"/>
      <c r="B106" s="738" t="s">
        <v>212</v>
      </c>
      <c r="C106" s="669"/>
      <c r="D106" s="669"/>
      <c r="E106" s="670"/>
      <c r="F106" s="671"/>
      <c r="G106" s="672"/>
      <c r="H106" s="673"/>
      <c r="I106" s="854"/>
      <c r="J106" s="703"/>
      <c r="K106" s="703"/>
      <c r="L106" s="703"/>
      <c r="M106" s="703"/>
      <c r="N106" s="703"/>
      <c r="O106" s="715"/>
      <c r="P106" s="836"/>
      <c r="Q106" s="836"/>
      <c r="R106" s="836"/>
      <c r="S106" s="836"/>
      <c r="T106" s="836"/>
      <c r="U106" s="836"/>
      <c r="V106" s="836"/>
      <c r="W106" s="836"/>
      <c r="X106" s="836"/>
      <c r="Y106" s="836"/>
      <c r="Z106" s="836"/>
      <c r="AA106" s="837"/>
      <c r="AB106" s="836"/>
      <c r="AC106" s="836"/>
      <c r="AD106" s="836"/>
      <c r="AE106" s="836"/>
      <c r="AF106" s="836"/>
      <c r="AG106" s="836"/>
      <c r="AH106" s="836"/>
      <c r="AI106" s="836"/>
      <c r="AJ106" s="836"/>
      <c r="AK106" s="837"/>
      <c r="AL106" s="15"/>
      <c r="AM106" s="15"/>
      <c r="AN106" s="15"/>
      <c r="AO106" s="15"/>
      <c r="AP106" s="15"/>
      <c r="AQ106" s="15"/>
      <c r="AR106" s="15"/>
      <c r="AS106" s="15"/>
      <c r="AT106" s="15"/>
      <c r="AU106" s="15"/>
      <c r="AV106" s="15"/>
      <c r="AW106" s="15"/>
    </row>
    <row r="107" spans="1:49" s="404" customFormat="1" ht="13.5" customHeight="1" x14ac:dyDescent="0.15">
      <c r="A107" s="724" t="s">
        <v>213</v>
      </c>
      <c r="B107" s="738" t="s">
        <v>214</v>
      </c>
      <c r="C107" s="669"/>
      <c r="D107" s="669"/>
      <c r="E107" s="669"/>
      <c r="F107" s="669"/>
      <c r="G107" s="669"/>
      <c r="H107" s="670"/>
      <c r="I107" s="671"/>
      <c r="J107" s="672"/>
      <c r="K107" s="672"/>
      <c r="L107" s="855"/>
      <c r="M107" s="856"/>
      <c r="N107" s="856"/>
      <c r="O107" s="857"/>
      <c r="P107" s="798"/>
      <c r="Q107" s="834"/>
      <c r="R107" s="834"/>
      <c r="S107" s="834"/>
      <c r="T107" s="834"/>
      <c r="U107" s="834"/>
      <c r="V107" s="834"/>
      <c r="W107" s="834"/>
      <c r="X107" s="834"/>
      <c r="Y107" s="834"/>
      <c r="Z107" s="834"/>
      <c r="AA107" s="835"/>
      <c r="AB107" s="798"/>
      <c r="AC107" s="834"/>
      <c r="AD107" s="834"/>
      <c r="AE107" s="834"/>
      <c r="AF107" s="834"/>
      <c r="AG107" s="834"/>
      <c r="AH107" s="834"/>
      <c r="AI107" s="834"/>
      <c r="AJ107" s="834"/>
      <c r="AK107" s="835"/>
      <c r="AL107" s="15"/>
      <c r="AM107" s="15"/>
      <c r="AN107" s="15"/>
      <c r="AO107" s="15"/>
      <c r="AP107" s="15"/>
      <c r="AQ107" s="15"/>
      <c r="AR107" s="15"/>
      <c r="AS107" s="15"/>
      <c r="AT107" s="15"/>
      <c r="AU107" s="15"/>
      <c r="AV107" s="15"/>
      <c r="AW107" s="15"/>
    </row>
    <row r="108" spans="1:49" s="404" customFormat="1" ht="13.5" customHeight="1" x14ac:dyDescent="0.15">
      <c r="A108" s="725"/>
      <c r="B108" s="679" t="s">
        <v>215</v>
      </c>
      <c r="C108" s="680"/>
      <c r="D108" s="798"/>
      <c r="E108" s="799"/>
      <c r="F108" s="799"/>
      <c r="G108" s="799"/>
      <c r="H108" s="799"/>
      <c r="I108" s="799"/>
      <c r="J108" s="799"/>
      <c r="K108" s="799"/>
      <c r="L108" s="799"/>
      <c r="M108" s="799"/>
      <c r="N108" s="799"/>
      <c r="O108" s="818"/>
      <c r="P108" s="834"/>
      <c r="Q108" s="834"/>
      <c r="R108" s="834"/>
      <c r="S108" s="834"/>
      <c r="T108" s="834"/>
      <c r="U108" s="834"/>
      <c r="V108" s="834"/>
      <c r="W108" s="834"/>
      <c r="X108" s="834"/>
      <c r="Y108" s="834"/>
      <c r="Z108" s="834"/>
      <c r="AA108" s="835"/>
      <c r="AB108" s="834"/>
      <c r="AC108" s="834"/>
      <c r="AD108" s="834"/>
      <c r="AE108" s="834"/>
      <c r="AF108" s="834"/>
      <c r="AG108" s="834"/>
      <c r="AH108" s="834"/>
      <c r="AI108" s="834"/>
      <c r="AJ108" s="834"/>
      <c r="AK108" s="835"/>
      <c r="AL108" s="15"/>
      <c r="AM108" s="15"/>
      <c r="AN108" s="15"/>
      <c r="AO108" s="15"/>
      <c r="AP108" s="15"/>
      <c r="AQ108" s="15"/>
      <c r="AR108" s="15"/>
      <c r="AS108" s="15"/>
      <c r="AT108" s="15"/>
      <c r="AU108" s="15"/>
      <c r="AV108" s="15"/>
      <c r="AW108" s="15"/>
    </row>
    <row r="109" spans="1:49" s="404" customFormat="1" ht="13.5" customHeight="1" x14ac:dyDescent="0.15">
      <c r="A109" s="725"/>
      <c r="B109" s="669"/>
      <c r="C109" s="670"/>
      <c r="D109" s="800"/>
      <c r="E109" s="800"/>
      <c r="F109" s="800"/>
      <c r="G109" s="800"/>
      <c r="H109" s="800"/>
      <c r="I109" s="800"/>
      <c r="J109" s="800"/>
      <c r="K109" s="800"/>
      <c r="L109" s="800"/>
      <c r="M109" s="800"/>
      <c r="N109" s="800"/>
      <c r="O109" s="820"/>
      <c r="P109" s="834"/>
      <c r="Q109" s="834"/>
      <c r="R109" s="834"/>
      <c r="S109" s="834"/>
      <c r="T109" s="834"/>
      <c r="U109" s="834"/>
      <c r="V109" s="834"/>
      <c r="W109" s="834"/>
      <c r="X109" s="834"/>
      <c r="Y109" s="834"/>
      <c r="Z109" s="834"/>
      <c r="AA109" s="835"/>
      <c r="AB109" s="834"/>
      <c r="AC109" s="834"/>
      <c r="AD109" s="834"/>
      <c r="AE109" s="834"/>
      <c r="AF109" s="834"/>
      <c r="AG109" s="834"/>
      <c r="AH109" s="834"/>
      <c r="AI109" s="834"/>
      <c r="AJ109" s="834"/>
      <c r="AK109" s="835"/>
      <c r="AL109" s="15"/>
      <c r="AM109" s="15"/>
      <c r="AN109" s="15"/>
      <c r="AO109" s="15"/>
      <c r="AP109" s="15"/>
      <c r="AQ109" s="15"/>
      <c r="AR109" s="15"/>
      <c r="AS109" s="15"/>
      <c r="AT109" s="15"/>
      <c r="AU109" s="15"/>
      <c r="AV109" s="15"/>
      <c r="AW109" s="15"/>
    </row>
    <row r="110" spans="1:49" s="404" customFormat="1" ht="13.5" customHeight="1" x14ac:dyDescent="0.15">
      <c r="A110" s="725"/>
      <c r="B110" s="738" t="s">
        <v>1256</v>
      </c>
      <c r="C110" s="669"/>
      <c r="D110" s="669"/>
      <c r="E110" s="669"/>
      <c r="F110" s="669"/>
      <c r="G110" s="669"/>
      <c r="H110" s="670"/>
      <c r="I110" s="671"/>
      <c r="J110" s="672"/>
      <c r="K110" s="672"/>
      <c r="L110" s="672"/>
      <c r="M110" s="672"/>
      <c r="N110" s="672"/>
      <c r="O110" s="673"/>
      <c r="P110" s="834"/>
      <c r="Q110" s="834"/>
      <c r="R110" s="834"/>
      <c r="S110" s="834"/>
      <c r="T110" s="834"/>
      <c r="U110" s="834"/>
      <c r="V110" s="834"/>
      <c r="W110" s="834"/>
      <c r="X110" s="834"/>
      <c r="Y110" s="834"/>
      <c r="Z110" s="834"/>
      <c r="AA110" s="835"/>
      <c r="AB110" s="834"/>
      <c r="AC110" s="834"/>
      <c r="AD110" s="834"/>
      <c r="AE110" s="834"/>
      <c r="AF110" s="834"/>
      <c r="AG110" s="834"/>
      <c r="AH110" s="834"/>
      <c r="AI110" s="834"/>
      <c r="AJ110" s="834"/>
      <c r="AK110" s="835"/>
      <c r="AL110" s="15"/>
      <c r="AM110" s="15"/>
      <c r="AN110" s="15"/>
      <c r="AO110" s="15"/>
      <c r="AP110" s="15"/>
      <c r="AQ110" s="15"/>
      <c r="AR110" s="15"/>
      <c r="AS110" s="15"/>
      <c r="AT110" s="15"/>
      <c r="AU110" s="15"/>
      <c r="AV110" s="15"/>
      <c r="AW110" s="15"/>
    </row>
    <row r="111" spans="1:49" s="404" customFormat="1" ht="13.5" customHeight="1" x14ac:dyDescent="0.15">
      <c r="A111" s="792"/>
      <c r="B111" s="738" t="s">
        <v>1257</v>
      </c>
      <c r="C111" s="669"/>
      <c r="D111" s="669"/>
      <c r="E111" s="669"/>
      <c r="F111" s="669"/>
      <c r="G111" s="669"/>
      <c r="H111" s="670"/>
      <c r="I111" s="671" t="str">
        <f t="array" ref="I111">IFERROR(
    INDEX([1]データ集約!A:ZZ, MATCH(D5, [1]データ集約!C:C, 0), MATCH("意思疎通", [1]データ集約!1:1, 0)),
    ""
)</f>
        <v/>
      </c>
      <c r="J111" s="672"/>
      <c r="K111" s="672"/>
      <c r="L111" s="672"/>
      <c r="M111" s="672"/>
      <c r="N111" s="672"/>
      <c r="O111" s="673"/>
      <c r="P111" s="836"/>
      <c r="Q111" s="836"/>
      <c r="R111" s="836"/>
      <c r="S111" s="836"/>
      <c r="T111" s="836"/>
      <c r="U111" s="836"/>
      <c r="V111" s="836"/>
      <c r="W111" s="836"/>
      <c r="X111" s="836"/>
      <c r="Y111" s="836"/>
      <c r="Z111" s="836"/>
      <c r="AA111" s="837"/>
      <c r="AB111" s="836"/>
      <c r="AC111" s="836"/>
      <c r="AD111" s="836"/>
      <c r="AE111" s="836"/>
      <c r="AF111" s="836"/>
      <c r="AG111" s="836"/>
      <c r="AH111" s="836"/>
      <c r="AI111" s="836"/>
      <c r="AJ111" s="836"/>
      <c r="AK111" s="837"/>
      <c r="AL111" s="15"/>
      <c r="AM111" s="15"/>
      <c r="AN111" s="15"/>
      <c r="AO111" s="15"/>
      <c r="AP111" s="15"/>
      <c r="AQ111" s="15"/>
      <c r="AR111" s="15"/>
      <c r="AS111" s="15"/>
      <c r="AT111" s="15"/>
      <c r="AU111" s="15"/>
      <c r="AV111" s="15"/>
      <c r="AW111" s="15"/>
    </row>
  </sheetData>
  <mergeCells count="314">
    <mergeCell ref="A107:A111"/>
    <mergeCell ref="B107:H107"/>
    <mergeCell ref="I107:K107"/>
    <mergeCell ref="L107:O107"/>
    <mergeCell ref="P107:AA111"/>
    <mergeCell ref="AB107:AK111"/>
    <mergeCell ref="B108:C109"/>
    <mergeCell ref="D108:O109"/>
    <mergeCell ref="B110:H110"/>
    <mergeCell ref="I110:O110"/>
    <mergeCell ref="B111:H111"/>
    <mergeCell ref="I111:O111"/>
    <mergeCell ref="A104:A106"/>
    <mergeCell ref="B104:E104"/>
    <mergeCell ref="F104:H104"/>
    <mergeCell ref="I104:L104"/>
    <mergeCell ref="M104:O104"/>
    <mergeCell ref="P104:AA106"/>
    <mergeCell ref="AB104:AK106"/>
    <mergeCell ref="B105:E105"/>
    <mergeCell ref="F105:H105"/>
    <mergeCell ref="I105:L105"/>
    <mergeCell ref="M105:O105"/>
    <mergeCell ref="B106:E106"/>
    <mergeCell ref="F106:H106"/>
    <mergeCell ref="I106:O106"/>
    <mergeCell ref="B96:B103"/>
    <mergeCell ref="C96:H96"/>
    <mergeCell ref="I96:O96"/>
    <mergeCell ref="P96:AA103"/>
    <mergeCell ref="AB96:AK103"/>
    <mergeCell ref="C97:D98"/>
    <mergeCell ref="E97:H97"/>
    <mergeCell ref="I97:O97"/>
    <mergeCell ref="E98:H98"/>
    <mergeCell ref="I98:O98"/>
    <mergeCell ref="C99:D100"/>
    <mergeCell ref="E99:H99"/>
    <mergeCell ref="I99:O99"/>
    <mergeCell ref="E100:H100"/>
    <mergeCell ref="I100:O100"/>
    <mergeCell ref="C101:D102"/>
    <mergeCell ref="E101:H101"/>
    <mergeCell ref="I101:O101"/>
    <mergeCell ref="E102:H102"/>
    <mergeCell ref="I102:O102"/>
    <mergeCell ref="C103:H103"/>
    <mergeCell ref="I103:O103"/>
    <mergeCell ref="B91:B93"/>
    <mergeCell ref="C91:H91"/>
    <mergeCell ref="I91:O91"/>
    <mergeCell ref="P91:AA95"/>
    <mergeCell ref="AB91:AK95"/>
    <mergeCell ref="C92:H92"/>
    <mergeCell ref="I92:O92"/>
    <mergeCell ref="C93:H93"/>
    <mergeCell ref="I93:O93"/>
    <mergeCell ref="B94:B95"/>
    <mergeCell ref="C94:H94"/>
    <mergeCell ref="I94:O94"/>
    <mergeCell ref="C95:H95"/>
    <mergeCell ref="I95:O95"/>
    <mergeCell ref="P87:AA90"/>
    <mergeCell ref="AB87:AK90"/>
    <mergeCell ref="C88:H88"/>
    <mergeCell ref="I88:O88"/>
    <mergeCell ref="C89:D90"/>
    <mergeCell ref="E89:H89"/>
    <mergeCell ref="I89:O89"/>
    <mergeCell ref="E90:H90"/>
    <mergeCell ref="I90:O90"/>
    <mergeCell ref="A79:A103"/>
    <mergeCell ref="B79:B86"/>
    <mergeCell ref="C79:H79"/>
    <mergeCell ref="I79:O79"/>
    <mergeCell ref="P79:AA86"/>
    <mergeCell ref="AB79:AK86"/>
    <mergeCell ref="C80:H80"/>
    <mergeCell ref="I80:O80"/>
    <mergeCell ref="C81:H81"/>
    <mergeCell ref="I81:O81"/>
    <mergeCell ref="C82:D84"/>
    <mergeCell ref="E82:H82"/>
    <mergeCell ref="I82:O82"/>
    <mergeCell ref="E83:H83"/>
    <mergeCell ref="I83:O83"/>
    <mergeCell ref="E84:H84"/>
    <mergeCell ref="I84:O84"/>
    <mergeCell ref="C85:H85"/>
    <mergeCell ref="I85:O85"/>
    <mergeCell ref="C86:H86"/>
    <mergeCell ref="I86:O86"/>
    <mergeCell ref="B87:B90"/>
    <mergeCell ref="C87:H87"/>
    <mergeCell ref="I87:O87"/>
    <mergeCell ref="AB69:AK78"/>
    <mergeCell ref="B70:H70"/>
    <mergeCell ref="I70:O70"/>
    <mergeCell ref="B71:H71"/>
    <mergeCell ref="I71:O71"/>
    <mergeCell ref="B72:H72"/>
    <mergeCell ref="I72:O72"/>
    <mergeCell ref="B73:H73"/>
    <mergeCell ref="I73:O73"/>
    <mergeCell ref="B74:H74"/>
    <mergeCell ref="I74:O74"/>
    <mergeCell ref="B75:H75"/>
    <mergeCell ref="I75:O75"/>
    <mergeCell ref="B76:H76"/>
    <mergeCell ref="I76:O76"/>
    <mergeCell ref="B77:H77"/>
    <mergeCell ref="I77:O77"/>
    <mergeCell ref="B78:H78"/>
    <mergeCell ref="I78:O78"/>
    <mergeCell ref="I68:O68"/>
    <mergeCell ref="A69:A78"/>
    <mergeCell ref="B69:H69"/>
    <mergeCell ref="I69:O69"/>
    <mergeCell ref="P69:AA78"/>
    <mergeCell ref="A58:A68"/>
    <mergeCell ref="B58:H58"/>
    <mergeCell ref="I58:O58"/>
    <mergeCell ref="P58:AA68"/>
    <mergeCell ref="AB58:AK68"/>
    <mergeCell ref="B59:H59"/>
    <mergeCell ref="I59:O59"/>
    <mergeCell ref="B60:H60"/>
    <mergeCell ref="I60:O60"/>
    <mergeCell ref="B61:H61"/>
    <mergeCell ref="I61:O61"/>
    <mergeCell ref="B62:H62"/>
    <mergeCell ref="I62:O62"/>
    <mergeCell ref="B63:H63"/>
    <mergeCell ref="I63:M63"/>
    <mergeCell ref="N63:O63"/>
    <mergeCell ref="B64:H64"/>
    <mergeCell ref="I64:M64"/>
    <mergeCell ref="N64:O64"/>
    <mergeCell ref="B65:B66"/>
    <mergeCell ref="C65:H65"/>
    <mergeCell ref="I65:O65"/>
    <mergeCell ref="C66:H66"/>
    <mergeCell ref="I66:O66"/>
    <mergeCell ref="B67:B68"/>
    <mergeCell ref="C67:H67"/>
    <mergeCell ref="I67:O67"/>
    <mergeCell ref="C68:H68"/>
    <mergeCell ref="A45:R45"/>
    <mergeCell ref="S45:AK45"/>
    <mergeCell ref="A46:R47"/>
    <mergeCell ref="S46:AK47"/>
    <mergeCell ref="A48:AK48"/>
    <mergeCell ref="A49:AK52"/>
    <mergeCell ref="A53:AK53"/>
    <mergeCell ref="A54:AK56"/>
    <mergeCell ref="A57:AA57"/>
    <mergeCell ref="AB57:AK57"/>
    <mergeCell ref="A40:A44"/>
    <mergeCell ref="B40:E42"/>
    <mergeCell ref="F40:Q42"/>
    <mergeCell ref="R40:U41"/>
    <mergeCell ref="V40:AK41"/>
    <mergeCell ref="R42:U42"/>
    <mergeCell ref="V42:AK42"/>
    <mergeCell ref="B43:E44"/>
    <mergeCell ref="F43:Q44"/>
    <mergeCell ref="R43:U44"/>
    <mergeCell ref="V43:AK44"/>
    <mergeCell ref="AJ30:AK31"/>
    <mergeCell ref="B31:M32"/>
    <mergeCell ref="N31:Q32"/>
    <mergeCell ref="R32:U33"/>
    <mergeCell ref="V32:AC33"/>
    <mergeCell ref="AD32:AI33"/>
    <mergeCell ref="AJ32:AK33"/>
    <mergeCell ref="B33:M34"/>
    <mergeCell ref="N33:Q34"/>
    <mergeCell ref="R34:U35"/>
    <mergeCell ref="V34:AC34"/>
    <mergeCell ref="AD34:AK34"/>
    <mergeCell ref="B35:M36"/>
    <mergeCell ref="N35:Q36"/>
    <mergeCell ref="V35:AC35"/>
    <mergeCell ref="AD35:AK35"/>
    <mergeCell ref="R36:U37"/>
    <mergeCell ref="V36:AK37"/>
    <mergeCell ref="B37:E39"/>
    <mergeCell ref="F37:H39"/>
    <mergeCell ref="I37:Q39"/>
    <mergeCell ref="R38:U39"/>
    <mergeCell ref="V38:AK39"/>
    <mergeCell ref="Z22:AE22"/>
    <mergeCell ref="AF22:AK22"/>
    <mergeCell ref="B23:E23"/>
    <mergeCell ref="F23:M23"/>
    <mergeCell ref="N23:Q23"/>
    <mergeCell ref="R23:Y23"/>
    <mergeCell ref="Z23:AD23"/>
    <mergeCell ref="AE23:AK23"/>
    <mergeCell ref="A24:A39"/>
    <mergeCell ref="B24:M24"/>
    <mergeCell ref="N24:Q24"/>
    <mergeCell ref="R24:AK24"/>
    <mergeCell ref="B25:M26"/>
    <mergeCell ref="N25:Q26"/>
    <mergeCell ref="R25:AK27"/>
    <mergeCell ref="B27:M28"/>
    <mergeCell ref="N27:Q28"/>
    <mergeCell ref="R28:U29"/>
    <mergeCell ref="V28:AK29"/>
    <mergeCell ref="B29:M30"/>
    <mergeCell ref="N29:Q30"/>
    <mergeCell ref="R30:U31"/>
    <mergeCell ref="V30:AC31"/>
    <mergeCell ref="AD30:AI31"/>
    <mergeCell ref="I18:K19"/>
    <mergeCell ref="L18:R19"/>
    <mergeCell ref="S18:W19"/>
    <mergeCell ref="X18:Z19"/>
    <mergeCell ref="AA18:AC19"/>
    <mergeCell ref="AD18:AE19"/>
    <mergeCell ref="AF18:AK19"/>
    <mergeCell ref="A20:A23"/>
    <mergeCell ref="B20:E20"/>
    <mergeCell ref="F20:M20"/>
    <mergeCell ref="N20:Q20"/>
    <mergeCell ref="R20:Y20"/>
    <mergeCell ref="Z20:AC20"/>
    <mergeCell ref="AD20:AK20"/>
    <mergeCell ref="B21:E21"/>
    <mergeCell ref="F21:M21"/>
    <mergeCell ref="N21:Q21"/>
    <mergeCell ref="R21:Y21"/>
    <mergeCell ref="Z21:AC21"/>
    <mergeCell ref="AD21:AK21"/>
    <mergeCell ref="B22:E22"/>
    <mergeCell ref="F22:M22"/>
    <mergeCell ref="N22:Q22"/>
    <mergeCell ref="R22:Y22"/>
    <mergeCell ref="Z13:AE14"/>
    <mergeCell ref="AF13:AK14"/>
    <mergeCell ref="A15:A19"/>
    <mergeCell ref="B15:H15"/>
    <mergeCell ref="I15:K15"/>
    <mergeCell ref="L15:R15"/>
    <mergeCell ref="S15:W15"/>
    <mergeCell ref="X15:Z15"/>
    <mergeCell ref="AA15:AC15"/>
    <mergeCell ref="AD15:AE15"/>
    <mergeCell ref="AF15:AK15"/>
    <mergeCell ref="B16:B17"/>
    <mergeCell ref="C16:G17"/>
    <mergeCell ref="H16:H17"/>
    <mergeCell ref="I16:K17"/>
    <mergeCell ref="L16:R17"/>
    <mergeCell ref="S16:W17"/>
    <mergeCell ref="X16:Z17"/>
    <mergeCell ref="AA16:AC17"/>
    <mergeCell ref="AD16:AE17"/>
    <mergeCell ref="AF16:AK17"/>
    <mergeCell ref="B18:B19"/>
    <mergeCell ref="C18:G19"/>
    <mergeCell ref="H18:H19"/>
    <mergeCell ref="A9:A14"/>
    <mergeCell ref="B9:D11"/>
    <mergeCell ref="E9:I9"/>
    <mergeCell ref="J9:P9"/>
    <mergeCell ref="Q9:U9"/>
    <mergeCell ref="V9:AH9"/>
    <mergeCell ref="AI9:AK9"/>
    <mergeCell ref="E10:I11"/>
    <mergeCell ref="J10:P11"/>
    <mergeCell ref="Q10:U11"/>
    <mergeCell ref="V10:AA11"/>
    <mergeCell ref="AB10:AB11"/>
    <mergeCell ref="AC10:AH11"/>
    <mergeCell ref="AI10:AK11"/>
    <mergeCell ref="B12:L12"/>
    <mergeCell ref="M12:Q12"/>
    <mergeCell ref="R12:U12"/>
    <mergeCell ref="V12:Y12"/>
    <mergeCell ref="Z12:AE12"/>
    <mergeCell ref="AF12:AK12"/>
    <mergeCell ref="B13:L14"/>
    <mergeCell ref="M13:Q14"/>
    <mergeCell ref="R13:U14"/>
    <mergeCell ref="V13:Y14"/>
    <mergeCell ref="A4:A8"/>
    <mergeCell ref="B4:C4"/>
    <mergeCell ref="D4:Q4"/>
    <mergeCell ref="R4:W4"/>
    <mergeCell ref="X4:AC4"/>
    <mergeCell ref="AD4:AK4"/>
    <mergeCell ref="B5:C6"/>
    <mergeCell ref="D5:O6"/>
    <mergeCell ref="P5:Q6"/>
    <mergeCell ref="R5:W6"/>
    <mergeCell ref="X5:AC6"/>
    <mergeCell ref="AD5:AI6"/>
    <mergeCell ref="AJ5:AK6"/>
    <mergeCell ref="B7:C8"/>
    <mergeCell ref="D7:Z8"/>
    <mergeCell ref="AA7:AC8"/>
    <mergeCell ref="AD7:AK8"/>
    <mergeCell ref="A1:Y2"/>
    <mergeCell ref="AA1:AE1"/>
    <mergeCell ref="AF1:AK1"/>
    <mergeCell ref="Z2:AK2"/>
    <mergeCell ref="A3:F3"/>
    <mergeCell ref="G3:Q3"/>
    <mergeCell ref="R3:U3"/>
    <mergeCell ref="V3:AC3"/>
    <mergeCell ref="AD3:AF3"/>
    <mergeCell ref="AG3:AK3"/>
  </mergeCells>
  <phoneticPr fontId="1"/>
  <printOptions horizontalCentered="1" verticalCentered="1"/>
  <pageMargins left="0.59055118110236227" right="0.59055118110236227" top="0.27559055118110237" bottom="0.27559055118110237" header="0" footer="0"/>
  <pageSetup paperSize="9" fitToWidth="0" fitToHeight="0" orientation="portrait" r:id="rId1"/>
  <rowBreaks count="1" manualBreakCount="1">
    <brk id="56"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09622-D742-4A54-ABDE-23703AC2BD6C}">
  <sheetPr codeName="Sheet21">
    <tabColor theme="9" tint="0.59999389629810485"/>
  </sheetPr>
  <dimension ref="A1:AO47"/>
  <sheetViews>
    <sheetView showGridLines="0" zoomScaleNormal="100" workbookViewId="0">
      <selection activeCell="AU12" sqref="AU12"/>
    </sheetView>
  </sheetViews>
  <sheetFormatPr defaultRowHeight="18.75" x14ac:dyDescent="0.4"/>
  <cols>
    <col min="1" max="9" width="3.375" customWidth="1"/>
    <col min="10" max="10" width="3.5" customWidth="1"/>
    <col min="11" max="11" width="3" customWidth="1"/>
    <col min="12" max="29" width="1.5" customWidth="1"/>
    <col min="30" max="30" width="1.75" customWidth="1"/>
    <col min="31" max="40" width="1.5" customWidth="1"/>
    <col min="41" max="41" width="0" hidden="1" customWidth="1"/>
  </cols>
  <sheetData>
    <row r="1" spans="1:41" ht="34.5" customHeight="1" thickBot="1" x14ac:dyDescent="0.45">
      <c r="A1" s="863" t="s">
        <v>943</v>
      </c>
      <c r="B1" s="864"/>
      <c r="C1" s="864"/>
      <c r="D1" s="864"/>
      <c r="E1" s="864"/>
      <c r="F1" s="864"/>
      <c r="G1" s="864"/>
      <c r="H1" s="864"/>
      <c r="I1" s="864"/>
      <c r="J1" s="864"/>
      <c r="K1" s="864"/>
      <c r="L1" s="864"/>
      <c r="M1" s="864"/>
      <c r="N1" s="864"/>
      <c r="O1" s="864"/>
      <c r="P1" s="864"/>
      <c r="Q1" s="864"/>
      <c r="R1" s="864"/>
      <c r="S1" s="864"/>
      <c r="T1" s="864"/>
      <c r="U1" s="864"/>
      <c r="V1" s="864"/>
      <c r="W1" s="864"/>
      <c r="X1" s="864"/>
      <c r="Y1" s="864"/>
      <c r="Z1" s="864"/>
      <c r="AA1" s="864"/>
      <c r="AB1" s="864"/>
      <c r="AC1" s="864"/>
      <c r="AD1" s="864"/>
      <c r="AE1" s="864"/>
      <c r="AF1" s="864"/>
      <c r="AG1" s="864"/>
      <c r="AH1" s="864"/>
      <c r="AI1" s="864"/>
      <c r="AJ1" s="864"/>
      <c r="AK1" s="864"/>
      <c r="AL1" s="864"/>
      <c r="AM1" s="864"/>
      <c r="AN1" s="864"/>
      <c r="AO1" s="864"/>
    </row>
    <row r="2" spans="1:41" ht="15" customHeight="1" x14ac:dyDescent="0.4">
      <c r="A2" s="865"/>
      <c r="B2" s="865"/>
      <c r="C2" s="865"/>
      <c r="D2" s="865"/>
      <c r="E2" s="865"/>
      <c r="F2" s="865"/>
      <c r="G2" s="865"/>
      <c r="H2" s="865"/>
      <c r="I2" s="865"/>
      <c r="J2" s="865"/>
      <c r="K2" s="865"/>
      <c r="L2" s="865"/>
      <c r="M2" s="865"/>
      <c r="N2" s="865"/>
      <c r="O2" s="865"/>
      <c r="P2" s="865"/>
      <c r="Q2" s="865"/>
      <c r="R2" s="865"/>
      <c r="S2" s="865"/>
      <c r="T2" s="865"/>
      <c r="U2" s="865"/>
      <c r="V2" s="865"/>
      <c r="W2" s="865"/>
      <c r="X2" s="865"/>
      <c r="Y2" s="865"/>
      <c r="Z2" s="865"/>
      <c r="AA2" s="865"/>
      <c r="AB2" s="865"/>
      <c r="AC2" s="865"/>
      <c r="AD2" s="865"/>
      <c r="AE2" s="865"/>
      <c r="AF2" s="866" t="s">
        <v>944</v>
      </c>
      <c r="AG2" s="867"/>
      <c r="AH2" s="867"/>
      <c r="AI2" s="867"/>
      <c r="AJ2" s="867"/>
      <c r="AK2" s="867"/>
      <c r="AL2" s="867"/>
      <c r="AM2" s="867"/>
      <c r="AN2" s="868"/>
      <c r="AO2" s="305"/>
    </row>
    <row r="3" spans="1:41" ht="21.6" customHeight="1" thickBot="1" x14ac:dyDescent="0.45">
      <c r="A3" s="865"/>
      <c r="B3" s="865"/>
      <c r="C3" s="865"/>
      <c r="D3" s="865"/>
      <c r="E3" s="865"/>
      <c r="F3" s="865"/>
      <c r="G3" s="865"/>
      <c r="H3" s="865"/>
      <c r="I3" s="865"/>
      <c r="J3" s="865"/>
      <c r="K3" s="865"/>
      <c r="L3" s="865"/>
      <c r="M3" s="865"/>
      <c r="N3" s="865"/>
      <c r="O3" s="865"/>
      <c r="P3" s="865"/>
      <c r="Q3" s="865"/>
      <c r="R3" s="865"/>
      <c r="S3" s="865"/>
      <c r="T3" s="865"/>
      <c r="U3" s="865"/>
      <c r="V3" s="865"/>
      <c r="W3" s="865"/>
      <c r="X3" s="865"/>
      <c r="Y3" s="865"/>
      <c r="Z3" s="865"/>
      <c r="AA3" s="865"/>
      <c r="AB3" s="865"/>
      <c r="AC3" s="865"/>
      <c r="AD3" s="865"/>
      <c r="AE3" s="865"/>
      <c r="AF3" s="869" t="s">
        <v>1247</v>
      </c>
      <c r="AG3" s="870"/>
      <c r="AH3" s="870"/>
      <c r="AI3" s="870"/>
      <c r="AJ3" s="870"/>
      <c r="AK3" s="870"/>
      <c r="AL3" s="870"/>
      <c r="AM3" s="870"/>
      <c r="AN3" s="871"/>
      <c r="AO3" s="305"/>
    </row>
    <row r="4" spans="1:41" ht="16.5" customHeight="1" x14ac:dyDescent="0.4">
      <c r="A4" s="858" t="s">
        <v>946</v>
      </c>
      <c r="B4" s="859"/>
      <c r="C4" s="859"/>
      <c r="D4" s="859"/>
      <c r="E4" s="859"/>
      <c r="F4" s="859"/>
      <c r="G4" s="859"/>
      <c r="H4" s="859"/>
      <c r="I4" s="859"/>
      <c r="J4" s="859"/>
      <c r="K4" s="859"/>
      <c r="L4" s="860" t="s">
        <v>947</v>
      </c>
      <c r="M4" s="861"/>
      <c r="N4" s="861"/>
      <c r="O4" s="861"/>
      <c r="P4" s="861"/>
      <c r="Q4" s="861"/>
      <c r="R4" s="861"/>
      <c r="S4" s="861"/>
      <c r="T4" s="861"/>
      <c r="U4" s="861"/>
      <c r="V4" s="861"/>
      <c r="W4" s="861"/>
      <c r="X4" s="861"/>
      <c r="Y4" s="861"/>
      <c r="Z4" s="861"/>
      <c r="AA4" s="861"/>
      <c r="AB4" s="861"/>
      <c r="AC4" s="861"/>
      <c r="AD4" s="861"/>
      <c r="AE4" s="861"/>
      <c r="AF4" s="861"/>
      <c r="AG4" s="861"/>
      <c r="AH4" s="861"/>
      <c r="AI4" s="861"/>
      <c r="AJ4" s="861"/>
      <c r="AK4" s="861"/>
      <c r="AL4" s="861"/>
      <c r="AM4" s="861"/>
      <c r="AN4" s="862"/>
      <c r="AO4" s="305"/>
    </row>
    <row r="5" spans="1:41" ht="16.5" customHeight="1" x14ac:dyDescent="0.4">
      <c r="A5" s="877" t="s">
        <v>948</v>
      </c>
      <c r="B5" s="878"/>
      <c r="C5" s="878"/>
      <c r="D5" s="878" t="str">
        <f>PHONETIC('（最新）アセスメントシート'!D4)</f>
        <v/>
      </c>
      <c r="E5" s="878"/>
      <c r="F5" s="878"/>
      <c r="G5" s="878"/>
      <c r="H5" s="878"/>
      <c r="I5" s="878"/>
      <c r="J5" s="878"/>
      <c r="K5" s="879"/>
      <c r="L5" s="329"/>
      <c r="M5" s="330"/>
      <c r="N5" s="890" t="str">
        <f>DBCS('[2]（最新）アセスメントシート'!E10)</f>
        <v/>
      </c>
      <c r="O5" s="890"/>
      <c r="P5" s="890"/>
      <c r="Q5" s="890"/>
      <c r="R5" s="890"/>
      <c r="S5" s="890"/>
      <c r="T5" s="890"/>
      <c r="U5" s="890"/>
      <c r="V5" s="890"/>
      <c r="W5" s="890"/>
      <c r="X5" s="890"/>
      <c r="Y5" s="890"/>
      <c r="Z5" s="890"/>
      <c r="AA5" s="890"/>
      <c r="AB5" s="890"/>
      <c r="AC5" s="890"/>
      <c r="AD5" s="890"/>
      <c r="AE5" s="890"/>
      <c r="AF5" s="890"/>
      <c r="AG5" s="890"/>
      <c r="AH5" s="890"/>
      <c r="AI5" s="890"/>
      <c r="AJ5" s="890"/>
      <c r="AK5" s="890"/>
      <c r="AL5" s="890"/>
      <c r="AM5" s="330"/>
      <c r="AN5" s="331"/>
      <c r="AO5" s="305"/>
    </row>
    <row r="6" spans="1:41" ht="8.25" customHeight="1" x14ac:dyDescent="0.4">
      <c r="A6" s="880">
        <f>'（最新）アセスメントシート'!D5</f>
        <v>0</v>
      </c>
      <c r="B6" s="881"/>
      <c r="C6" s="881"/>
      <c r="D6" s="881"/>
      <c r="E6" s="881"/>
      <c r="F6" s="881"/>
      <c r="G6" s="881"/>
      <c r="H6" s="881"/>
      <c r="I6" s="881"/>
      <c r="J6" s="881"/>
      <c r="K6" s="882"/>
      <c r="L6" s="332"/>
      <c r="M6" s="333"/>
      <c r="N6" s="891"/>
      <c r="O6" s="891"/>
      <c r="P6" s="891"/>
      <c r="Q6" s="891"/>
      <c r="R6" s="891"/>
      <c r="S6" s="891"/>
      <c r="T6" s="891"/>
      <c r="U6" s="891"/>
      <c r="V6" s="891"/>
      <c r="W6" s="891"/>
      <c r="X6" s="891"/>
      <c r="Y6" s="891"/>
      <c r="Z6" s="891"/>
      <c r="AA6" s="891"/>
      <c r="AB6" s="891"/>
      <c r="AC6" s="891"/>
      <c r="AD6" s="891"/>
      <c r="AE6" s="891"/>
      <c r="AF6" s="891"/>
      <c r="AG6" s="891"/>
      <c r="AH6" s="891"/>
      <c r="AI6" s="891"/>
      <c r="AJ6" s="891"/>
      <c r="AK6" s="891"/>
      <c r="AL6" s="891"/>
      <c r="AM6" s="333"/>
      <c r="AN6" s="334"/>
      <c r="AO6" s="305"/>
    </row>
    <row r="7" spans="1:41" ht="16.5" customHeight="1" x14ac:dyDescent="0.4">
      <c r="A7" s="880"/>
      <c r="B7" s="881"/>
      <c r="C7" s="881"/>
      <c r="D7" s="881"/>
      <c r="E7" s="881"/>
      <c r="F7" s="881"/>
      <c r="G7" s="881"/>
      <c r="H7" s="881"/>
      <c r="I7" s="881"/>
      <c r="J7" s="881"/>
      <c r="K7" s="882"/>
      <c r="L7" s="883" t="s">
        <v>949</v>
      </c>
      <c r="M7" s="884"/>
      <c r="N7" s="884"/>
      <c r="O7" s="884"/>
      <c r="P7" s="884"/>
      <c r="Q7" s="884"/>
      <c r="R7" s="884"/>
      <c r="S7" s="884"/>
      <c r="T7" s="884"/>
      <c r="U7" s="884"/>
      <c r="V7" s="884"/>
      <c r="W7" s="884"/>
      <c r="X7" s="884"/>
      <c r="Y7" s="884"/>
      <c r="Z7" s="884"/>
      <c r="AA7" s="884"/>
      <c r="AB7" s="884"/>
      <c r="AC7" s="884"/>
      <c r="AD7" s="884"/>
      <c r="AE7" s="884"/>
      <c r="AF7" s="884"/>
      <c r="AG7" s="884"/>
      <c r="AH7" s="884"/>
      <c r="AI7" s="884"/>
      <c r="AJ7" s="884"/>
      <c r="AK7" s="884"/>
      <c r="AL7" s="884"/>
      <c r="AM7" s="884"/>
      <c r="AN7" s="885"/>
      <c r="AO7" s="305"/>
    </row>
    <row r="8" spans="1:41" ht="21.2" customHeight="1" x14ac:dyDescent="0.4">
      <c r="A8" s="880"/>
      <c r="B8" s="881"/>
      <c r="C8" s="881"/>
      <c r="D8" s="881"/>
      <c r="E8" s="881"/>
      <c r="F8" s="881"/>
      <c r="G8" s="881"/>
      <c r="H8" s="881"/>
      <c r="I8" s="881"/>
      <c r="J8" s="881"/>
      <c r="K8" s="882"/>
      <c r="L8" s="886"/>
      <c r="M8" s="887"/>
      <c r="N8" s="887"/>
      <c r="O8" s="887"/>
      <c r="P8" s="887"/>
      <c r="Q8" s="887"/>
      <c r="R8" s="887"/>
      <c r="S8" s="887"/>
      <c r="T8" s="887"/>
      <c r="U8" s="887"/>
      <c r="V8" s="887"/>
      <c r="W8" s="887"/>
      <c r="X8" s="887"/>
      <c r="Y8" s="887"/>
      <c r="Z8" s="887"/>
      <c r="AA8" s="887"/>
      <c r="AB8" s="887"/>
      <c r="AC8" s="887"/>
      <c r="AD8" s="887"/>
      <c r="AE8" s="887"/>
      <c r="AF8" s="887"/>
      <c r="AG8" s="887"/>
      <c r="AH8" s="887"/>
      <c r="AI8" s="887"/>
      <c r="AJ8" s="887"/>
      <c r="AK8" s="887"/>
      <c r="AL8" s="887"/>
      <c r="AM8" s="887"/>
      <c r="AN8" s="888"/>
      <c r="AO8" s="305"/>
    </row>
    <row r="9" spans="1:41" ht="16.5" customHeight="1" x14ac:dyDescent="0.4">
      <c r="A9" s="880"/>
      <c r="B9" s="881"/>
      <c r="C9" s="881"/>
      <c r="D9" s="881"/>
      <c r="E9" s="881"/>
      <c r="F9" s="881"/>
      <c r="G9" s="881"/>
      <c r="H9" s="881"/>
      <c r="I9" s="881"/>
      <c r="J9" s="881"/>
      <c r="K9" s="882"/>
      <c r="L9" s="883" t="s">
        <v>950</v>
      </c>
      <c r="M9" s="884"/>
      <c r="N9" s="884"/>
      <c r="O9" s="884"/>
      <c r="P9" s="884"/>
      <c r="Q9" s="884"/>
      <c r="R9" s="884"/>
      <c r="S9" s="884"/>
      <c r="T9" s="884"/>
      <c r="U9" s="884"/>
      <c r="V9" s="884"/>
      <c r="W9" s="884"/>
      <c r="X9" s="884"/>
      <c r="Y9" s="884"/>
      <c r="Z9" s="884"/>
      <c r="AA9" s="884"/>
      <c r="AB9" s="884"/>
      <c r="AC9" s="884"/>
      <c r="AD9" s="884"/>
      <c r="AE9" s="884"/>
      <c r="AF9" s="884"/>
      <c r="AG9" s="884"/>
      <c r="AH9" s="884"/>
      <c r="AI9" s="884"/>
      <c r="AJ9" s="884"/>
      <c r="AK9" s="884"/>
      <c r="AL9" s="884"/>
      <c r="AM9" s="884"/>
      <c r="AN9" s="885"/>
      <c r="AO9" s="305"/>
    </row>
    <row r="10" spans="1:41" ht="31.15" customHeight="1" x14ac:dyDescent="0.4">
      <c r="A10" s="880"/>
      <c r="B10" s="881"/>
      <c r="C10" s="881"/>
      <c r="D10" s="881"/>
      <c r="E10" s="881"/>
      <c r="F10" s="881"/>
      <c r="G10" s="881"/>
      <c r="H10" s="881"/>
      <c r="I10" s="881"/>
      <c r="J10" s="881"/>
      <c r="K10" s="882"/>
      <c r="L10" s="326"/>
      <c r="M10" s="327"/>
      <c r="N10" s="327"/>
      <c r="O10" s="889">
        <f>'（最新）アセスメントシート'!X5</f>
        <v>0</v>
      </c>
      <c r="P10" s="889"/>
      <c r="Q10" s="889"/>
      <c r="R10" s="889"/>
      <c r="S10" s="889"/>
      <c r="T10" s="889"/>
      <c r="U10" s="889"/>
      <c r="V10" s="889"/>
      <c r="W10" s="889"/>
      <c r="X10" s="889"/>
      <c r="Y10" s="889"/>
      <c r="Z10" s="889"/>
      <c r="AA10" s="889"/>
      <c r="AB10" s="889"/>
      <c r="AC10" s="889"/>
      <c r="AD10" s="889"/>
      <c r="AE10" s="889"/>
      <c r="AF10" s="889"/>
      <c r="AG10" s="889"/>
      <c r="AH10" s="889"/>
      <c r="AI10" s="889"/>
      <c r="AJ10" s="889"/>
      <c r="AK10" s="889"/>
      <c r="AL10" s="327"/>
      <c r="AM10" s="327"/>
      <c r="AN10" s="328"/>
      <c r="AO10" s="305"/>
    </row>
    <row r="11" spans="1:41" ht="16.5" customHeight="1" x14ac:dyDescent="0.4">
      <c r="A11" s="892" t="s">
        <v>951</v>
      </c>
      <c r="B11" s="893"/>
      <c r="C11" s="893"/>
      <c r="D11" s="893"/>
      <c r="E11" s="893"/>
      <c r="F11" s="893"/>
      <c r="G11" s="893"/>
      <c r="H11" s="893"/>
      <c r="I11" s="893"/>
      <c r="J11" s="893"/>
      <c r="K11" s="893"/>
      <c r="L11" s="893"/>
      <c r="M11" s="893"/>
      <c r="N11" s="893"/>
      <c r="O11" s="893"/>
      <c r="P11" s="893"/>
      <c r="Q11" s="893"/>
      <c r="R11" s="893"/>
      <c r="S11" s="893"/>
      <c r="T11" s="893"/>
      <c r="U11" s="893"/>
      <c r="V11" s="893"/>
      <c r="W11" s="893"/>
      <c r="X11" s="893"/>
      <c r="Y11" s="893"/>
      <c r="Z11" s="893"/>
      <c r="AA11" s="893"/>
      <c r="AB11" s="893"/>
      <c r="AC11" s="893"/>
      <c r="AD11" s="893"/>
      <c r="AE11" s="893"/>
      <c r="AF11" s="893"/>
      <c r="AG11" s="893"/>
      <c r="AH11" s="893"/>
      <c r="AI11" s="893"/>
      <c r="AJ11" s="893"/>
      <c r="AK11" s="893"/>
      <c r="AL11" s="893"/>
      <c r="AM11" s="893"/>
      <c r="AN11" s="894"/>
      <c r="AO11" s="305"/>
    </row>
    <row r="12" spans="1:41" ht="16.5" customHeight="1" x14ac:dyDescent="0.4">
      <c r="A12" s="895" t="s">
        <v>952</v>
      </c>
      <c r="B12" s="896"/>
      <c r="C12" s="896"/>
      <c r="D12" s="896"/>
      <c r="E12" s="896"/>
      <c r="F12" s="896"/>
      <c r="G12" s="896"/>
      <c r="H12" s="897"/>
      <c r="I12" s="898"/>
      <c r="J12" s="899"/>
      <c r="K12" s="900"/>
      <c r="L12" s="901" t="s">
        <v>953</v>
      </c>
      <c r="M12" s="902"/>
      <c r="N12" s="902"/>
      <c r="O12" s="902"/>
      <c r="P12" s="902"/>
      <c r="Q12" s="902"/>
      <c r="R12" s="902"/>
      <c r="S12" s="902"/>
      <c r="T12" s="902"/>
      <c r="U12" s="902"/>
      <c r="V12" s="902"/>
      <c r="W12" s="902"/>
      <c r="X12" s="902"/>
      <c r="Y12" s="902"/>
      <c r="Z12" s="902"/>
      <c r="AA12" s="903"/>
      <c r="AB12" s="904" t="s">
        <v>954</v>
      </c>
      <c r="AC12" s="905"/>
      <c r="AD12" s="905"/>
      <c r="AE12" s="905"/>
      <c r="AF12" s="905"/>
      <c r="AG12" s="905"/>
      <c r="AH12" s="905"/>
      <c r="AI12" s="905"/>
      <c r="AJ12" s="905"/>
      <c r="AK12" s="905"/>
      <c r="AL12" s="905"/>
      <c r="AM12" s="905"/>
      <c r="AN12" s="906"/>
      <c r="AO12" s="304"/>
    </row>
    <row r="13" spans="1:41" ht="25.5" customHeight="1" x14ac:dyDescent="0.4">
      <c r="A13" s="872" t="s">
        <v>955</v>
      </c>
      <c r="B13" s="873"/>
      <c r="C13" s="873"/>
      <c r="D13" s="873"/>
      <c r="E13" s="873"/>
      <c r="F13" s="873"/>
      <c r="G13" s="873"/>
      <c r="H13" s="873"/>
      <c r="I13" s="873"/>
      <c r="J13" s="873"/>
      <c r="K13" s="874"/>
      <c r="L13" s="875" t="s">
        <v>956</v>
      </c>
      <c r="M13" s="875"/>
      <c r="N13" s="875"/>
      <c r="O13" s="875"/>
      <c r="P13" s="875"/>
      <c r="Q13" s="875"/>
      <c r="R13" s="875"/>
      <c r="S13" s="875"/>
      <c r="T13" s="875"/>
      <c r="U13" s="875"/>
      <c r="V13" s="875"/>
      <c r="W13" s="875"/>
      <c r="X13" s="875"/>
      <c r="Y13" s="875"/>
      <c r="Z13" s="875"/>
      <c r="AA13" s="875"/>
      <c r="AB13" s="875"/>
      <c r="AC13" s="875"/>
      <c r="AD13" s="875"/>
      <c r="AE13" s="875"/>
      <c r="AF13" s="875"/>
      <c r="AG13" s="875"/>
      <c r="AH13" s="875"/>
      <c r="AI13" s="875"/>
      <c r="AJ13" s="875"/>
      <c r="AK13" s="875"/>
      <c r="AL13" s="875"/>
      <c r="AM13" s="875"/>
      <c r="AN13" s="876"/>
      <c r="AO13" s="305"/>
    </row>
    <row r="14" spans="1:41" ht="14.25" customHeight="1" x14ac:dyDescent="0.4">
      <c r="A14" s="907" t="s">
        <v>957</v>
      </c>
      <c r="B14" s="908"/>
      <c r="C14" s="908"/>
      <c r="D14" s="908"/>
      <c r="E14" s="908"/>
      <c r="F14" s="908"/>
      <c r="G14" s="908"/>
      <c r="H14" s="908"/>
      <c r="I14" s="908"/>
      <c r="J14" s="909"/>
      <c r="K14" s="910"/>
      <c r="L14" s="912" t="s">
        <v>958</v>
      </c>
      <c r="M14" s="913"/>
      <c r="N14" s="913"/>
      <c r="O14" s="913"/>
      <c r="P14" s="913"/>
      <c r="Q14" s="913"/>
      <c r="R14" s="913"/>
      <c r="S14" s="913"/>
      <c r="T14" s="913"/>
      <c r="U14" s="913"/>
      <c r="V14" s="913"/>
      <c r="W14" s="913"/>
      <c r="X14" s="913"/>
      <c r="Y14" s="913"/>
      <c r="Z14" s="913"/>
      <c r="AA14" s="913"/>
      <c r="AB14" s="913"/>
      <c r="AC14" s="913"/>
      <c r="AD14" s="913"/>
      <c r="AE14" s="913"/>
      <c r="AF14" s="913"/>
      <c r="AG14" s="913"/>
      <c r="AH14" s="913"/>
      <c r="AI14" s="913"/>
      <c r="AJ14" s="913"/>
      <c r="AK14" s="913"/>
      <c r="AL14" s="913"/>
      <c r="AM14" s="913"/>
      <c r="AN14" s="914"/>
      <c r="AO14" s="305"/>
    </row>
    <row r="15" spans="1:41" ht="28.5" customHeight="1" x14ac:dyDescent="0.4">
      <c r="A15" s="308">
        <v>2</v>
      </c>
      <c r="B15" s="309">
        <v>4</v>
      </c>
      <c r="C15" s="310">
        <v>7</v>
      </c>
      <c r="D15" s="309">
        <v>2</v>
      </c>
      <c r="E15" s="310">
        <v>4</v>
      </c>
      <c r="F15" s="309">
        <v>0</v>
      </c>
      <c r="G15" s="309">
        <v>0</v>
      </c>
      <c r="H15" s="310">
        <v>0</v>
      </c>
      <c r="I15" s="309">
        <v>7</v>
      </c>
      <c r="J15" s="310">
        <v>2</v>
      </c>
      <c r="K15" s="911"/>
      <c r="L15" s="915" t="s">
        <v>959</v>
      </c>
      <c r="M15" s="916"/>
      <c r="N15" s="916"/>
      <c r="O15" s="916"/>
      <c r="P15" s="916"/>
      <c r="Q15" s="916"/>
      <c r="R15" s="916"/>
      <c r="S15" s="916"/>
      <c r="T15" s="311"/>
      <c r="U15" s="916">
        <f>'（最新）アセスメントシート'!AG3</f>
        <v>0</v>
      </c>
      <c r="V15" s="916"/>
      <c r="W15" s="916"/>
      <c r="X15" s="916"/>
      <c r="Y15" s="916"/>
      <c r="Z15" s="916"/>
      <c r="AA15" s="916"/>
      <c r="AB15" s="916"/>
      <c r="AC15" s="916"/>
      <c r="AD15" s="916"/>
      <c r="AE15" s="916"/>
      <c r="AF15" s="916"/>
      <c r="AG15" s="916"/>
      <c r="AH15" s="916"/>
      <c r="AI15" s="916"/>
      <c r="AJ15" s="916"/>
      <c r="AK15" s="916"/>
      <c r="AL15" s="916"/>
      <c r="AM15" s="311"/>
      <c r="AN15" s="312"/>
      <c r="AO15" s="305"/>
    </row>
    <row r="16" spans="1:41" ht="16.5" customHeight="1" x14ac:dyDescent="0.4">
      <c r="A16" s="917" t="s">
        <v>960</v>
      </c>
      <c r="B16" s="918"/>
      <c r="C16" s="918"/>
      <c r="D16" s="918"/>
      <c r="E16" s="918"/>
      <c r="F16" s="918"/>
      <c r="G16" s="918"/>
      <c r="H16" s="918"/>
      <c r="I16" s="918"/>
      <c r="J16" s="918"/>
      <c r="K16" s="918"/>
      <c r="L16" s="918"/>
      <c r="M16" s="918"/>
      <c r="N16" s="918"/>
      <c r="O16" s="918"/>
      <c r="P16" s="918"/>
      <c r="Q16" s="918"/>
      <c r="R16" s="918"/>
      <c r="S16" s="918"/>
      <c r="T16" s="918"/>
      <c r="U16" s="918"/>
      <c r="V16" s="918"/>
      <c r="W16" s="918"/>
      <c r="X16" s="918"/>
      <c r="Y16" s="918"/>
      <c r="Z16" s="918"/>
      <c r="AA16" s="918"/>
      <c r="AB16" s="918"/>
      <c r="AC16" s="918"/>
      <c r="AD16" s="918"/>
      <c r="AE16" s="918"/>
      <c r="AF16" s="918"/>
      <c r="AG16" s="918"/>
      <c r="AH16" s="918"/>
      <c r="AI16" s="918"/>
      <c r="AJ16" s="918"/>
      <c r="AK16" s="918"/>
      <c r="AL16" s="918"/>
      <c r="AM16" s="918"/>
      <c r="AN16" s="919"/>
      <c r="AO16" s="305"/>
    </row>
    <row r="17" spans="1:41" ht="6.75" customHeight="1" x14ac:dyDescent="0.4">
      <c r="A17" s="933"/>
      <c r="B17" s="934"/>
      <c r="C17" s="934"/>
      <c r="D17" s="934"/>
      <c r="E17" s="934"/>
      <c r="F17" s="934"/>
      <c r="G17" s="934"/>
      <c r="H17" s="934"/>
      <c r="I17" s="934"/>
      <c r="J17" s="934"/>
      <c r="K17" s="934"/>
      <c r="L17" s="934"/>
      <c r="M17" s="934"/>
      <c r="N17" s="934"/>
      <c r="O17" s="934"/>
      <c r="P17" s="934"/>
      <c r="Q17" s="934"/>
      <c r="R17" s="934"/>
      <c r="S17" s="935"/>
      <c r="T17" s="936" t="s">
        <v>961</v>
      </c>
      <c r="U17" s="937"/>
      <c r="V17" s="937"/>
      <c r="W17" s="937"/>
      <c r="X17" s="937"/>
      <c r="Y17" s="937"/>
      <c r="Z17" s="937"/>
      <c r="AA17" s="937"/>
      <c r="AB17" s="937"/>
      <c r="AC17" s="937"/>
      <c r="AD17" s="937"/>
      <c r="AE17" s="937"/>
      <c r="AF17" s="937"/>
      <c r="AG17" s="937"/>
      <c r="AH17" s="937"/>
      <c r="AI17" s="937"/>
      <c r="AJ17" s="937"/>
      <c r="AK17" s="937"/>
      <c r="AL17" s="937"/>
      <c r="AM17" s="937"/>
      <c r="AN17" s="938"/>
      <c r="AO17" s="920"/>
    </row>
    <row r="18" spans="1:41" ht="15" customHeight="1" x14ac:dyDescent="0.4">
      <c r="A18" s="313"/>
      <c r="B18" s="921" t="s">
        <v>1039</v>
      </c>
      <c r="C18" s="921"/>
      <c r="D18" s="921"/>
      <c r="E18" s="921"/>
      <c r="F18" s="921"/>
      <c r="G18" s="921"/>
      <c r="H18" s="921"/>
      <c r="I18" s="921"/>
      <c r="J18" s="921"/>
      <c r="K18" s="921"/>
      <c r="L18" s="921"/>
      <c r="M18" s="921"/>
      <c r="N18" s="921"/>
      <c r="O18" s="921"/>
      <c r="P18" s="921"/>
      <c r="Q18" s="921"/>
      <c r="R18" s="921"/>
      <c r="S18" s="922"/>
      <c r="T18" s="923"/>
      <c r="U18" s="921"/>
      <c r="V18" s="921"/>
      <c r="W18" s="921"/>
      <c r="X18" s="921"/>
      <c r="Y18" s="921"/>
      <c r="Z18" s="921"/>
      <c r="AA18" s="921"/>
      <c r="AB18" s="921"/>
      <c r="AC18" s="921"/>
      <c r="AD18" s="921"/>
      <c r="AE18" s="921"/>
      <c r="AF18" s="921"/>
      <c r="AG18" s="921"/>
      <c r="AH18" s="921"/>
      <c r="AI18" s="921"/>
      <c r="AJ18" s="921"/>
      <c r="AK18" s="921"/>
      <c r="AL18" s="921"/>
      <c r="AM18" s="921"/>
      <c r="AN18" s="924"/>
      <c r="AO18" s="920"/>
    </row>
    <row r="19" spans="1:41" ht="15" customHeight="1" x14ac:dyDescent="0.4">
      <c r="A19" s="313"/>
      <c r="B19" s="921" t="s">
        <v>1040</v>
      </c>
      <c r="C19" s="921"/>
      <c r="D19" s="921"/>
      <c r="E19" s="921"/>
      <c r="F19" s="921"/>
      <c r="G19" s="921"/>
      <c r="H19" s="921"/>
      <c r="I19" s="921"/>
      <c r="J19" s="921"/>
      <c r="K19" s="921"/>
      <c r="L19" s="921"/>
      <c r="M19" s="921"/>
      <c r="N19" s="921"/>
      <c r="O19" s="921"/>
      <c r="P19" s="921"/>
      <c r="Q19" s="921"/>
      <c r="R19" s="921"/>
      <c r="S19" s="922"/>
      <c r="T19" s="923" t="s">
        <v>962</v>
      </c>
      <c r="U19" s="921"/>
      <c r="V19" s="921"/>
      <c r="W19" s="921"/>
      <c r="X19" s="921"/>
      <c r="Y19" s="921"/>
      <c r="Z19" s="921"/>
      <c r="AA19" s="921"/>
      <c r="AB19" s="921"/>
      <c r="AC19" s="921"/>
      <c r="AD19" s="921"/>
      <c r="AE19" s="921"/>
      <c r="AF19" s="921"/>
      <c r="AG19" s="921"/>
      <c r="AH19" s="921"/>
      <c r="AI19" s="921"/>
      <c r="AJ19" s="921"/>
      <c r="AK19" s="921"/>
      <c r="AL19" s="921"/>
      <c r="AM19" s="921"/>
      <c r="AN19" s="924"/>
      <c r="AO19" s="920"/>
    </row>
    <row r="20" spans="1:41" ht="15" customHeight="1" x14ac:dyDescent="0.4">
      <c r="A20" s="313"/>
      <c r="B20" s="921" t="s">
        <v>1041</v>
      </c>
      <c r="C20" s="921"/>
      <c r="D20" s="921"/>
      <c r="E20" s="921"/>
      <c r="F20" s="921"/>
      <c r="G20" s="921"/>
      <c r="H20" s="921"/>
      <c r="I20" s="921"/>
      <c r="J20" s="921"/>
      <c r="K20" s="921"/>
      <c r="L20" s="921"/>
      <c r="M20" s="921"/>
      <c r="N20" s="921"/>
      <c r="O20" s="921"/>
      <c r="P20" s="921"/>
      <c r="Q20" s="921"/>
      <c r="R20" s="921"/>
      <c r="S20" s="922"/>
      <c r="T20" s="925"/>
      <c r="U20" s="926"/>
      <c r="V20" s="926"/>
      <c r="W20" s="926"/>
      <c r="X20" s="926"/>
      <c r="Y20" s="926"/>
      <c r="Z20" s="926"/>
      <c r="AA20" s="926"/>
      <c r="AB20" s="926"/>
      <c r="AC20" s="926"/>
      <c r="AD20" s="926"/>
      <c r="AE20" s="926"/>
      <c r="AF20" s="926"/>
      <c r="AG20" s="926"/>
      <c r="AH20" s="926"/>
      <c r="AI20" s="926"/>
      <c r="AJ20" s="926"/>
      <c r="AK20" s="926"/>
      <c r="AL20" s="926"/>
      <c r="AM20" s="926"/>
      <c r="AN20" s="927"/>
      <c r="AO20" s="920"/>
    </row>
    <row r="21" spans="1:41" ht="15" customHeight="1" thickBot="1" x14ac:dyDescent="0.45">
      <c r="A21" s="316"/>
      <c r="B21" s="928" t="s">
        <v>1042</v>
      </c>
      <c r="C21" s="928"/>
      <c r="D21" s="928"/>
      <c r="E21" s="928"/>
      <c r="F21" s="928"/>
      <c r="G21" s="928"/>
      <c r="H21" s="928"/>
      <c r="I21" s="928"/>
      <c r="J21" s="928"/>
      <c r="K21" s="928"/>
      <c r="L21" s="928"/>
      <c r="M21" s="928"/>
      <c r="N21" s="928"/>
      <c r="O21" s="928"/>
      <c r="P21" s="928"/>
      <c r="Q21" s="928"/>
      <c r="R21" s="928"/>
      <c r="S21" s="929"/>
      <c r="T21" s="930" t="s">
        <v>1248</v>
      </c>
      <c r="U21" s="931"/>
      <c r="V21" s="931"/>
      <c r="W21" s="931"/>
      <c r="X21" s="931"/>
      <c r="Y21" s="931"/>
      <c r="Z21" s="931"/>
      <c r="AA21" s="931"/>
      <c r="AB21" s="931"/>
      <c r="AC21" s="931"/>
      <c r="AD21" s="931"/>
      <c r="AE21" s="931"/>
      <c r="AF21" s="931"/>
      <c r="AG21" s="931"/>
      <c r="AH21" s="931"/>
      <c r="AI21" s="931"/>
      <c r="AJ21" s="931"/>
      <c r="AK21" s="931"/>
      <c r="AL21" s="931"/>
      <c r="AM21" s="931"/>
      <c r="AN21" s="932"/>
      <c r="AO21" s="920"/>
    </row>
    <row r="22" spans="1:41" ht="6.75" customHeight="1" thickTop="1" x14ac:dyDescent="0.4">
      <c r="A22" s="939"/>
      <c r="B22" s="940"/>
      <c r="C22" s="940"/>
      <c r="D22" s="940"/>
      <c r="E22" s="940"/>
      <c r="F22" s="940"/>
      <c r="G22" s="940"/>
      <c r="H22" s="940"/>
      <c r="I22" s="940"/>
      <c r="J22" s="940"/>
      <c r="K22" s="940"/>
      <c r="L22" s="940"/>
      <c r="M22" s="940"/>
      <c r="N22" s="940"/>
      <c r="O22" s="940"/>
      <c r="P22" s="940"/>
      <c r="Q22" s="940"/>
      <c r="R22" s="940"/>
      <c r="S22" s="940"/>
      <c r="T22" s="940"/>
      <c r="U22" s="940"/>
      <c r="V22" s="940"/>
      <c r="W22" s="940"/>
      <c r="X22" s="940"/>
      <c r="Y22" s="940"/>
      <c r="Z22" s="940"/>
      <c r="AA22" s="940"/>
      <c r="AB22" s="940"/>
      <c r="AC22" s="940"/>
      <c r="AD22" s="940"/>
      <c r="AE22" s="940"/>
      <c r="AF22" s="940"/>
      <c r="AG22" s="940"/>
      <c r="AH22" s="940"/>
      <c r="AI22" s="940"/>
      <c r="AJ22" s="940"/>
      <c r="AK22" s="940"/>
      <c r="AL22" s="940"/>
      <c r="AM22" s="940"/>
      <c r="AN22" s="941"/>
      <c r="AO22" s="920"/>
    </row>
    <row r="23" spans="1:41" ht="16.5" customHeight="1" x14ac:dyDescent="0.4">
      <c r="A23" s="317"/>
      <c r="B23" s="942" t="s">
        <v>963</v>
      </c>
      <c r="C23" s="942"/>
      <c r="D23" s="942"/>
      <c r="E23" s="942"/>
      <c r="F23" s="942"/>
      <c r="G23" s="942"/>
      <c r="H23" s="942"/>
      <c r="I23" s="942"/>
      <c r="J23" s="942"/>
      <c r="K23" s="942"/>
      <c r="L23" s="942"/>
      <c r="M23" s="942"/>
      <c r="N23" s="942"/>
      <c r="O23" s="942"/>
      <c r="P23" s="942"/>
      <c r="Q23" s="942"/>
      <c r="R23" s="942"/>
      <c r="S23" s="942"/>
      <c r="T23" s="942"/>
      <c r="U23" s="942"/>
      <c r="V23" s="942"/>
      <c r="W23" s="942"/>
      <c r="X23" s="942"/>
      <c r="Y23" s="942"/>
      <c r="Z23" s="942"/>
      <c r="AA23" s="942"/>
      <c r="AB23" s="942"/>
      <c r="AC23" s="942"/>
      <c r="AD23" s="942"/>
      <c r="AE23" s="942"/>
      <c r="AF23" s="942"/>
      <c r="AG23" s="942"/>
      <c r="AH23" s="942"/>
      <c r="AI23" s="942"/>
      <c r="AJ23" s="942"/>
      <c r="AK23" s="942"/>
      <c r="AL23" s="942"/>
      <c r="AM23" s="942"/>
      <c r="AN23" s="943"/>
      <c r="AO23" s="920"/>
    </row>
    <row r="24" spans="1:41" ht="16.5" customHeight="1" x14ac:dyDescent="0.4">
      <c r="A24" s="313"/>
      <c r="B24" s="921" t="s">
        <v>964</v>
      </c>
      <c r="C24" s="921"/>
      <c r="D24" s="921"/>
      <c r="E24" s="921"/>
      <c r="F24" s="921"/>
      <c r="G24" s="921"/>
      <c r="H24" s="921"/>
      <c r="I24" s="921"/>
      <c r="J24" s="921"/>
      <c r="K24" s="921"/>
      <c r="L24" s="921"/>
      <c r="M24" s="921"/>
      <c r="N24" s="921"/>
      <c r="O24" s="921"/>
      <c r="P24" s="921"/>
      <c r="Q24" s="921"/>
      <c r="R24" s="921"/>
      <c r="S24" s="921"/>
      <c r="T24" s="921"/>
      <c r="U24" s="921"/>
      <c r="V24" s="921"/>
      <c r="W24" s="921"/>
      <c r="X24" s="921"/>
      <c r="Y24" s="921"/>
      <c r="Z24" s="921"/>
      <c r="AA24" s="921"/>
      <c r="AB24" s="921"/>
      <c r="AC24" s="921"/>
      <c r="AD24" s="921"/>
      <c r="AE24" s="921"/>
      <c r="AF24" s="921"/>
      <c r="AG24" s="921"/>
      <c r="AH24" s="921"/>
      <c r="AI24" s="921"/>
      <c r="AJ24" s="921"/>
      <c r="AK24" s="921"/>
      <c r="AL24" s="921"/>
      <c r="AM24" s="921"/>
      <c r="AN24" s="924"/>
      <c r="AO24" s="920"/>
    </row>
    <row r="25" spans="1:41" ht="16.5" customHeight="1" x14ac:dyDescent="0.4">
      <c r="A25" s="313"/>
      <c r="B25" s="875" t="s">
        <v>1043</v>
      </c>
      <c r="C25" s="875"/>
      <c r="D25" s="875"/>
      <c r="E25" s="875"/>
      <c r="F25" s="875"/>
      <c r="G25" s="875"/>
      <c r="H25" s="875"/>
      <c r="I25" s="875"/>
      <c r="J25" s="875"/>
      <c r="K25" s="875"/>
      <c r="L25" s="875"/>
      <c r="M25" s="875"/>
      <c r="N25" s="875"/>
      <c r="O25" s="875"/>
      <c r="P25" s="875"/>
      <c r="Q25" s="875"/>
      <c r="R25" s="875"/>
      <c r="S25" s="875"/>
      <c r="T25" s="875"/>
      <c r="U25" s="875"/>
      <c r="V25" s="875"/>
      <c r="W25" s="875"/>
      <c r="X25" s="875"/>
      <c r="Y25" s="875"/>
      <c r="Z25" s="875"/>
      <c r="AA25" s="875"/>
      <c r="AB25" s="875"/>
      <c r="AC25" s="875"/>
      <c r="AD25" s="875"/>
      <c r="AE25" s="875"/>
      <c r="AF25" s="875"/>
      <c r="AG25" s="875"/>
      <c r="AH25" s="875"/>
      <c r="AI25" s="875"/>
      <c r="AJ25" s="875"/>
      <c r="AK25" s="875"/>
      <c r="AL25" s="875"/>
      <c r="AM25" s="875"/>
      <c r="AN25" s="876"/>
      <c r="AO25" s="920"/>
    </row>
    <row r="26" spans="1:41" ht="16.5" customHeight="1" x14ac:dyDescent="0.4">
      <c r="A26" s="313"/>
      <c r="B26" s="875" t="s">
        <v>1044</v>
      </c>
      <c r="C26" s="875"/>
      <c r="D26" s="875"/>
      <c r="E26" s="875"/>
      <c r="F26" s="875"/>
      <c r="G26" s="875"/>
      <c r="H26" s="875"/>
      <c r="I26" s="875"/>
      <c r="J26" s="875"/>
      <c r="K26" s="875"/>
      <c r="L26" s="875"/>
      <c r="M26" s="875"/>
      <c r="N26" s="875"/>
      <c r="O26" s="875"/>
      <c r="P26" s="875"/>
      <c r="Q26" s="875"/>
      <c r="R26" s="875"/>
      <c r="S26" s="875"/>
      <c r="T26" s="875"/>
      <c r="U26" s="875"/>
      <c r="V26" s="875"/>
      <c r="W26" s="875"/>
      <c r="X26" s="875"/>
      <c r="Y26" s="875"/>
      <c r="Z26" s="875"/>
      <c r="AA26" s="875"/>
      <c r="AB26" s="875"/>
      <c r="AC26" s="875"/>
      <c r="AD26" s="875"/>
      <c r="AE26" s="875"/>
      <c r="AF26" s="875"/>
      <c r="AG26" s="875"/>
      <c r="AH26" s="875"/>
      <c r="AI26" s="875"/>
      <c r="AJ26" s="875"/>
      <c r="AK26" s="875"/>
      <c r="AL26" s="875"/>
      <c r="AM26" s="875"/>
      <c r="AN26" s="876"/>
      <c r="AO26" s="920"/>
    </row>
    <row r="27" spans="1:41" ht="16.5" customHeight="1" thickBot="1" x14ac:dyDescent="0.45">
      <c r="A27" s="316"/>
      <c r="B27" s="944" t="s">
        <v>1045</v>
      </c>
      <c r="C27" s="944"/>
      <c r="D27" s="944"/>
      <c r="E27" s="944"/>
      <c r="F27" s="944"/>
      <c r="G27" s="944"/>
      <c r="H27" s="944"/>
      <c r="I27" s="944"/>
      <c r="J27" s="944"/>
      <c r="K27" s="944"/>
      <c r="L27" s="944"/>
      <c r="M27" s="944"/>
      <c r="N27" s="944"/>
      <c r="O27" s="944"/>
      <c r="P27" s="944"/>
      <c r="Q27" s="944"/>
      <c r="R27" s="944"/>
      <c r="S27" s="944"/>
      <c r="T27" s="944"/>
      <c r="U27" s="944"/>
      <c r="V27" s="944"/>
      <c r="W27" s="944"/>
      <c r="X27" s="944"/>
      <c r="Y27" s="944"/>
      <c r="Z27" s="944"/>
      <c r="AA27" s="944"/>
      <c r="AB27" s="944"/>
      <c r="AC27" s="944"/>
      <c r="AD27" s="944"/>
      <c r="AE27" s="944"/>
      <c r="AF27" s="944"/>
      <c r="AG27" s="944"/>
      <c r="AH27" s="944"/>
      <c r="AI27" s="944"/>
      <c r="AJ27" s="944"/>
      <c r="AK27" s="944"/>
      <c r="AL27" s="944"/>
      <c r="AM27" s="944"/>
      <c r="AN27" s="945"/>
      <c r="AO27" s="920"/>
    </row>
    <row r="28" spans="1:41" ht="9.75" customHeight="1" thickTop="1" x14ac:dyDescent="0.4">
      <c r="A28" s="946"/>
      <c r="B28" s="947"/>
      <c r="C28" s="947"/>
      <c r="D28" s="947"/>
      <c r="E28" s="947"/>
      <c r="F28" s="947"/>
      <c r="G28" s="947"/>
      <c r="H28" s="947"/>
      <c r="I28" s="947"/>
      <c r="J28" s="947"/>
      <c r="K28" s="947"/>
      <c r="L28" s="947"/>
      <c r="M28" s="947"/>
      <c r="N28" s="947"/>
      <c r="O28" s="947"/>
      <c r="P28" s="947"/>
      <c r="Q28" s="947"/>
      <c r="R28" s="947"/>
      <c r="S28" s="947"/>
      <c r="T28" s="947"/>
      <c r="U28" s="947"/>
      <c r="V28" s="947"/>
      <c r="W28" s="947"/>
      <c r="X28" s="947"/>
      <c r="Y28" s="947"/>
      <c r="Z28" s="947"/>
      <c r="AA28" s="947"/>
      <c r="AB28" s="947"/>
      <c r="AC28" s="947"/>
      <c r="AD28" s="947"/>
      <c r="AE28" s="947"/>
      <c r="AF28" s="947"/>
      <c r="AG28" s="947"/>
      <c r="AH28" s="947"/>
      <c r="AI28" s="947"/>
      <c r="AJ28" s="947"/>
      <c r="AK28" s="947"/>
      <c r="AL28" s="947"/>
      <c r="AM28" s="947"/>
      <c r="AN28" s="948"/>
      <c r="AO28" s="920"/>
    </row>
    <row r="29" spans="1:41" ht="15" customHeight="1" x14ac:dyDescent="0.4">
      <c r="A29" s="872" t="s">
        <v>281</v>
      </c>
      <c r="B29" s="873"/>
      <c r="C29" s="873"/>
      <c r="D29" s="873"/>
      <c r="E29" s="873"/>
      <c r="F29" s="873"/>
      <c r="G29" s="873"/>
      <c r="H29" s="873"/>
      <c r="I29" s="873"/>
      <c r="J29" s="873"/>
      <c r="K29" s="873"/>
      <c r="L29" s="873"/>
      <c r="M29" s="873"/>
      <c r="N29" s="873"/>
      <c r="O29" s="873"/>
      <c r="P29" s="873"/>
      <c r="Q29" s="873"/>
      <c r="R29" s="873"/>
      <c r="S29" s="873"/>
      <c r="T29" s="873"/>
      <c r="U29" s="873"/>
      <c r="V29" s="873"/>
      <c r="W29" s="873"/>
      <c r="X29" s="873"/>
      <c r="Y29" s="873"/>
      <c r="Z29" s="873"/>
      <c r="AA29" s="873"/>
      <c r="AB29" s="873"/>
      <c r="AC29" s="873"/>
      <c r="AD29" s="873"/>
      <c r="AE29" s="873"/>
      <c r="AF29" s="873"/>
      <c r="AG29" s="873"/>
      <c r="AH29" s="873"/>
      <c r="AI29" s="873"/>
      <c r="AJ29" s="873"/>
      <c r="AK29" s="873"/>
      <c r="AL29" s="873"/>
      <c r="AM29" s="873"/>
      <c r="AN29" s="949"/>
      <c r="AO29" s="920"/>
    </row>
    <row r="30" spans="1:41" ht="15" customHeight="1" x14ac:dyDescent="0.4">
      <c r="A30" s="319"/>
      <c r="B30" s="875" t="s">
        <v>965</v>
      </c>
      <c r="C30" s="875"/>
      <c r="D30" s="875"/>
      <c r="E30" s="875"/>
      <c r="F30" s="875"/>
      <c r="G30" s="875"/>
      <c r="H30" s="875"/>
      <c r="I30" s="875"/>
      <c r="J30" s="875"/>
      <c r="K30" s="875"/>
      <c r="L30" s="875"/>
      <c r="M30" s="875"/>
      <c r="N30" s="875"/>
      <c r="O30" s="875"/>
      <c r="P30" s="875"/>
      <c r="Q30" s="875"/>
      <c r="R30" s="875"/>
      <c r="S30" s="875"/>
      <c r="T30" s="875"/>
      <c r="U30" s="875"/>
      <c r="V30" s="875"/>
      <c r="W30" s="875"/>
      <c r="X30" s="875"/>
      <c r="Y30" s="875"/>
      <c r="Z30" s="875"/>
      <c r="AA30" s="875"/>
      <c r="AB30" s="875"/>
      <c r="AC30" s="875"/>
      <c r="AD30" s="875"/>
      <c r="AE30" s="875"/>
      <c r="AF30" s="875"/>
      <c r="AG30" s="875"/>
      <c r="AH30" s="875"/>
      <c r="AI30" s="875"/>
      <c r="AJ30" s="875"/>
      <c r="AK30" s="875"/>
      <c r="AL30" s="875"/>
      <c r="AM30" s="875"/>
      <c r="AN30" s="949"/>
      <c r="AO30" s="920"/>
    </row>
    <row r="31" spans="1:41" ht="12" customHeight="1" x14ac:dyDescent="0.4">
      <c r="A31" s="872"/>
      <c r="B31" s="873"/>
      <c r="C31" s="873"/>
      <c r="D31" s="873"/>
      <c r="E31" s="873"/>
      <c r="F31" s="873"/>
      <c r="G31" s="873"/>
      <c r="H31" s="873"/>
      <c r="I31" s="873"/>
      <c r="J31" s="873"/>
      <c r="K31" s="873"/>
      <c r="L31" s="873"/>
      <c r="M31" s="873"/>
      <c r="N31" s="873"/>
      <c r="O31" s="873"/>
      <c r="P31" s="873"/>
      <c r="Q31" s="873"/>
      <c r="R31" s="873"/>
      <c r="S31" s="873"/>
      <c r="T31" s="873"/>
      <c r="U31" s="873"/>
      <c r="V31" s="873"/>
      <c r="W31" s="873"/>
      <c r="X31" s="873"/>
      <c r="Y31" s="873"/>
      <c r="Z31" s="873"/>
      <c r="AA31" s="873"/>
      <c r="AB31" s="873"/>
      <c r="AC31" s="873"/>
      <c r="AD31" s="873"/>
      <c r="AE31" s="873"/>
      <c r="AF31" s="873"/>
      <c r="AG31" s="873"/>
      <c r="AH31" s="873"/>
      <c r="AI31" s="873"/>
      <c r="AJ31" s="873"/>
      <c r="AK31" s="873"/>
      <c r="AL31" s="873"/>
      <c r="AM31" s="873"/>
      <c r="AN31" s="949"/>
      <c r="AO31" s="920"/>
    </row>
    <row r="32" spans="1:41" ht="12" customHeight="1" x14ac:dyDescent="0.4">
      <c r="A32" s="872" t="s">
        <v>966</v>
      </c>
      <c r="B32" s="873"/>
      <c r="C32" s="873"/>
      <c r="D32" s="873"/>
      <c r="E32" s="873"/>
      <c r="F32" s="873"/>
      <c r="G32" s="873"/>
      <c r="H32" s="873"/>
      <c r="I32" s="873"/>
      <c r="J32" s="873"/>
      <c r="K32" s="873"/>
      <c r="L32" s="873"/>
      <c r="M32" s="873"/>
      <c r="N32" s="873"/>
      <c r="O32" s="873"/>
      <c r="P32" s="873"/>
      <c r="Q32" s="873"/>
      <c r="R32" s="873"/>
      <c r="S32" s="873"/>
      <c r="T32" s="873"/>
      <c r="U32" s="873"/>
      <c r="V32" s="873"/>
      <c r="W32" s="873"/>
      <c r="X32" s="873"/>
      <c r="Y32" s="873"/>
      <c r="Z32" s="873"/>
      <c r="AA32" s="873"/>
      <c r="AB32" s="873"/>
      <c r="AC32" s="873"/>
      <c r="AD32" s="873"/>
      <c r="AE32" s="873"/>
      <c r="AF32" s="873"/>
      <c r="AG32" s="873"/>
      <c r="AH32" s="873"/>
      <c r="AI32" s="873"/>
      <c r="AJ32" s="873"/>
      <c r="AK32" s="873"/>
      <c r="AL32" s="873"/>
      <c r="AM32" s="873"/>
      <c r="AN32" s="949"/>
      <c r="AO32" s="920"/>
    </row>
    <row r="33" spans="1:41" ht="12" customHeight="1" x14ac:dyDescent="0.4">
      <c r="A33" s="986" t="s">
        <v>967</v>
      </c>
      <c r="B33" s="966"/>
      <c r="C33" s="966"/>
      <c r="D33" s="966"/>
      <c r="E33" s="966"/>
      <c r="F33" s="966"/>
      <c r="G33" s="966" t="s">
        <v>968</v>
      </c>
      <c r="H33" s="966"/>
      <c r="I33" s="966"/>
      <c r="J33" s="875">
        <f>'（最新）アセスメントシート'!D7</f>
        <v>0</v>
      </c>
      <c r="K33" s="875"/>
      <c r="L33" s="875"/>
      <c r="M33" s="875"/>
      <c r="N33" s="875"/>
      <c r="O33" s="875"/>
      <c r="P33" s="875"/>
      <c r="Q33" s="875"/>
      <c r="R33" s="875"/>
      <c r="S33" s="875"/>
      <c r="T33" s="875"/>
      <c r="U33" s="875"/>
      <c r="V33" s="875"/>
      <c r="W33" s="875"/>
      <c r="X33" s="875"/>
      <c r="Y33" s="875"/>
      <c r="Z33" s="875"/>
      <c r="AA33" s="987"/>
      <c r="AB33" s="988" t="s">
        <v>969</v>
      </c>
      <c r="AC33" s="989"/>
      <c r="AD33" s="989"/>
      <c r="AE33" s="990"/>
      <c r="AF33" s="988" t="s">
        <v>970</v>
      </c>
      <c r="AG33" s="989"/>
      <c r="AH33" s="989"/>
      <c r="AI33" s="989"/>
      <c r="AJ33" s="989"/>
      <c r="AK33" s="989"/>
      <c r="AL33" s="989"/>
      <c r="AM33" s="990"/>
      <c r="AN33" s="318"/>
      <c r="AO33" s="305"/>
    </row>
    <row r="34" spans="1:41" ht="12" customHeight="1" x14ac:dyDescent="0.4">
      <c r="A34" s="986"/>
      <c r="B34" s="966"/>
      <c r="C34" s="966"/>
      <c r="D34" s="966"/>
      <c r="E34" s="966"/>
      <c r="F34" s="966"/>
      <c r="G34" s="966"/>
      <c r="H34" s="966"/>
      <c r="I34" s="966"/>
      <c r="J34" s="875"/>
      <c r="K34" s="875"/>
      <c r="L34" s="875"/>
      <c r="M34" s="875"/>
      <c r="N34" s="875"/>
      <c r="O34" s="875"/>
      <c r="P34" s="875"/>
      <c r="Q34" s="875"/>
      <c r="R34" s="875"/>
      <c r="S34" s="875"/>
      <c r="T34" s="875"/>
      <c r="U34" s="875"/>
      <c r="V34" s="875"/>
      <c r="W34" s="875"/>
      <c r="X34" s="875"/>
      <c r="Y34" s="875"/>
      <c r="Z34" s="875"/>
      <c r="AA34" s="987"/>
      <c r="AB34" s="950" t="s">
        <v>971</v>
      </c>
      <c r="AC34" s="951"/>
      <c r="AD34" s="956" t="s">
        <v>972</v>
      </c>
      <c r="AE34" s="957"/>
      <c r="AF34" s="960" t="s">
        <v>973</v>
      </c>
      <c r="AG34" s="961"/>
      <c r="AH34" s="961"/>
      <c r="AI34" s="961"/>
      <c r="AJ34" s="961"/>
      <c r="AK34" s="961"/>
      <c r="AL34" s="961"/>
      <c r="AM34" s="962"/>
      <c r="AN34" s="318"/>
      <c r="AO34" s="305"/>
    </row>
    <row r="35" spans="1:41" ht="12" customHeight="1" x14ac:dyDescent="0.4">
      <c r="A35" s="986"/>
      <c r="B35" s="966"/>
      <c r="C35" s="966"/>
      <c r="D35" s="966"/>
      <c r="E35" s="966"/>
      <c r="F35" s="966"/>
      <c r="G35" s="966"/>
      <c r="H35" s="966"/>
      <c r="I35" s="966"/>
      <c r="J35" s="875"/>
      <c r="K35" s="875"/>
      <c r="L35" s="875"/>
      <c r="M35" s="875"/>
      <c r="N35" s="875"/>
      <c r="O35" s="875"/>
      <c r="P35" s="875"/>
      <c r="Q35" s="875"/>
      <c r="R35" s="875"/>
      <c r="S35" s="875"/>
      <c r="T35" s="875"/>
      <c r="U35" s="875"/>
      <c r="V35" s="875"/>
      <c r="W35" s="875"/>
      <c r="X35" s="875"/>
      <c r="Y35" s="875"/>
      <c r="Z35" s="875"/>
      <c r="AA35" s="987"/>
      <c r="AB35" s="952"/>
      <c r="AC35" s="953"/>
      <c r="AD35" s="958"/>
      <c r="AE35" s="959"/>
      <c r="AF35" s="963" t="s">
        <v>974</v>
      </c>
      <c r="AG35" s="964"/>
      <c r="AH35" s="964"/>
      <c r="AI35" s="964"/>
      <c r="AJ35" s="964"/>
      <c r="AK35" s="964"/>
      <c r="AL35" s="964"/>
      <c r="AM35" s="965"/>
      <c r="AN35" s="318"/>
      <c r="AO35" s="305"/>
    </row>
    <row r="36" spans="1:41" ht="12" customHeight="1" x14ac:dyDescent="0.4">
      <c r="A36" s="986"/>
      <c r="B36" s="966"/>
      <c r="C36" s="966"/>
      <c r="D36" s="966"/>
      <c r="E36" s="966"/>
      <c r="F36" s="966"/>
      <c r="G36" s="966" t="s">
        <v>975</v>
      </c>
      <c r="H36" s="966"/>
      <c r="I36" s="966"/>
      <c r="J36" s="966"/>
      <c r="K36" s="966"/>
      <c r="L36" s="966"/>
      <c r="M36" s="966"/>
      <c r="N36" s="966"/>
      <c r="O36" s="966"/>
      <c r="P36" s="966"/>
      <c r="Q36" s="966"/>
      <c r="R36" s="966"/>
      <c r="S36" s="966"/>
      <c r="T36" s="966"/>
      <c r="U36" s="966"/>
      <c r="V36" s="966"/>
      <c r="W36" s="966"/>
      <c r="X36" s="966"/>
      <c r="Y36" s="966"/>
      <c r="Z36" s="966"/>
      <c r="AA36" s="991"/>
      <c r="AB36" s="952"/>
      <c r="AC36" s="953"/>
      <c r="AD36" s="992" t="s">
        <v>976</v>
      </c>
      <c r="AE36" s="993"/>
      <c r="AF36" s="960" t="s">
        <v>977</v>
      </c>
      <c r="AG36" s="961"/>
      <c r="AH36" s="961"/>
      <c r="AI36" s="961"/>
      <c r="AJ36" s="961"/>
      <c r="AK36" s="961"/>
      <c r="AL36" s="961"/>
      <c r="AM36" s="962"/>
      <c r="AN36" s="318"/>
      <c r="AO36" s="305"/>
    </row>
    <row r="37" spans="1:41" ht="12" customHeight="1" x14ac:dyDescent="0.4">
      <c r="A37" s="986"/>
      <c r="B37" s="966"/>
      <c r="C37" s="966"/>
      <c r="D37" s="966"/>
      <c r="E37" s="966"/>
      <c r="F37" s="966"/>
      <c r="G37" s="966"/>
      <c r="H37" s="966"/>
      <c r="I37" s="966"/>
      <c r="J37" s="966"/>
      <c r="K37" s="966"/>
      <c r="L37" s="966"/>
      <c r="M37" s="966"/>
      <c r="N37" s="966"/>
      <c r="O37" s="966"/>
      <c r="P37" s="966"/>
      <c r="Q37" s="966"/>
      <c r="R37" s="966"/>
      <c r="S37" s="966"/>
      <c r="T37" s="966"/>
      <c r="U37" s="966"/>
      <c r="V37" s="966"/>
      <c r="W37" s="966"/>
      <c r="X37" s="966"/>
      <c r="Y37" s="966"/>
      <c r="Z37" s="966"/>
      <c r="AA37" s="991"/>
      <c r="AB37" s="952"/>
      <c r="AC37" s="953"/>
      <c r="AD37" s="992"/>
      <c r="AE37" s="993"/>
      <c r="AF37" s="994" t="s">
        <v>978</v>
      </c>
      <c r="AG37" s="995"/>
      <c r="AH37" s="995"/>
      <c r="AI37" s="995"/>
      <c r="AJ37" s="995"/>
      <c r="AK37" s="995"/>
      <c r="AL37" s="995"/>
      <c r="AM37" s="996"/>
      <c r="AN37" s="318"/>
      <c r="AO37" s="305"/>
    </row>
    <row r="38" spans="1:41" ht="12" customHeight="1" x14ac:dyDescent="0.4">
      <c r="A38" s="986"/>
      <c r="B38" s="966"/>
      <c r="C38" s="966"/>
      <c r="D38" s="966"/>
      <c r="E38" s="966"/>
      <c r="F38" s="966"/>
      <c r="G38" s="966"/>
      <c r="H38" s="966"/>
      <c r="I38" s="966"/>
      <c r="J38" s="966"/>
      <c r="K38" s="966"/>
      <c r="L38" s="966"/>
      <c r="M38" s="966"/>
      <c r="N38" s="966"/>
      <c r="O38" s="966"/>
      <c r="P38" s="966"/>
      <c r="Q38" s="966"/>
      <c r="R38" s="966"/>
      <c r="S38" s="966"/>
      <c r="T38" s="966"/>
      <c r="U38" s="966"/>
      <c r="V38" s="966"/>
      <c r="W38" s="966"/>
      <c r="X38" s="966"/>
      <c r="Y38" s="966"/>
      <c r="Z38" s="966"/>
      <c r="AA38" s="991"/>
      <c r="AB38" s="952"/>
      <c r="AC38" s="953"/>
      <c r="AD38" s="992"/>
      <c r="AE38" s="993"/>
      <c r="AF38" s="963" t="s">
        <v>974</v>
      </c>
      <c r="AG38" s="964"/>
      <c r="AH38" s="964"/>
      <c r="AI38" s="964"/>
      <c r="AJ38" s="964"/>
      <c r="AK38" s="964"/>
      <c r="AL38" s="964"/>
      <c r="AM38" s="965"/>
      <c r="AN38" s="318"/>
      <c r="AO38" s="305"/>
    </row>
    <row r="39" spans="1:41" ht="12" customHeight="1" x14ac:dyDescent="0.4">
      <c r="A39" s="986"/>
      <c r="B39" s="966"/>
      <c r="C39" s="966"/>
      <c r="D39" s="966"/>
      <c r="E39" s="966"/>
      <c r="F39" s="966"/>
      <c r="G39" s="311"/>
      <c r="H39" s="995" t="s">
        <v>979</v>
      </c>
      <c r="I39" s="995"/>
      <c r="J39" s="995"/>
      <c r="K39" s="995"/>
      <c r="L39" s="995"/>
      <c r="M39" s="995"/>
      <c r="N39" s="995"/>
      <c r="O39" s="995"/>
      <c r="P39" s="995"/>
      <c r="Q39" s="995"/>
      <c r="R39" s="995"/>
      <c r="S39" s="995"/>
      <c r="T39" s="995"/>
      <c r="U39" s="995"/>
      <c r="V39" s="995"/>
      <c r="W39" s="995"/>
      <c r="X39" s="995"/>
      <c r="Y39" s="995"/>
      <c r="Z39" s="995"/>
      <c r="AA39" s="311"/>
      <c r="AB39" s="952"/>
      <c r="AC39" s="953"/>
      <c r="AD39" s="992"/>
      <c r="AE39" s="993"/>
      <c r="AF39" s="994" t="s">
        <v>980</v>
      </c>
      <c r="AG39" s="995"/>
      <c r="AH39" s="995"/>
      <c r="AI39" s="995"/>
      <c r="AJ39" s="995"/>
      <c r="AK39" s="995"/>
      <c r="AL39" s="995"/>
      <c r="AM39" s="996"/>
      <c r="AN39" s="318"/>
      <c r="AO39" s="305"/>
    </row>
    <row r="40" spans="1:41" ht="12" customHeight="1" x14ac:dyDescent="0.4">
      <c r="A40" s="986"/>
      <c r="B40" s="966"/>
      <c r="C40" s="966"/>
      <c r="D40" s="966"/>
      <c r="E40" s="966"/>
      <c r="F40" s="966"/>
      <c r="G40" s="311"/>
      <c r="H40" s="875" t="s">
        <v>981</v>
      </c>
      <c r="I40" s="875"/>
      <c r="J40" s="875"/>
      <c r="K40" s="875"/>
      <c r="L40" s="875"/>
      <c r="M40" s="875"/>
      <c r="N40" s="875"/>
      <c r="O40" s="875"/>
      <c r="P40" s="875"/>
      <c r="Q40" s="875"/>
      <c r="R40" s="875"/>
      <c r="S40" s="875"/>
      <c r="T40" s="875"/>
      <c r="U40" s="875"/>
      <c r="V40" s="875"/>
      <c r="W40" s="875"/>
      <c r="X40" s="875"/>
      <c r="Y40" s="875"/>
      <c r="Z40" s="875"/>
      <c r="AA40" s="320"/>
      <c r="AB40" s="954"/>
      <c r="AC40" s="955"/>
      <c r="AD40" s="958"/>
      <c r="AE40" s="959"/>
      <c r="AF40" s="958" t="s">
        <v>974</v>
      </c>
      <c r="AG40" s="998"/>
      <c r="AH40" s="998"/>
      <c r="AI40" s="998"/>
      <c r="AJ40" s="998"/>
      <c r="AK40" s="998"/>
      <c r="AL40" s="998"/>
      <c r="AM40" s="228"/>
      <c r="AN40" s="949"/>
      <c r="AO40" s="920"/>
    </row>
    <row r="41" spans="1:41" ht="12" customHeight="1" thickBot="1" x14ac:dyDescent="0.45">
      <c r="A41" s="869"/>
      <c r="B41" s="870"/>
      <c r="C41" s="870"/>
      <c r="D41" s="870"/>
      <c r="E41" s="870"/>
      <c r="F41" s="870"/>
      <c r="G41" s="321"/>
      <c r="H41" s="997"/>
      <c r="I41" s="997"/>
      <c r="J41" s="997"/>
      <c r="K41" s="997"/>
      <c r="L41" s="997"/>
      <c r="M41" s="997"/>
      <c r="N41" s="997"/>
      <c r="O41" s="997"/>
      <c r="P41" s="997"/>
      <c r="Q41" s="997"/>
      <c r="R41" s="997"/>
      <c r="S41" s="997"/>
      <c r="T41" s="997"/>
      <c r="U41" s="997"/>
      <c r="V41" s="997"/>
      <c r="W41" s="997"/>
      <c r="X41" s="997"/>
      <c r="Y41" s="997"/>
      <c r="Z41" s="997"/>
      <c r="AA41" s="321"/>
      <c r="AB41" s="321"/>
      <c r="AC41" s="321"/>
      <c r="AD41" s="321"/>
      <c r="AE41" s="321"/>
      <c r="AF41" s="321"/>
      <c r="AG41" s="321"/>
      <c r="AH41" s="321"/>
      <c r="AI41" s="321"/>
      <c r="AJ41" s="321"/>
      <c r="AK41" s="321"/>
      <c r="AL41" s="321"/>
      <c r="AM41" s="321"/>
      <c r="AN41" s="985"/>
      <c r="AO41" s="920"/>
    </row>
    <row r="42" spans="1:41" ht="12" customHeight="1" x14ac:dyDescent="0.4">
      <c r="A42" s="967"/>
      <c r="B42" s="967"/>
      <c r="C42" s="967"/>
      <c r="D42" s="968"/>
      <c r="E42" s="968"/>
      <c r="F42" s="968"/>
      <c r="G42" s="968"/>
      <c r="H42" s="968"/>
      <c r="I42" s="968"/>
      <c r="J42" s="968"/>
      <c r="K42" s="968"/>
      <c r="L42" s="968"/>
      <c r="M42" s="968"/>
      <c r="N42" s="968"/>
      <c r="O42" s="968"/>
      <c r="P42" s="968"/>
      <c r="Q42" s="968"/>
      <c r="R42" s="968"/>
      <c r="S42" s="968"/>
      <c r="T42" s="968"/>
      <c r="U42" s="968"/>
      <c r="V42" s="968"/>
      <c r="W42" s="968"/>
      <c r="X42" s="968"/>
      <c r="Y42" s="968"/>
      <c r="Z42" s="968"/>
      <c r="AA42" s="968"/>
      <c r="AB42" s="968"/>
      <c r="AC42" s="322"/>
      <c r="AD42" s="322"/>
      <c r="AE42" s="322"/>
      <c r="AF42" s="322"/>
      <c r="AG42" s="322"/>
      <c r="AH42" s="322"/>
      <c r="AI42" s="322"/>
      <c r="AJ42" s="322"/>
      <c r="AK42" s="322"/>
      <c r="AL42" s="322"/>
      <c r="AM42" s="322"/>
      <c r="AN42" s="865"/>
      <c r="AO42" s="920"/>
    </row>
    <row r="43" spans="1:41" ht="97.5" customHeight="1" x14ac:dyDescent="0.4">
      <c r="A43" s="969" t="s">
        <v>982</v>
      </c>
      <c r="B43" s="969"/>
      <c r="C43" s="970" t="s">
        <v>983</v>
      </c>
      <c r="D43" s="970"/>
      <c r="E43" s="970"/>
      <c r="F43" s="970"/>
      <c r="G43" s="970"/>
      <c r="H43" s="970"/>
      <c r="I43" s="970"/>
      <c r="J43" s="970"/>
      <c r="K43" s="970"/>
      <c r="L43" s="970"/>
      <c r="M43" s="970"/>
      <c r="N43" s="970"/>
      <c r="O43" s="970"/>
      <c r="P43" s="970"/>
      <c r="Q43" s="970"/>
      <c r="R43" s="970"/>
      <c r="S43" s="970"/>
      <c r="T43" s="970"/>
      <c r="U43" s="970"/>
      <c r="V43" s="970"/>
      <c r="W43" s="970"/>
      <c r="X43" s="970"/>
      <c r="Y43" s="970"/>
      <c r="Z43" s="970"/>
      <c r="AA43" s="970"/>
      <c r="AB43" s="970"/>
      <c r="AC43" s="970"/>
      <c r="AD43" s="322"/>
      <c r="AE43" s="322"/>
      <c r="AF43" s="322"/>
      <c r="AG43" s="322"/>
      <c r="AH43" s="322"/>
      <c r="AI43" s="322"/>
      <c r="AJ43" s="322"/>
      <c r="AK43" s="322"/>
      <c r="AL43" s="322"/>
      <c r="AM43" s="322"/>
      <c r="AN43" s="865"/>
      <c r="AO43" s="920"/>
    </row>
    <row r="44" spans="1:41" ht="13.5" customHeight="1" x14ac:dyDescent="0.4">
      <c r="A44" s="323"/>
      <c r="B44" s="323"/>
      <c r="C44" s="323"/>
      <c r="D44" s="324"/>
      <c r="E44" s="324"/>
      <c r="F44" s="324"/>
      <c r="G44" s="324"/>
      <c r="H44" s="324"/>
      <c r="I44" s="324"/>
      <c r="J44" s="324"/>
      <c r="K44" s="324"/>
      <c r="L44" s="324"/>
      <c r="M44" s="324"/>
      <c r="N44" s="324"/>
      <c r="O44" s="324"/>
      <c r="P44" s="324"/>
      <c r="Q44" s="324"/>
      <c r="R44" s="324"/>
      <c r="S44" s="324"/>
      <c r="T44" s="324"/>
      <c r="U44" s="324"/>
      <c r="V44" s="324"/>
      <c r="W44" s="324"/>
      <c r="X44" s="324"/>
      <c r="Y44" s="324"/>
      <c r="Z44" s="324"/>
      <c r="AA44" s="324"/>
      <c r="AB44" s="324"/>
      <c r="AC44" s="971"/>
      <c r="AD44" s="972"/>
      <c r="AE44" s="973"/>
      <c r="AF44" s="974" t="s">
        <v>984</v>
      </c>
      <c r="AG44" s="975"/>
      <c r="AH44" s="975"/>
      <c r="AI44" s="975"/>
      <c r="AJ44" s="975"/>
      <c r="AK44" s="975"/>
      <c r="AL44" s="975"/>
      <c r="AM44" s="976"/>
      <c r="AN44" s="865"/>
      <c r="AO44" s="920"/>
    </row>
    <row r="45" spans="1:41" ht="13.5" customHeight="1" x14ac:dyDescent="0.4">
      <c r="A45" s="977"/>
      <c r="B45" s="977"/>
      <c r="C45" s="977"/>
      <c r="D45" s="978"/>
      <c r="E45" s="978"/>
      <c r="F45" s="978"/>
      <c r="G45" s="978"/>
      <c r="H45" s="978"/>
      <c r="I45" s="978"/>
      <c r="J45" s="978"/>
      <c r="K45" s="978"/>
      <c r="L45" s="978"/>
      <c r="M45" s="978"/>
      <c r="N45" s="978"/>
      <c r="O45" s="978"/>
      <c r="P45" s="978"/>
      <c r="Q45" s="978"/>
      <c r="R45" s="978"/>
      <c r="S45" s="978"/>
      <c r="T45" s="978"/>
      <c r="U45" s="978"/>
      <c r="V45" s="978"/>
      <c r="W45" s="978"/>
      <c r="X45" s="978"/>
      <c r="Y45" s="978"/>
      <c r="Z45" s="978"/>
      <c r="AA45" s="978"/>
      <c r="AB45" s="978"/>
      <c r="AC45" s="979"/>
      <c r="AD45" s="980"/>
      <c r="AE45" s="981"/>
      <c r="AF45" s="982" t="s">
        <v>985</v>
      </c>
      <c r="AG45" s="983"/>
      <c r="AH45" s="983"/>
      <c r="AI45" s="983"/>
      <c r="AJ45" s="983"/>
      <c r="AK45" s="983"/>
      <c r="AL45" s="983"/>
      <c r="AM45" s="984"/>
      <c r="AN45" s="865"/>
      <c r="AO45" s="920"/>
    </row>
    <row r="46" spans="1:41" hidden="1" x14ac:dyDescent="0.4">
      <c r="A46" s="305"/>
      <c r="B46" s="305"/>
      <c r="C46" s="305"/>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04"/>
    </row>
    <row r="47" spans="1:41" x14ac:dyDescent="0.4">
      <c r="A47" s="325"/>
    </row>
  </sheetData>
  <mergeCells count="85">
    <mergeCell ref="AN40:AN41"/>
    <mergeCell ref="AO40:AO41"/>
    <mergeCell ref="A33:F41"/>
    <mergeCell ref="G33:I35"/>
    <mergeCell ref="J33:AA35"/>
    <mergeCell ref="AB33:AE33"/>
    <mergeCell ref="AF33:AM33"/>
    <mergeCell ref="J36:AA38"/>
    <mergeCell ref="AD36:AE40"/>
    <mergeCell ref="AF36:AM36"/>
    <mergeCell ref="AF37:AM37"/>
    <mergeCell ref="AF38:AM38"/>
    <mergeCell ref="H39:Z39"/>
    <mergeCell ref="AF39:AM39"/>
    <mergeCell ref="H40:Z41"/>
    <mergeCell ref="AF40:AL40"/>
    <mergeCell ref="A42:C42"/>
    <mergeCell ref="D42:AB42"/>
    <mergeCell ref="AN42:AN45"/>
    <mergeCell ref="AO42:AO45"/>
    <mergeCell ref="A43:B43"/>
    <mergeCell ref="C43:AC43"/>
    <mergeCell ref="AC44:AE44"/>
    <mergeCell ref="AF44:AM44"/>
    <mergeCell ref="A45:C45"/>
    <mergeCell ref="D45:AB45"/>
    <mergeCell ref="AC45:AE45"/>
    <mergeCell ref="AF45:AM45"/>
    <mergeCell ref="AB34:AC40"/>
    <mergeCell ref="AD34:AE35"/>
    <mergeCell ref="AF34:AM34"/>
    <mergeCell ref="AF35:AM35"/>
    <mergeCell ref="G36:I38"/>
    <mergeCell ref="A28:AM28"/>
    <mergeCell ref="AN28:AN32"/>
    <mergeCell ref="AO28:AO32"/>
    <mergeCell ref="A29:AM29"/>
    <mergeCell ref="B30:AM30"/>
    <mergeCell ref="A31:AM31"/>
    <mergeCell ref="A32:AM32"/>
    <mergeCell ref="A22:AN22"/>
    <mergeCell ref="AO22:AO27"/>
    <mergeCell ref="B23:AN23"/>
    <mergeCell ref="B24:AN24"/>
    <mergeCell ref="B25:AN25"/>
    <mergeCell ref="B26:AN26"/>
    <mergeCell ref="B27:AN27"/>
    <mergeCell ref="AO17:AO21"/>
    <mergeCell ref="B18:S18"/>
    <mergeCell ref="B19:S19"/>
    <mergeCell ref="T19:AN19"/>
    <mergeCell ref="B20:S20"/>
    <mergeCell ref="T20:AN20"/>
    <mergeCell ref="B21:S21"/>
    <mergeCell ref="T21:AN21"/>
    <mergeCell ref="A17:S17"/>
    <mergeCell ref="T17:AN18"/>
    <mergeCell ref="A14:J14"/>
    <mergeCell ref="K14:K15"/>
    <mergeCell ref="L14:AN14"/>
    <mergeCell ref="L15:S15"/>
    <mergeCell ref="A16:AN16"/>
    <mergeCell ref="U15:AL15"/>
    <mergeCell ref="A13:K13"/>
    <mergeCell ref="L13:AN13"/>
    <mergeCell ref="A5:C5"/>
    <mergeCell ref="D5:K5"/>
    <mergeCell ref="A6:K10"/>
    <mergeCell ref="L7:AN7"/>
    <mergeCell ref="L8:AN8"/>
    <mergeCell ref="L9:AN9"/>
    <mergeCell ref="O10:AK10"/>
    <mergeCell ref="N5:AL6"/>
    <mergeCell ref="A11:AN11"/>
    <mergeCell ref="A12:H12"/>
    <mergeCell ref="I12:K12"/>
    <mergeCell ref="L12:AA12"/>
    <mergeCell ref="AB12:AN12"/>
    <mergeCell ref="A4:K4"/>
    <mergeCell ref="L4:AN4"/>
    <mergeCell ref="A1:AO1"/>
    <mergeCell ref="A2:AE2"/>
    <mergeCell ref="AF2:AN2"/>
    <mergeCell ref="A3:AE3"/>
    <mergeCell ref="AF3:AN3"/>
  </mergeCells>
  <phoneticPr fontId="1"/>
  <pageMargins left="0.78740157480314965" right="0.59055118110236227" top="0.47244094488188981" bottom="0.43307086614173229"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ltText="">
                <anchor>
                  <from>
                    <xdr:col>0</xdr:col>
                    <xdr:colOff>66675</xdr:colOff>
                    <xdr:row>24</xdr:row>
                    <xdr:rowOff>0</xdr:rowOff>
                  </from>
                  <to>
                    <xdr:col>1</xdr:col>
                    <xdr:colOff>66675</xdr:colOff>
                    <xdr:row>25</xdr:row>
                    <xdr:rowOff>0</xdr:rowOff>
                  </to>
                </anchor>
              </controlPr>
            </control>
          </mc:Choice>
        </mc:AlternateContent>
        <mc:AlternateContent xmlns:mc="http://schemas.openxmlformats.org/markup-compatibility/2006">
          <mc:Choice Requires="x14">
            <control shapeId="32770" r:id="rId5" name="Check Box 2">
              <controlPr defaultSize="0" autoFill="0" autoLine="0" autoPict="0" altText="">
                <anchor>
                  <from>
                    <xdr:col>0</xdr:col>
                    <xdr:colOff>66675</xdr:colOff>
                    <xdr:row>26</xdr:row>
                    <xdr:rowOff>0</xdr:rowOff>
                  </from>
                  <to>
                    <xdr:col>1</xdr:col>
                    <xdr:colOff>66675</xdr:colOff>
                    <xdr:row>27</xdr:row>
                    <xdr:rowOff>0</xdr:rowOff>
                  </to>
                </anchor>
              </controlPr>
            </control>
          </mc:Choice>
        </mc:AlternateContent>
        <mc:AlternateContent xmlns:mc="http://schemas.openxmlformats.org/markup-compatibility/2006">
          <mc:Choice Requires="x14">
            <control shapeId="32771" r:id="rId6" name="Check Box 3">
              <controlPr defaultSize="0" autoFill="0" autoLine="0" autoPict="0" altText="">
                <anchor>
                  <from>
                    <xdr:col>0</xdr:col>
                    <xdr:colOff>66675</xdr:colOff>
                    <xdr:row>25</xdr:row>
                    <xdr:rowOff>0</xdr:rowOff>
                  </from>
                  <to>
                    <xdr:col>1</xdr:col>
                    <xdr:colOff>66675</xdr:colOff>
                    <xdr:row>26</xdr:row>
                    <xdr:rowOff>0</xdr:rowOff>
                  </to>
                </anchor>
              </controlPr>
            </control>
          </mc:Choice>
        </mc:AlternateContent>
        <mc:AlternateContent xmlns:mc="http://schemas.openxmlformats.org/markup-compatibility/2006">
          <mc:Choice Requires="x14">
            <control shapeId="32772" r:id="rId7" name="Check Box 4">
              <controlPr defaultSize="0" autoFill="0" autoLine="0" autoPict="0" altText="">
                <anchor>
                  <from>
                    <xdr:col>0</xdr:col>
                    <xdr:colOff>57150</xdr:colOff>
                    <xdr:row>16</xdr:row>
                    <xdr:rowOff>76200</xdr:rowOff>
                  </from>
                  <to>
                    <xdr:col>1</xdr:col>
                    <xdr:colOff>57150</xdr:colOff>
                    <xdr:row>18</xdr:row>
                    <xdr:rowOff>9525</xdr:rowOff>
                  </to>
                </anchor>
              </controlPr>
            </control>
          </mc:Choice>
        </mc:AlternateContent>
        <mc:AlternateContent xmlns:mc="http://schemas.openxmlformats.org/markup-compatibility/2006">
          <mc:Choice Requires="x14">
            <control shapeId="32773" r:id="rId8" name="Check Box 5">
              <controlPr defaultSize="0" autoFill="0" autoLine="0" autoPict="0" altText="">
                <anchor>
                  <from>
                    <xdr:col>0</xdr:col>
                    <xdr:colOff>57150</xdr:colOff>
                    <xdr:row>18</xdr:row>
                    <xdr:rowOff>180975</xdr:rowOff>
                  </from>
                  <to>
                    <xdr:col>1</xdr:col>
                    <xdr:colOff>57150</xdr:colOff>
                    <xdr:row>20</xdr:row>
                    <xdr:rowOff>9525</xdr:rowOff>
                  </to>
                </anchor>
              </controlPr>
            </control>
          </mc:Choice>
        </mc:AlternateContent>
        <mc:AlternateContent xmlns:mc="http://schemas.openxmlformats.org/markup-compatibility/2006">
          <mc:Choice Requires="x14">
            <control shapeId="32774" r:id="rId9" name="Check Box 6">
              <controlPr defaultSize="0" autoFill="0" autoLine="0" autoPict="0" altText="">
                <anchor>
                  <from>
                    <xdr:col>0</xdr:col>
                    <xdr:colOff>57150</xdr:colOff>
                    <xdr:row>17</xdr:row>
                    <xdr:rowOff>180975</xdr:rowOff>
                  </from>
                  <to>
                    <xdr:col>1</xdr:col>
                    <xdr:colOff>57150</xdr:colOff>
                    <xdr:row>19</xdr:row>
                    <xdr:rowOff>9525</xdr:rowOff>
                  </to>
                </anchor>
              </controlPr>
            </control>
          </mc:Choice>
        </mc:AlternateContent>
        <mc:AlternateContent xmlns:mc="http://schemas.openxmlformats.org/markup-compatibility/2006">
          <mc:Choice Requires="x14">
            <control shapeId="32775" r:id="rId10" name="Check Box 7">
              <controlPr defaultSize="0" autoFill="0" autoLine="0" autoPict="0" altText="">
                <anchor>
                  <from>
                    <xdr:col>0</xdr:col>
                    <xdr:colOff>57150</xdr:colOff>
                    <xdr:row>19</xdr:row>
                    <xdr:rowOff>171450</xdr:rowOff>
                  </from>
                  <to>
                    <xdr:col>1</xdr:col>
                    <xdr:colOff>57150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7760-E4A5-4D36-A99B-AA186BCC1156}">
  <sheetPr codeName="Sheet22">
    <tabColor theme="9" tint="0.79998168889431442"/>
  </sheetPr>
  <dimension ref="A1:AO50"/>
  <sheetViews>
    <sheetView showGridLines="0" topLeftCell="A4" zoomScaleNormal="100" zoomScaleSheetLayoutView="100" workbookViewId="0">
      <selection activeCell="AU14" sqref="AU14"/>
    </sheetView>
  </sheetViews>
  <sheetFormatPr defaultRowHeight="18.75" x14ac:dyDescent="0.4"/>
  <cols>
    <col min="1" max="9" width="3.375" customWidth="1"/>
    <col min="10" max="10" width="3.5" customWidth="1"/>
    <col min="11" max="11" width="3" customWidth="1"/>
    <col min="12" max="29" width="1.5" customWidth="1"/>
    <col min="30" max="30" width="1.75" customWidth="1"/>
    <col min="31" max="40" width="1.5" customWidth="1"/>
    <col min="41" max="41" width="0" hidden="1" customWidth="1"/>
  </cols>
  <sheetData>
    <row r="1" spans="1:41" ht="34.5" customHeight="1" thickBot="1" x14ac:dyDescent="0.45">
      <c r="A1" s="1009" t="s">
        <v>994</v>
      </c>
      <c r="B1" s="1010"/>
      <c r="C1" s="1010"/>
      <c r="D1" s="1010"/>
      <c r="E1" s="1010"/>
      <c r="F1" s="1010"/>
      <c r="G1" s="1010"/>
      <c r="H1" s="1010"/>
      <c r="I1" s="1010"/>
      <c r="J1" s="1010"/>
      <c r="K1" s="1010"/>
      <c r="L1" s="1010"/>
      <c r="M1" s="1010"/>
      <c r="N1" s="1010"/>
      <c r="O1" s="1010"/>
      <c r="P1" s="1010"/>
      <c r="Q1" s="1010"/>
      <c r="R1" s="1010"/>
      <c r="S1" s="1010"/>
      <c r="T1" s="1010"/>
      <c r="U1" s="1010"/>
      <c r="V1" s="1010"/>
      <c r="W1" s="1010"/>
      <c r="X1" s="1010"/>
      <c r="Y1" s="1010"/>
      <c r="Z1" s="1010"/>
      <c r="AA1" s="1010"/>
      <c r="AB1" s="1010"/>
      <c r="AC1" s="1010"/>
      <c r="AD1" s="1010"/>
      <c r="AE1" s="1010"/>
      <c r="AF1" s="1010"/>
      <c r="AG1" s="1010"/>
      <c r="AH1" s="1010"/>
      <c r="AI1" s="1010"/>
      <c r="AJ1" s="1010"/>
      <c r="AK1" s="1010"/>
      <c r="AL1" s="1010"/>
      <c r="AM1" s="1010"/>
      <c r="AN1" s="1010"/>
      <c r="AO1" s="1010"/>
    </row>
    <row r="2" spans="1:41" ht="15" customHeight="1" x14ac:dyDescent="0.4">
      <c r="A2" s="865"/>
      <c r="B2" s="865"/>
      <c r="C2" s="865"/>
      <c r="D2" s="865"/>
      <c r="E2" s="865"/>
      <c r="F2" s="865"/>
      <c r="G2" s="865"/>
      <c r="H2" s="865"/>
      <c r="I2" s="865"/>
      <c r="J2" s="865"/>
      <c r="K2" s="865"/>
      <c r="L2" s="865"/>
      <c r="M2" s="865"/>
      <c r="N2" s="865"/>
      <c r="O2" s="865"/>
      <c r="P2" s="865"/>
      <c r="Q2" s="865"/>
      <c r="R2" s="865"/>
      <c r="S2" s="865"/>
      <c r="T2" s="865"/>
      <c r="U2" s="865"/>
      <c r="V2" s="865"/>
      <c r="W2" s="865"/>
      <c r="X2" s="865"/>
      <c r="Y2" s="865"/>
      <c r="Z2" s="865"/>
      <c r="AA2" s="865"/>
      <c r="AB2" s="865"/>
      <c r="AC2" s="865"/>
      <c r="AD2" s="865"/>
      <c r="AE2" s="865"/>
      <c r="AF2" s="1011" t="s">
        <v>944</v>
      </c>
      <c r="AG2" s="1012"/>
      <c r="AH2" s="1012"/>
      <c r="AI2" s="1012"/>
      <c r="AJ2" s="1012"/>
      <c r="AK2" s="1012"/>
      <c r="AL2" s="1012"/>
      <c r="AM2" s="1012"/>
      <c r="AN2" s="1013"/>
      <c r="AO2" s="305"/>
    </row>
    <row r="3" spans="1:41" ht="18" customHeight="1" thickBot="1" x14ac:dyDescent="0.45">
      <c r="A3" s="865"/>
      <c r="B3" s="865"/>
      <c r="C3" s="865"/>
      <c r="D3" s="865"/>
      <c r="E3" s="865"/>
      <c r="F3" s="865"/>
      <c r="G3" s="865"/>
      <c r="H3" s="865"/>
      <c r="I3" s="865"/>
      <c r="J3" s="865"/>
      <c r="K3" s="865"/>
      <c r="L3" s="865"/>
      <c r="M3" s="865"/>
      <c r="N3" s="865"/>
      <c r="O3" s="865"/>
      <c r="P3" s="865"/>
      <c r="Q3" s="865"/>
      <c r="R3" s="865"/>
      <c r="S3" s="865"/>
      <c r="T3" s="865"/>
      <c r="U3" s="865"/>
      <c r="V3" s="865"/>
      <c r="W3" s="865"/>
      <c r="X3" s="865"/>
      <c r="Y3" s="865"/>
      <c r="Z3" s="865"/>
      <c r="AA3" s="865"/>
      <c r="AB3" s="865"/>
      <c r="AC3" s="865"/>
      <c r="AD3" s="865"/>
      <c r="AE3" s="865"/>
      <c r="AF3" s="869" t="s">
        <v>945</v>
      </c>
      <c r="AG3" s="870"/>
      <c r="AH3" s="870"/>
      <c r="AI3" s="870"/>
      <c r="AJ3" s="870"/>
      <c r="AK3" s="870"/>
      <c r="AL3" s="870"/>
      <c r="AM3" s="870"/>
      <c r="AN3" s="871"/>
      <c r="AO3" s="305"/>
    </row>
    <row r="4" spans="1:41" ht="13.5" customHeight="1" x14ac:dyDescent="0.4">
      <c r="A4" s="1001" t="s">
        <v>946</v>
      </c>
      <c r="B4" s="1002"/>
      <c r="C4" s="1002"/>
      <c r="D4" s="1002"/>
      <c r="E4" s="1002"/>
      <c r="F4" s="1002"/>
      <c r="G4" s="1002"/>
      <c r="H4" s="1002"/>
      <c r="I4" s="1002"/>
      <c r="J4" s="1002"/>
      <c r="K4" s="1002"/>
      <c r="L4" s="1003" t="s">
        <v>947</v>
      </c>
      <c r="M4" s="1004"/>
      <c r="N4" s="1004"/>
      <c r="O4" s="1004"/>
      <c r="P4" s="1004"/>
      <c r="Q4" s="1004"/>
      <c r="R4" s="1004"/>
      <c r="S4" s="1004"/>
      <c r="T4" s="1004"/>
      <c r="U4" s="1004"/>
      <c r="V4" s="1004"/>
      <c r="W4" s="1004"/>
      <c r="X4" s="1004"/>
      <c r="Y4" s="1004"/>
      <c r="Z4" s="1004"/>
      <c r="AA4" s="1004"/>
      <c r="AB4" s="1004"/>
      <c r="AC4" s="1004"/>
      <c r="AD4" s="1004"/>
      <c r="AE4" s="1004"/>
      <c r="AF4" s="1004"/>
      <c r="AG4" s="1004"/>
      <c r="AH4" s="1004"/>
      <c r="AI4" s="1004"/>
      <c r="AJ4" s="1004"/>
      <c r="AK4" s="1004"/>
      <c r="AL4" s="1004"/>
      <c r="AM4" s="1004"/>
      <c r="AN4" s="1005"/>
      <c r="AO4" s="305"/>
    </row>
    <row r="5" spans="1:41" ht="16.5" customHeight="1" x14ac:dyDescent="0.4">
      <c r="A5" s="877" t="s">
        <v>948</v>
      </c>
      <c r="B5" s="878"/>
      <c r="C5" s="878"/>
      <c r="D5" s="878" t="str">
        <f>PHONETIC('[2]（最新）アセスメントシート'!D4)</f>
        <v/>
      </c>
      <c r="E5" s="878"/>
      <c r="F5" s="878"/>
      <c r="G5" s="878"/>
      <c r="H5" s="878"/>
      <c r="I5" s="878"/>
      <c r="J5" s="878"/>
      <c r="K5" s="879"/>
      <c r="L5" s="329"/>
      <c r="M5" s="330"/>
      <c r="N5" s="890" t="str">
        <f>DBCS('[2]（最新）アセスメントシート'!E10)</f>
        <v/>
      </c>
      <c r="O5" s="890"/>
      <c r="P5" s="890"/>
      <c r="Q5" s="890"/>
      <c r="R5" s="890"/>
      <c r="S5" s="890"/>
      <c r="T5" s="890"/>
      <c r="U5" s="890"/>
      <c r="V5" s="890"/>
      <c r="W5" s="890"/>
      <c r="X5" s="890"/>
      <c r="Y5" s="890"/>
      <c r="Z5" s="890"/>
      <c r="AA5" s="890"/>
      <c r="AB5" s="890"/>
      <c r="AC5" s="890"/>
      <c r="AD5" s="890"/>
      <c r="AE5" s="890"/>
      <c r="AF5" s="890"/>
      <c r="AG5" s="890"/>
      <c r="AH5" s="890"/>
      <c r="AI5" s="890"/>
      <c r="AJ5" s="890"/>
      <c r="AK5" s="890"/>
      <c r="AL5" s="890"/>
      <c r="AM5" s="330"/>
      <c r="AN5" s="331"/>
      <c r="AO5" s="305"/>
    </row>
    <row r="6" spans="1:41" ht="8.25" customHeight="1" x14ac:dyDescent="0.4">
      <c r="A6" s="880">
        <f>'（最新）アセスメントシート'!D5</f>
        <v>0</v>
      </c>
      <c r="B6" s="881"/>
      <c r="C6" s="881"/>
      <c r="D6" s="881"/>
      <c r="E6" s="881"/>
      <c r="F6" s="881"/>
      <c r="G6" s="881"/>
      <c r="H6" s="881"/>
      <c r="I6" s="881"/>
      <c r="J6" s="881"/>
      <c r="K6" s="882"/>
      <c r="L6" s="332"/>
      <c r="M6" s="333"/>
      <c r="N6" s="891"/>
      <c r="O6" s="891"/>
      <c r="P6" s="891"/>
      <c r="Q6" s="891"/>
      <c r="R6" s="891"/>
      <c r="S6" s="891"/>
      <c r="T6" s="891"/>
      <c r="U6" s="891"/>
      <c r="V6" s="891"/>
      <c r="W6" s="891"/>
      <c r="X6" s="891"/>
      <c r="Y6" s="891"/>
      <c r="Z6" s="891"/>
      <c r="AA6" s="891"/>
      <c r="AB6" s="891"/>
      <c r="AC6" s="891"/>
      <c r="AD6" s="891"/>
      <c r="AE6" s="891"/>
      <c r="AF6" s="891"/>
      <c r="AG6" s="891"/>
      <c r="AH6" s="891"/>
      <c r="AI6" s="891"/>
      <c r="AJ6" s="891"/>
      <c r="AK6" s="891"/>
      <c r="AL6" s="891"/>
      <c r="AM6" s="333"/>
      <c r="AN6" s="334"/>
      <c r="AO6" s="305"/>
    </row>
    <row r="7" spans="1:41" ht="13.5" customHeight="1" x14ac:dyDescent="0.4">
      <c r="A7" s="880"/>
      <c r="B7" s="881"/>
      <c r="C7" s="881"/>
      <c r="D7" s="881"/>
      <c r="E7" s="881"/>
      <c r="F7" s="881"/>
      <c r="G7" s="881"/>
      <c r="H7" s="881"/>
      <c r="I7" s="881"/>
      <c r="J7" s="881"/>
      <c r="K7" s="882"/>
      <c r="L7" s="1014" t="s">
        <v>949</v>
      </c>
      <c r="M7" s="1015"/>
      <c r="N7" s="1015"/>
      <c r="O7" s="1015"/>
      <c r="P7" s="1015"/>
      <c r="Q7" s="1015"/>
      <c r="R7" s="1015"/>
      <c r="S7" s="1015"/>
      <c r="T7" s="1015"/>
      <c r="U7" s="1015"/>
      <c r="V7" s="1015"/>
      <c r="W7" s="1015"/>
      <c r="X7" s="1015"/>
      <c r="Y7" s="1015"/>
      <c r="Z7" s="1015"/>
      <c r="AA7" s="1015"/>
      <c r="AB7" s="1015"/>
      <c r="AC7" s="1015"/>
      <c r="AD7" s="1015"/>
      <c r="AE7" s="1015"/>
      <c r="AF7" s="1015"/>
      <c r="AG7" s="1015"/>
      <c r="AH7" s="1015"/>
      <c r="AI7" s="1015"/>
      <c r="AJ7" s="1015"/>
      <c r="AK7" s="1015"/>
      <c r="AL7" s="1015"/>
      <c r="AM7" s="1015"/>
      <c r="AN7" s="1016"/>
      <c r="AO7" s="305"/>
    </row>
    <row r="8" spans="1:41" ht="21.2" customHeight="1" x14ac:dyDescent="0.4">
      <c r="A8" s="880"/>
      <c r="B8" s="881"/>
      <c r="C8" s="881"/>
      <c r="D8" s="881"/>
      <c r="E8" s="881"/>
      <c r="F8" s="881"/>
      <c r="G8" s="881"/>
      <c r="H8" s="881"/>
      <c r="I8" s="881"/>
      <c r="J8" s="881"/>
      <c r="K8" s="882"/>
      <c r="L8" s="886"/>
      <c r="M8" s="887"/>
      <c r="N8" s="887"/>
      <c r="O8" s="887"/>
      <c r="P8" s="887"/>
      <c r="Q8" s="887"/>
      <c r="R8" s="887"/>
      <c r="S8" s="887"/>
      <c r="T8" s="887"/>
      <c r="U8" s="887"/>
      <c r="V8" s="887"/>
      <c r="W8" s="887"/>
      <c r="X8" s="887"/>
      <c r="Y8" s="887"/>
      <c r="Z8" s="887"/>
      <c r="AA8" s="887"/>
      <c r="AB8" s="887"/>
      <c r="AC8" s="887"/>
      <c r="AD8" s="887"/>
      <c r="AE8" s="887"/>
      <c r="AF8" s="887"/>
      <c r="AG8" s="887"/>
      <c r="AH8" s="887"/>
      <c r="AI8" s="887"/>
      <c r="AJ8" s="887"/>
      <c r="AK8" s="887"/>
      <c r="AL8" s="887"/>
      <c r="AM8" s="887"/>
      <c r="AN8" s="888"/>
      <c r="AO8" s="305"/>
    </row>
    <row r="9" spans="1:41" ht="13.5" customHeight="1" x14ac:dyDescent="0.4">
      <c r="A9" s="880"/>
      <c r="B9" s="881"/>
      <c r="C9" s="881"/>
      <c r="D9" s="881"/>
      <c r="E9" s="881"/>
      <c r="F9" s="881"/>
      <c r="G9" s="881"/>
      <c r="H9" s="881"/>
      <c r="I9" s="881"/>
      <c r="J9" s="881"/>
      <c r="K9" s="882"/>
      <c r="L9" s="1014" t="s">
        <v>950</v>
      </c>
      <c r="M9" s="1015"/>
      <c r="N9" s="1015"/>
      <c r="O9" s="1015"/>
      <c r="P9" s="1015"/>
      <c r="Q9" s="1015"/>
      <c r="R9" s="1015"/>
      <c r="S9" s="1015"/>
      <c r="T9" s="1015"/>
      <c r="U9" s="1015"/>
      <c r="V9" s="1015"/>
      <c r="W9" s="1015"/>
      <c r="X9" s="1015"/>
      <c r="Y9" s="1015"/>
      <c r="Z9" s="1015"/>
      <c r="AA9" s="1015"/>
      <c r="AB9" s="1015"/>
      <c r="AC9" s="1015"/>
      <c r="AD9" s="1015"/>
      <c r="AE9" s="1015"/>
      <c r="AF9" s="1015"/>
      <c r="AG9" s="1015"/>
      <c r="AH9" s="1015"/>
      <c r="AI9" s="1015"/>
      <c r="AJ9" s="1015"/>
      <c r="AK9" s="1015"/>
      <c r="AL9" s="1015"/>
      <c r="AM9" s="1015"/>
      <c r="AN9" s="1016"/>
      <c r="AO9" s="305"/>
    </row>
    <row r="10" spans="1:41" ht="21" customHeight="1" x14ac:dyDescent="0.4">
      <c r="A10" s="880"/>
      <c r="B10" s="881"/>
      <c r="C10" s="881"/>
      <c r="D10" s="881"/>
      <c r="E10" s="881"/>
      <c r="F10" s="881"/>
      <c r="G10" s="881"/>
      <c r="H10" s="881"/>
      <c r="I10" s="881"/>
      <c r="J10" s="881"/>
      <c r="K10" s="882"/>
      <c r="L10" s="326"/>
      <c r="M10" s="327"/>
      <c r="N10" s="327"/>
      <c r="O10" s="889">
        <f>'（最新）アセスメントシート'!X5</f>
        <v>0</v>
      </c>
      <c r="P10" s="889"/>
      <c r="Q10" s="889"/>
      <c r="R10" s="889"/>
      <c r="S10" s="889"/>
      <c r="T10" s="889"/>
      <c r="U10" s="889"/>
      <c r="V10" s="889"/>
      <c r="W10" s="889"/>
      <c r="X10" s="889"/>
      <c r="Y10" s="889"/>
      <c r="Z10" s="889"/>
      <c r="AA10" s="889"/>
      <c r="AB10" s="889"/>
      <c r="AC10" s="889"/>
      <c r="AD10" s="889"/>
      <c r="AE10" s="889"/>
      <c r="AF10" s="889"/>
      <c r="AG10" s="889"/>
      <c r="AH10" s="889"/>
      <c r="AI10" s="889"/>
      <c r="AJ10" s="889"/>
      <c r="AK10" s="889"/>
      <c r="AL10" s="327"/>
      <c r="AM10" s="327"/>
      <c r="AN10" s="328"/>
      <c r="AO10" s="305"/>
    </row>
    <row r="11" spans="1:41" ht="13.5" customHeight="1" x14ac:dyDescent="0.4">
      <c r="A11" s="1017" t="s">
        <v>990</v>
      </c>
      <c r="B11" s="1018"/>
      <c r="C11" s="1018"/>
      <c r="D11" s="1018"/>
      <c r="E11" s="1018"/>
      <c r="F11" s="1018"/>
      <c r="G11" s="1018"/>
      <c r="H11" s="1018"/>
      <c r="I11" s="1018"/>
      <c r="J11" s="1018"/>
      <c r="K11" s="1018"/>
      <c r="L11" s="1018"/>
      <c r="M11" s="1018"/>
      <c r="N11" s="1018"/>
      <c r="O11" s="1018"/>
      <c r="P11" s="1018"/>
      <c r="Q11" s="1018"/>
      <c r="R11" s="1018"/>
      <c r="S11" s="1018"/>
      <c r="T11" s="1018"/>
      <c r="U11" s="1018"/>
      <c r="V11" s="1018"/>
      <c r="W11" s="1018"/>
      <c r="X11" s="1018"/>
      <c r="Y11" s="1018"/>
      <c r="Z11" s="1018"/>
      <c r="AA11" s="1018"/>
      <c r="AB11" s="1018"/>
      <c r="AC11" s="1018"/>
      <c r="AD11" s="1018"/>
      <c r="AE11" s="1018"/>
      <c r="AF11" s="1018"/>
      <c r="AG11" s="1018"/>
      <c r="AH11" s="1018"/>
      <c r="AI11" s="1018"/>
      <c r="AJ11" s="1018"/>
      <c r="AK11" s="1018"/>
      <c r="AL11" s="1018"/>
      <c r="AM11" s="1018"/>
      <c r="AN11" s="1019"/>
      <c r="AO11" s="305"/>
    </row>
    <row r="12" spans="1:41" ht="15.75" customHeight="1" x14ac:dyDescent="0.4">
      <c r="A12" s="1020" t="s">
        <v>991</v>
      </c>
      <c r="B12" s="1021"/>
      <c r="C12" s="1021"/>
      <c r="D12" s="1021"/>
      <c r="E12" s="1021"/>
      <c r="F12" s="1021"/>
      <c r="G12" s="1021"/>
      <c r="H12" s="1022"/>
      <c r="I12" s="898"/>
      <c r="J12" s="899"/>
      <c r="K12" s="900"/>
      <c r="L12" s="1041" t="s">
        <v>992</v>
      </c>
      <c r="M12" s="1042"/>
      <c r="N12" s="1042"/>
      <c r="O12" s="1042"/>
      <c r="P12" s="1042"/>
      <c r="Q12" s="1042"/>
      <c r="R12" s="1042"/>
      <c r="S12" s="1042"/>
      <c r="T12" s="1042"/>
      <c r="U12" s="1042"/>
      <c r="V12" s="1042"/>
      <c r="W12" s="1042"/>
      <c r="X12" s="1042"/>
      <c r="Y12" s="1042"/>
      <c r="Z12" s="1042"/>
      <c r="AA12" s="1043"/>
      <c r="AB12" s="999" t="s">
        <v>1052</v>
      </c>
      <c r="AC12" s="1000"/>
      <c r="AD12" s="1026" t="str">
        <f>_xlfn.IFS(A13="","",A13="津中部西地域包括支援センター","514-0826",A13="津中部東地域包括支援センター","514-0812",A13="津中央地域包括支援センター","514-0028",A13="津中部中地域包括支援センター","514-0063",A13="津中部北地域包括支援センター","514-0002",A13="津中部南地域包括支援センター","514-0817")</f>
        <v>514-0817</v>
      </c>
      <c r="AE12" s="1026"/>
      <c r="AF12" s="1026"/>
      <c r="AG12" s="1026"/>
      <c r="AH12" s="1026"/>
      <c r="AI12" s="1026"/>
      <c r="AJ12" s="1026"/>
      <c r="AK12" s="1026"/>
      <c r="AL12" s="1026"/>
      <c r="AM12" s="1026"/>
      <c r="AN12" s="1027"/>
      <c r="AO12" s="305"/>
    </row>
    <row r="13" spans="1:41" ht="24" customHeight="1" x14ac:dyDescent="0.4">
      <c r="A13" s="872" t="s">
        <v>1055</v>
      </c>
      <c r="B13" s="873"/>
      <c r="C13" s="873"/>
      <c r="D13" s="873"/>
      <c r="E13" s="873"/>
      <c r="F13" s="873"/>
      <c r="G13" s="873"/>
      <c r="H13" s="873"/>
      <c r="I13" s="873"/>
      <c r="J13" s="873"/>
      <c r="K13" s="874"/>
      <c r="L13" s="875" t="str">
        <f>_xlfn.IFS(A13="","",A13="津中部西地域包括支援センター","津市野田2059番地",A13="津中部東地域包括支援センター","津市津興2947番地",A13="津中央地域包括支援センター","津市東丸之内4番21号",A13="津中部中地域包括支援センター","津市渋見町554番地69",A13="津中部北地域包括支援センター","津市島崎町97番地1",A13="津中部南地域包括支援センター","津市高茶屋小森町4152番地")</f>
        <v>津市高茶屋小森町4152番地</v>
      </c>
      <c r="M13" s="875"/>
      <c r="N13" s="875"/>
      <c r="O13" s="875"/>
      <c r="P13" s="875"/>
      <c r="Q13" s="875"/>
      <c r="R13" s="875"/>
      <c r="S13" s="875"/>
      <c r="T13" s="875"/>
      <c r="U13" s="875"/>
      <c r="V13" s="875"/>
      <c r="W13" s="875"/>
      <c r="X13" s="875"/>
      <c r="Y13" s="875"/>
      <c r="Z13" s="875"/>
      <c r="AA13" s="875"/>
      <c r="AB13" s="875"/>
      <c r="AC13" s="875"/>
      <c r="AD13" s="875"/>
      <c r="AE13" s="875"/>
      <c r="AF13" s="875"/>
      <c r="AG13" s="875"/>
      <c r="AH13" s="875"/>
      <c r="AI13" s="875"/>
      <c r="AJ13" s="875"/>
      <c r="AK13" s="875"/>
      <c r="AL13" s="875"/>
      <c r="AM13" s="875"/>
      <c r="AN13" s="876"/>
      <c r="AO13" s="305"/>
    </row>
    <row r="14" spans="1:41" ht="15.75" customHeight="1" x14ac:dyDescent="0.4">
      <c r="A14" s="1006" t="s">
        <v>999</v>
      </c>
      <c r="B14" s="1007"/>
      <c r="C14" s="1007"/>
      <c r="D14" s="1007"/>
      <c r="E14" s="1007"/>
      <c r="F14" s="1007"/>
      <c r="G14" s="1007"/>
      <c r="H14" s="1007"/>
      <c r="I14" s="1007"/>
      <c r="J14" s="1008"/>
      <c r="K14" s="910"/>
      <c r="L14" s="356" t="s">
        <v>1053</v>
      </c>
      <c r="M14" s="338"/>
      <c r="N14" s="338"/>
      <c r="O14" s="338"/>
      <c r="P14" s="338"/>
      <c r="Q14" s="966" t="s">
        <v>1054</v>
      </c>
      <c r="R14" s="966"/>
      <c r="S14" s="966"/>
      <c r="T14" s="966"/>
      <c r="U14" s="966"/>
      <c r="V14" s="966"/>
      <c r="W14" s="966"/>
      <c r="X14" s="966" t="str">
        <f>_xlfn.IFS(A13="","",A13="津中部西地域包括支援センター","059-237-2018",A13="津中部東地域包括支援センター","059-213-8115",A13="津中央地域包括支援センター","059-253-5225",A13="津中部中地域包括支援センター","059-271-6535",A13="津中部北地域包括支援センター","059-213-3181",A13="津中部南地域包括支援センター","059-238-6511")</f>
        <v>059-238-6511</v>
      </c>
      <c r="Y14" s="966"/>
      <c r="Z14" s="966"/>
      <c r="AA14" s="966"/>
      <c r="AB14" s="966"/>
      <c r="AC14" s="966"/>
      <c r="AD14" s="966"/>
      <c r="AE14" s="966"/>
      <c r="AF14" s="966"/>
      <c r="AG14" s="966"/>
      <c r="AH14" s="966"/>
      <c r="AI14" s="966"/>
      <c r="AJ14" s="966"/>
      <c r="AK14" s="966"/>
      <c r="AL14" s="338"/>
      <c r="AM14" s="338"/>
      <c r="AN14" s="335"/>
      <c r="AO14" s="305"/>
    </row>
    <row r="15" spans="1:41" ht="26.25" customHeight="1" x14ac:dyDescent="0.4">
      <c r="A15" s="308">
        <v>2</v>
      </c>
      <c r="B15" s="309">
        <v>4</v>
      </c>
      <c r="C15" s="310">
        <v>0</v>
      </c>
      <c r="D15" s="309">
        <v>0</v>
      </c>
      <c r="E15" s="310">
        <v>5</v>
      </c>
      <c r="F15" s="309">
        <v>0</v>
      </c>
      <c r="G15" s="309">
        <v>0</v>
      </c>
      <c r="H15" s="310" t="str">
        <f>_xlfn.IFS(A13="","",A13="津中部西地域包括支援センター","0",A13="津中部東地域包括支援センター","0",A13="津中央地域包括支援センター","1",A13="津中部中地域包括支援センター","1",A13="津中部北地域包括支援センター","0",A13="津中部南地域包括支援センター","0")</f>
        <v>0</v>
      </c>
      <c r="I15" s="309" t="str">
        <f>_xlfn.IFS(A13="","",A13="津中部西地域包括支援センター","5",A13="津中部東地域包括支援センター","9",A13="津中央地域包括支援センター","1",A13="津中部中地域包括支援センター","0",A13="津中部北地域包括支援センター","8",A13="津中部南地域包括支援センター","6")</f>
        <v>6</v>
      </c>
      <c r="J15" s="310" t="str">
        <f>_xlfn.IFS(A13="","",A13="津中部西地域包括支援センター","0",A13="津中部東地域包括支援センター","2",A13="津中央地域包括支援センター","8",A13="津中部中地域包括支援センター","0",A13="津中部北地域包括支援センター","4",A13="津中部南地域包括支援センター","8")</f>
        <v>8</v>
      </c>
      <c r="K15" s="911"/>
      <c r="L15" s="915" t="s">
        <v>959</v>
      </c>
      <c r="M15" s="916"/>
      <c r="N15" s="916"/>
      <c r="O15" s="916"/>
      <c r="P15" s="916"/>
      <c r="Q15" s="916"/>
      <c r="R15" s="916"/>
      <c r="S15" s="916"/>
      <c r="T15" s="311"/>
      <c r="U15" s="916"/>
      <c r="V15" s="916"/>
      <c r="W15" s="916"/>
      <c r="X15" s="916"/>
      <c r="Y15" s="916"/>
      <c r="Z15" s="916"/>
      <c r="AA15" s="916"/>
      <c r="AB15" s="916"/>
      <c r="AC15" s="916"/>
      <c r="AD15" s="916"/>
      <c r="AE15" s="916"/>
      <c r="AF15" s="916"/>
      <c r="AG15" s="916"/>
      <c r="AH15" s="916"/>
      <c r="AI15" s="916"/>
      <c r="AJ15" s="916"/>
      <c r="AK15" s="916"/>
      <c r="AL15" s="916"/>
      <c r="AM15" s="311"/>
      <c r="AN15" s="312"/>
      <c r="AO15" s="305"/>
    </row>
    <row r="16" spans="1:41" ht="25.5" customHeight="1" x14ac:dyDescent="0.4">
      <c r="A16" s="1017" t="s">
        <v>993</v>
      </c>
      <c r="B16" s="1018"/>
      <c r="C16" s="1018"/>
      <c r="D16" s="1018"/>
      <c r="E16" s="1018"/>
      <c r="F16" s="1018"/>
      <c r="G16" s="1018"/>
      <c r="H16" s="1018"/>
      <c r="I16" s="1018"/>
      <c r="J16" s="1018"/>
      <c r="K16" s="1018"/>
      <c r="L16" s="1018"/>
      <c r="M16" s="1018"/>
      <c r="N16" s="1018"/>
      <c r="O16" s="1018"/>
      <c r="P16" s="1018"/>
      <c r="Q16" s="1018"/>
      <c r="R16" s="1018"/>
      <c r="S16" s="1018"/>
      <c r="T16" s="1018"/>
      <c r="U16" s="1018"/>
      <c r="V16" s="1018"/>
      <c r="W16" s="1018"/>
      <c r="X16" s="1018"/>
      <c r="Y16" s="1018"/>
      <c r="Z16" s="1018"/>
      <c r="AA16" s="1018"/>
      <c r="AB16" s="1018"/>
      <c r="AC16" s="1018"/>
      <c r="AD16" s="1018"/>
      <c r="AE16" s="1018"/>
      <c r="AF16" s="1018"/>
      <c r="AG16" s="1018"/>
      <c r="AH16" s="1018"/>
      <c r="AI16" s="1018"/>
      <c r="AJ16" s="1018"/>
      <c r="AK16" s="1018"/>
      <c r="AL16" s="1018"/>
      <c r="AM16" s="1018"/>
      <c r="AN16" s="1019"/>
      <c r="AO16" s="305"/>
    </row>
    <row r="17" spans="1:41" ht="15.75" customHeight="1" x14ac:dyDescent="0.4">
      <c r="A17" s="1020" t="s">
        <v>998</v>
      </c>
      <c r="B17" s="1021"/>
      <c r="C17" s="1021"/>
      <c r="D17" s="1021"/>
      <c r="E17" s="1021"/>
      <c r="F17" s="1021"/>
      <c r="G17" s="1021"/>
      <c r="H17" s="1022"/>
      <c r="I17" s="898"/>
      <c r="J17" s="899"/>
      <c r="K17" s="900"/>
      <c r="L17" s="1023" t="s">
        <v>997</v>
      </c>
      <c r="M17" s="1024"/>
      <c r="N17" s="1024"/>
      <c r="O17" s="1024"/>
      <c r="P17" s="1024"/>
      <c r="Q17" s="1024"/>
      <c r="R17" s="1024"/>
      <c r="S17" s="1024"/>
      <c r="T17" s="1024"/>
      <c r="U17" s="1024"/>
      <c r="V17" s="1024"/>
      <c r="W17" s="1024"/>
      <c r="X17" s="1024"/>
      <c r="Y17" s="1024"/>
      <c r="Z17" s="1024"/>
      <c r="AA17" s="1025"/>
      <c r="AB17" s="904" t="s">
        <v>954</v>
      </c>
      <c r="AC17" s="905"/>
      <c r="AD17" s="905"/>
      <c r="AE17" s="905"/>
      <c r="AF17" s="905"/>
      <c r="AG17" s="905"/>
      <c r="AH17" s="905"/>
      <c r="AI17" s="905"/>
      <c r="AJ17" s="905"/>
      <c r="AK17" s="905"/>
      <c r="AL17" s="905"/>
      <c r="AM17" s="905"/>
      <c r="AN17" s="906"/>
      <c r="AO17" s="304"/>
    </row>
    <row r="18" spans="1:41" ht="24" customHeight="1" x14ac:dyDescent="0.4">
      <c r="A18" s="872" t="s">
        <v>955</v>
      </c>
      <c r="B18" s="873"/>
      <c r="C18" s="873"/>
      <c r="D18" s="873"/>
      <c r="E18" s="873"/>
      <c r="F18" s="873"/>
      <c r="G18" s="873"/>
      <c r="H18" s="873"/>
      <c r="I18" s="873"/>
      <c r="J18" s="873"/>
      <c r="K18" s="874"/>
      <c r="L18" s="875" t="s">
        <v>956</v>
      </c>
      <c r="M18" s="875"/>
      <c r="N18" s="875"/>
      <c r="O18" s="875"/>
      <c r="P18" s="875"/>
      <c r="Q18" s="875"/>
      <c r="R18" s="875"/>
      <c r="S18" s="875"/>
      <c r="T18" s="875"/>
      <c r="U18" s="875"/>
      <c r="V18" s="875"/>
      <c r="W18" s="875"/>
      <c r="X18" s="875"/>
      <c r="Y18" s="875"/>
      <c r="Z18" s="875"/>
      <c r="AA18" s="875"/>
      <c r="AB18" s="875"/>
      <c r="AC18" s="875"/>
      <c r="AD18" s="875"/>
      <c r="AE18" s="875"/>
      <c r="AF18" s="875"/>
      <c r="AG18" s="875"/>
      <c r="AH18" s="875"/>
      <c r="AI18" s="875"/>
      <c r="AJ18" s="875"/>
      <c r="AK18" s="875"/>
      <c r="AL18" s="875"/>
      <c r="AM18" s="875"/>
      <c r="AN18" s="876"/>
      <c r="AO18" s="305"/>
    </row>
    <row r="19" spans="1:41" ht="15.75" customHeight="1" x14ac:dyDescent="0.4">
      <c r="A19" s="1006" t="s">
        <v>957</v>
      </c>
      <c r="B19" s="1007"/>
      <c r="C19" s="1007"/>
      <c r="D19" s="1007"/>
      <c r="E19" s="1007"/>
      <c r="F19" s="1007"/>
      <c r="G19" s="1007"/>
      <c r="H19" s="1007"/>
      <c r="I19" s="1007"/>
      <c r="J19" s="1008"/>
      <c r="K19" s="910"/>
      <c r="L19" s="912" t="s">
        <v>1056</v>
      </c>
      <c r="M19" s="913"/>
      <c r="N19" s="913"/>
      <c r="O19" s="913"/>
      <c r="P19" s="913"/>
      <c r="Q19" s="913"/>
      <c r="R19" s="913"/>
      <c r="S19" s="913"/>
      <c r="T19" s="913"/>
      <c r="U19" s="913"/>
      <c r="V19" s="913"/>
      <c r="W19" s="913"/>
      <c r="X19" s="913"/>
      <c r="Y19" s="913"/>
      <c r="Z19" s="913"/>
      <c r="AA19" s="913"/>
      <c r="AB19" s="913"/>
      <c r="AC19" s="913"/>
      <c r="AD19" s="913"/>
      <c r="AE19" s="913"/>
      <c r="AF19" s="913"/>
      <c r="AG19" s="913"/>
      <c r="AH19" s="913"/>
      <c r="AI19" s="913"/>
      <c r="AJ19" s="913"/>
      <c r="AK19" s="913"/>
      <c r="AL19" s="913"/>
      <c r="AM19" s="913"/>
      <c r="AN19" s="914"/>
      <c r="AO19" s="305"/>
    </row>
    <row r="20" spans="1:41" ht="26.25" customHeight="1" x14ac:dyDescent="0.4">
      <c r="A20" s="308">
        <v>2</v>
      </c>
      <c r="B20" s="309">
        <v>4</v>
      </c>
      <c r="C20" s="310">
        <v>7</v>
      </c>
      <c r="D20" s="309">
        <v>2</v>
      </c>
      <c r="E20" s="310">
        <v>4</v>
      </c>
      <c r="F20" s="309">
        <v>0</v>
      </c>
      <c r="G20" s="309">
        <v>0</v>
      </c>
      <c r="H20" s="310">
        <v>0</v>
      </c>
      <c r="I20" s="309">
        <v>7</v>
      </c>
      <c r="J20" s="310">
        <v>2</v>
      </c>
      <c r="K20" s="911"/>
      <c r="L20" s="915" t="s">
        <v>959</v>
      </c>
      <c r="M20" s="916"/>
      <c r="N20" s="916"/>
      <c r="O20" s="916"/>
      <c r="P20" s="916"/>
      <c r="Q20" s="916"/>
      <c r="R20" s="916"/>
      <c r="S20" s="916"/>
      <c r="T20" s="311"/>
      <c r="U20" s="916">
        <f>'（最新）アセスメントシート'!AG3</f>
        <v>0</v>
      </c>
      <c r="V20" s="916"/>
      <c r="W20" s="916"/>
      <c r="X20" s="916"/>
      <c r="Y20" s="916"/>
      <c r="Z20" s="916"/>
      <c r="AA20" s="916"/>
      <c r="AB20" s="916"/>
      <c r="AC20" s="916"/>
      <c r="AD20" s="916"/>
      <c r="AE20" s="916"/>
      <c r="AF20" s="916"/>
      <c r="AG20" s="916"/>
      <c r="AH20" s="916"/>
      <c r="AI20" s="916"/>
      <c r="AJ20" s="916"/>
      <c r="AK20" s="916"/>
      <c r="AL20" s="916"/>
      <c r="AM20" s="311"/>
      <c r="AN20" s="312"/>
      <c r="AO20" s="305"/>
    </row>
    <row r="21" spans="1:41" ht="13.5" customHeight="1" x14ac:dyDescent="0.4">
      <c r="A21" s="1017" t="s">
        <v>996</v>
      </c>
      <c r="B21" s="1018"/>
      <c r="C21" s="1018"/>
      <c r="D21" s="1018"/>
      <c r="E21" s="1018"/>
      <c r="F21" s="1018"/>
      <c r="G21" s="1018"/>
      <c r="H21" s="1018"/>
      <c r="I21" s="1018"/>
      <c r="J21" s="1018"/>
      <c r="K21" s="1018"/>
      <c r="L21" s="1018"/>
      <c r="M21" s="1018"/>
      <c r="N21" s="1018"/>
      <c r="O21" s="1018"/>
      <c r="P21" s="1018"/>
      <c r="Q21" s="1018"/>
      <c r="R21" s="1018"/>
      <c r="S21" s="1018"/>
      <c r="T21" s="1018"/>
      <c r="U21" s="1018"/>
      <c r="V21" s="1018"/>
      <c r="W21" s="1018"/>
      <c r="X21" s="1018"/>
      <c r="Y21" s="1018"/>
      <c r="Z21" s="1018"/>
      <c r="AA21" s="1018"/>
      <c r="AB21" s="1018"/>
      <c r="AC21" s="1018"/>
      <c r="AD21" s="1018"/>
      <c r="AE21" s="1018"/>
      <c r="AF21" s="1018"/>
      <c r="AG21" s="1018"/>
      <c r="AH21" s="1018"/>
      <c r="AI21" s="1018"/>
      <c r="AJ21" s="1018"/>
      <c r="AK21" s="1018"/>
      <c r="AL21" s="1018"/>
      <c r="AM21" s="1018"/>
      <c r="AN21" s="1019"/>
      <c r="AO21" s="305"/>
    </row>
    <row r="22" spans="1:41" ht="12.75" customHeight="1" x14ac:dyDescent="0.15">
      <c r="A22" s="313"/>
      <c r="B22" s="1028" t="s">
        <v>1000</v>
      </c>
      <c r="C22" s="1028"/>
      <c r="D22" s="1028"/>
      <c r="E22" s="1028"/>
      <c r="F22" s="1028"/>
      <c r="G22" s="1028"/>
      <c r="H22" s="1028"/>
      <c r="I22" s="1028"/>
      <c r="J22" s="1028"/>
      <c r="K22" s="1028"/>
      <c r="L22" s="1028"/>
      <c r="M22" s="1028"/>
      <c r="N22" s="1028"/>
      <c r="O22" s="1028"/>
      <c r="P22" s="1028"/>
      <c r="Q22" s="1028"/>
      <c r="R22" s="1028"/>
      <c r="S22" s="1028"/>
      <c r="T22" s="1028"/>
      <c r="U22" s="1029"/>
      <c r="V22" s="1037" t="s">
        <v>987</v>
      </c>
      <c r="W22" s="1038"/>
      <c r="X22" s="1038"/>
      <c r="Y22" s="1038"/>
      <c r="Z22" s="1038"/>
      <c r="AA22" s="1038"/>
      <c r="AB22" s="1038"/>
      <c r="AC22" s="1038"/>
      <c r="AD22" s="1038"/>
      <c r="AE22" s="1038"/>
      <c r="AF22" s="1038"/>
      <c r="AG22" s="1038"/>
      <c r="AH22" s="1038"/>
      <c r="AI22" s="1038"/>
      <c r="AJ22" s="1038"/>
      <c r="AK22" s="1038"/>
      <c r="AL22" s="1038"/>
      <c r="AM22" s="1038"/>
      <c r="AN22" s="1039"/>
      <c r="AO22" s="920"/>
    </row>
    <row r="23" spans="1:41" ht="12.75" customHeight="1" x14ac:dyDescent="0.15">
      <c r="A23" s="313"/>
      <c r="B23" s="1032" t="s">
        <v>1001</v>
      </c>
      <c r="C23" s="1032"/>
      <c r="D23" s="1032"/>
      <c r="E23" s="1032"/>
      <c r="F23" s="1032"/>
      <c r="G23" s="1032"/>
      <c r="H23" s="1032"/>
      <c r="I23" s="1032"/>
      <c r="J23" s="1032"/>
      <c r="K23" s="1032"/>
      <c r="L23" s="1032"/>
      <c r="M23" s="1032"/>
      <c r="N23" s="1032"/>
      <c r="O23" s="1032"/>
      <c r="P23" s="1032"/>
      <c r="Q23" s="1032"/>
      <c r="R23" s="1032"/>
      <c r="S23" s="1032"/>
      <c r="T23" s="1032"/>
      <c r="U23" s="1044"/>
      <c r="V23" s="314"/>
      <c r="W23" s="314"/>
      <c r="X23" s="314"/>
      <c r="Y23" s="314"/>
      <c r="Z23" s="314"/>
      <c r="AA23" s="314"/>
      <c r="AB23" s="314"/>
      <c r="AC23" s="314"/>
      <c r="AD23" s="314"/>
      <c r="AE23" s="314"/>
      <c r="AF23" s="314"/>
      <c r="AG23" s="314"/>
      <c r="AH23" s="314"/>
      <c r="AI23" s="314"/>
      <c r="AJ23" s="314"/>
      <c r="AK23" s="314"/>
      <c r="AL23" s="314"/>
      <c r="AM23" s="314"/>
      <c r="AN23" s="315"/>
      <c r="AO23" s="920"/>
    </row>
    <row r="24" spans="1:41" ht="12.75" customHeight="1" x14ac:dyDescent="0.15">
      <c r="A24" s="313"/>
      <c r="B24" s="1032" t="s">
        <v>1002</v>
      </c>
      <c r="C24" s="1032"/>
      <c r="D24" s="1032"/>
      <c r="E24" s="1032"/>
      <c r="F24" s="1032"/>
      <c r="G24" s="1032"/>
      <c r="H24" s="1032"/>
      <c r="I24" s="1032"/>
      <c r="J24" s="1032"/>
      <c r="K24" s="1032"/>
      <c r="L24" s="1032"/>
      <c r="M24" s="1032"/>
      <c r="N24" s="1032"/>
      <c r="O24" s="1032"/>
      <c r="P24" s="1032"/>
      <c r="Q24" s="1032"/>
      <c r="R24" s="1032"/>
      <c r="S24" s="1032"/>
      <c r="T24" s="1032"/>
      <c r="U24" s="1044"/>
      <c r="V24" s="921" t="s">
        <v>962</v>
      </c>
      <c r="W24" s="921"/>
      <c r="X24" s="921"/>
      <c r="Y24" s="921"/>
      <c r="Z24" s="921"/>
      <c r="AA24" s="921"/>
      <c r="AB24" s="921"/>
      <c r="AC24" s="921"/>
      <c r="AD24" s="921"/>
      <c r="AE24" s="921"/>
      <c r="AF24" s="921"/>
      <c r="AG24" s="921"/>
      <c r="AH24" s="921"/>
      <c r="AI24" s="921"/>
      <c r="AJ24" s="921"/>
      <c r="AK24" s="921"/>
      <c r="AL24" s="921"/>
      <c r="AM24" s="338"/>
      <c r="AN24" s="335"/>
      <c r="AO24" s="920"/>
    </row>
    <row r="25" spans="1:41" ht="12.75" customHeight="1" x14ac:dyDescent="0.15">
      <c r="A25" s="313"/>
      <c r="B25" s="1032" t="s">
        <v>1003</v>
      </c>
      <c r="C25" s="1032"/>
      <c r="D25" s="1032"/>
      <c r="E25" s="1032"/>
      <c r="F25" s="1032"/>
      <c r="G25" s="1032"/>
      <c r="H25" s="1032"/>
      <c r="I25" s="1032"/>
      <c r="J25" s="1032"/>
      <c r="K25" s="1032"/>
      <c r="L25" s="1032"/>
      <c r="M25" s="1032"/>
      <c r="N25" s="1032"/>
      <c r="O25" s="1032"/>
      <c r="P25" s="1032"/>
      <c r="Q25" s="1032"/>
      <c r="R25" s="1032"/>
      <c r="S25" s="1032"/>
      <c r="T25" s="1032"/>
      <c r="U25" s="1044"/>
      <c r="V25" s="338"/>
      <c r="W25" s="338"/>
      <c r="X25" s="338"/>
      <c r="Y25" s="338"/>
      <c r="Z25" s="338"/>
      <c r="AA25" s="338"/>
      <c r="AB25" s="338"/>
      <c r="AC25" s="338"/>
      <c r="AD25" s="338"/>
      <c r="AE25" s="338"/>
      <c r="AF25" s="338"/>
      <c r="AG25" s="338"/>
      <c r="AH25" s="338"/>
      <c r="AI25" s="338"/>
      <c r="AJ25" s="338"/>
      <c r="AK25" s="338"/>
      <c r="AL25" s="338"/>
      <c r="AM25" s="338"/>
      <c r="AN25" s="335"/>
      <c r="AO25" s="920"/>
    </row>
    <row r="26" spans="1:41" ht="12.75" customHeight="1" thickBot="1" x14ac:dyDescent="0.2">
      <c r="A26" s="316"/>
      <c r="B26" s="1034" t="s">
        <v>1004</v>
      </c>
      <c r="C26" s="1034"/>
      <c r="D26" s="1034"/>
      <c r="E26" s="1034"/>
      <c r="F26" s="1034"/>
      <c r="G26" s="1034"/>
      <c r="H26" s="1034"/>
      <c r="I26" s="1034"/>
      <c r="J26" s="1034"/>
      <c r="K26" s="1034"/>
      <c r="L26" s="1034"/>
      <c r="M26" s="1034"/>
      <c r="N26" s="1034"/>
      <c r="O26" s="1034"/>
      <c r="P26" s="1034"/>
      <c r="Q26" s="1034"/>
      <c r="R26" s="1034"/>
      <c r="S26" s="1034"/>
      <c r="T26" s="1034"/>
      <c r="U26" s="1045"/>
      <c r="V26" s="336"/>
      <c r="W26" s="1040" t="s">
        <v>988</v>
      </c>
      <c r="X26" s="1040"/>
      <c r="Y26" s="1040"/>
      <c r="Z26" s="1040"/>
      <c r="AA26" s="1040"/>
      <c r="AB26" s="1040"/>
      <c r="AC26" s="1040"/>
      <c r="AD26" s="1040"/>
      <c r="AE26" s="1040"/>
      <c r="AF26" s="1040"/>
      <c r="AG26" s="1040"/>
      <c r="AH26" s="1040"/>
      <c r="AI26" s="1040"/>
      <c r="AJ26" s="1040"/>
      <c r="AK26" s="1040"/>
      <c r="AL26" s="1040"/>
      <c r="AM26" s="1040"/>
      <c r="AN26" s="337"/>
      <c r="AO26" s="920"/>
    </row>
    <row r="27" spans="1:41" ht="3.75" customHeight="1" thickTop="1" x14ac:dyDescent="0.4">
      <c r="A27" s="313"/>
      <c r="B27" s="314"/>
      <c r="C27" s="314"/>
      <c r="D27" s="314"/>
      <c r="E27" s="314"/>
      <c r="F27" s="314"/>
      <c r="G27" s="314"/>
      <c r="H27" s="314"/>
      <c r="I27" s="314"/>
      <c r="J27" s="314"/>
      <c r="K27" s="314"/>
      <c r="L27" s="314"/>
      <c r="M27" s="314"/>
      <c r="N27" s="314"/>
      <c r="O27" s="314"/>
      <c r="P27" s="314"/>
      <c r="Q27" s="314"/>
      <c r="R27" s="314"/>
      <c r="S27" s="314"/>
      <c r="T27" s="306"/>
      <c r="U27" s="306"/>
      <c r="V27" s="306"/>
      <c r="W27" s="306"/>
      <c r="X27" s="306"/>
      <c r="Y27" s="306"/>
      <c r="Z27" s="306"/>
      <c r="AA27" s="306"/>
      <c r="AB27" s="306"/>
      <c r="AC27" s="306"/>
      <c r="AD27" s="306"/>
      <c r="AE27" s="306"/>
      <c r="AF27" s="306"/>
      <c r="AG27" s="306"/>
      <c r="AH27" s="306"/>
      <c r="AI27" s="306"/>
      <c r="AJ27" s="306"/>
      <c r="AK27" s="306"/>
      <c r="AL27" s="306"/>
      <c r="AM27" s="306"/>
      <c r="AN27" s="307"/>
      <c r="AO27" s="305"/>
    </row>
    <row r="28" spans="1:41" s="13" customFormat="1" ht="27" customHeight="1" x14ac:dyDescent="0.4">
      <c r="A28" s="1036" t="s">
        <v>986</v>
      </c>
      <c r="B28" s="1032"/>
      <c r="C28" s="1032"/>
      <c r="D28" s="1032"/>
      <c r="E28" s="1032"/>
      <c r="F28" s="1032"/>
      <c r="G28" s="1032"/>
      <c r="H28" s="1032"/>
      <c r="I28" s="1032"/>
      <c r="J28" s="1032"/>
      <c r="K28" s="1032"/>
      <c r="L28" s="1032"/>
      <c r="M28" s="1032"/>
      <c r="N28" s="1032"/>
      <c r="O28" s="1032"/>
      <c r="P28" s="1032"/>
      <c r="Q28" s="1032"/>
      <c r="R28" s="1032"/>
      <c r="S28" s="1032"/>
      <c r="T28" s="1032"/>
      <c r="U28" s="1032"/>
      <c r="V28" s="1032"/>
      <c r="W28" s="1032"/>
      <c r="X28" s="1032"/>
      <c r="Y28" s="1032"/>
      <c r="Z28" s="1032"/>
      <c r="AA28" s="1032"/>
      <c r="AB28" s="1032"/>
      <c r="AC28" s="1032"/>
      <c r="AD28" s="1032"/>
      <c r="AE28" s="1032"/>
      <c r="AF28" s="1032"/>
      <c r="AG28" s="1032"/>
      <c r="AH28" s="1032"/>
      <c r="AI28" s="1032"/>
      <c r="AJ28" s="1032"/>
      <c r="AK28" s="1032"/>
      <c r="AL28" s="1032"/>
      <c r="AM28" s="1032"/>
      <c r="AN28" s="1033"/>
      <c r="AO28" s="920"/>
    </row>
    <row r="29" spans="1:41" ht="12.75" customHeight="1" x14ac:dyDescent="0.15">
      <c r="A29" s="313"/>
      <c r="B29" s="1032" t="s">
        <v>1005</v>
      </c>
      <c r="C29" s="1032"/>
      <c r="D29" s="1032"/>
      <c r="E29" s="1032"/>
      <c r="F29" s="1032"/>
      <c r="G29" s="1032"/>
      <c r="H29" s="1032"/>
      <c r="I29" s="1032"/>
      <c r="J29" s="1032"/>
      <c r="K29" s="1032"/>
      <c r="L29" s="1032"/>
      <c r="M29" s="1032"/>
      <c r="N29" s="1032"/>
      <c r="O29" s="1032"/>
      <c r="P29" s="1032"/>
      <c r="Q29" s="1032"/>
      <c r="R29" s="1032"/>
      <c r="S29" s="1032"/>
      <c r="T29" s="1032"/>
      <c r="U29" s="1032"/>
      <c r="V29" s="1032"/>
      <c r="W29" s="1032"/>
      <c r="X29" s="1032"/>
      <c r="Y29" s="1032"/>
      <c r="Z29" s="1032"/>
      <c r="AA29" s="1032"/>
      <c r="AB29" s="1032"/>
      <c r="AC29" s="1032"/>
      <c r="AD29" s="1032"/>
      <c r="AE29" s="1032"/>
      <c r="AF29" s="1032"/>
      <c r="AG29" s="1032"/>
      <c r="AH29" s="1032"/>
      <c r="AI29" s="1032"/>
      <c r="AJ29" s="1032"/>
      <c r="AK29" s="1032"/>
      <c r="AL29" s="1032"/>
      <c r="AM29" s="1032"/>
      <c r="AN29" s="1033"/>
      <c r="AO29" s="920"/>
    </row>
    <row r="30" spans="1:41" ht="12.75" customHeight="1" x14ac:dyDescent="0.15">
      <c r="A30" s="313"/>
      <c r="B30" s="1032" t="s">
        <v>1006</v>
      </c>
      <c r="C30" s="1032"/>
      <c r="D30" s="1032"/>
      <c r="E30" s="1032"/>
      <c r="F30" s="1032"/>
      <c r="G30" s="1032"/>
      <c r="H30" s="1032"/>
      <c r="I30" s="1032"/>
      <c r="J30" s="1032"/>
      <c r="K30" s="1032"/>
      <c r="L30" s="1032"/>
      <c r="M30" s="1032"/>
      <c r="N30" s="1032"/>
      <c r="O30" s="1032"/>
      <c r="P30" s="1032"/>
      <c r="Q30" s="1032"/>
      <c r="R30" s="1032"/>
      <c r="S30" s="1032"/>
      <c r="T30" s="1032"/>
      <c r="U30" s="1032"/>
      <c r="V30" s="1032"/>
      <c r="W30" s="1032"/>
      <c r="X30" s="1032"/>
      <c r="Y30" s="1032"/>
      <c r="Z30" s="1032"/>
      <c r="AA30" s="1032"/>
      <c r="AB30" s="1032"/>
      <c r="AC30" s="1032"/>
      <c r="AD30" s="1032"/>
      <c r="AE30" s="1032"/>
      <c r="AF30" s="1032"/>
      <c r="AG30" s="1032"/>
      <c r="AH30" s="1032"/>
      <c r="AI30" s="1032"/>
      <c r="AJ30" s="1032"/>
      <c r="AK30" s="1032"/>
      <c r="AL30" s="1032"/>
      <c r="AM30" s="1032"/>
      <c r="AN30" s="1033"/>
      <c r="AO30" s="920"/>
    </row>
    <row r="31" spans="1:41" ht="12.75" customHeight="1" thickBot="1" x14ac:dyDescent="0.2">
      <c r="A31" s="316"/>
      <c r="B31" s="1034" t="s">
        <v>1007</v>
      </c>
      <c r="C31" s="1034"/>
      <c r="D31" s="1034"/>
      <c r="E31" s="1034"/>
      <c r="F31" s="1034"/>
      <c r="G31" s="1034"/>
      <c r="H31" s="1034"/>
      <c r="I31" s="1034"/>
      <c r="J31" s="1034"/>
      <c r="K31" s="1034"/>
      <c r="L31" s="1034"/>
      <c r="M31" s="1034"/>
      <c r="N31" s="1034"/>
      <c r="O31" s="1034"/>
      <c r="P31" s="1034"/>
      <c r="Q31" s="1034"/>
      <c r="R31" s="1034"/>
      <c r="S31" s="1034"/>
      <c r="T31" s="1034"/>
      <c r="U31" s="1034"/>
      <c r="V31" s="1034"/>
      <c r="W31" s="1034"/>
      <c r="X31" s="1034"/>
      <c r="Y31" s="1034"/>
      <c r="Z31" s="1034"/>
      <c r="AA31" s="1034"/>
      <c r="AB31" s="1034"/>
      <c r="AC31" s="1034"/>
      <c r="AD31" s="1034"/>
      <c r="AE31" s="1034"/>
      <c r="AF31" s="1034"/>
      <c r="AG31" s="1034"/>
      <c r="AH31" s="1034"/>
      <c r="AI31" s="1034"/>
      <c r="AJ31" s="1034"/>
      <c r="AK31" s="1034"/>
      <c r="AL31" s="1034"/>
      <c r="AM31" s="1034"/>
      <c r="AN31" s="1035"/>
      <c r="AO31" s="920"/>
    </row>
    <row r="32" spans="1:41" s="13" customFormat="1" ht="13.5" customHeight="1" thickTop="1" x14ac:dyDescent="0.4">
      <c r="A32" s="872" t="s">
        <v>995</v>
      </c>
      <c r="B32" s="873"/>
      <c r="C32" s="873"/>
      <c r="D32" s="873"/>
      <c r="E32" s="873"/>
      <c r="F32" s="873"/>
      <c r="G32" s="873"/>
      <c r="H32" s="873"/>
      <c r="I32" s="873"/>
      <c r="J32" s="873"/>
      <c r="K32" s="873"/>
      <c r="L32" s="873"/>
      <c r="M32" s="873"/>
      <c r="N32" s="873"/>
      <c r="O32" s="873"/>
      <c r="P32" s="873"/>
      <c r="Q32" s="873"/>
      <c r="R32" s="873"/>
      <c r="S32" s="873"/>
      <c r="T32" s="873"/>
      <c r="U32" s="873"/>
      <c r="V32" s="873"/>
      <c r="W32" s="873"/>
      <c r="X32" s="873"/>
      <c r="Y32" s="873"/>
      <c r="Z32" s="873"/>
      <c r="AA32" s="873"/>
      <c r="AB32" s="873"/>
      <c r="AC32" s="873"/>
      <c r="AD32" s="873"/>
      <c r="AE32" s="873"/>
      <c r="AF32" s="873"/>
      <c r="AG32" s="873"/>
      <c r="AH32" s="873"/>
      <c r="AI32" s="873"/>
      <c r="AJ32" s="873"/>
      <c r="AK32" s="873"/>
      <c r="AL32" s="873"/>
      <c r="AM32" s="873"/>
      <c r="AN32" s="949"/>
      <c r="AO32" s="920"/>
    </row>
    <row r="33" spans="1:41" ht="10.5" customHeight="1" x14ac:dyDescent="0.4">
      <c r="A33" s="319"/>
      <c r="B33" s="875" t="s">
        <v>965</v>
      </c>
      <c r="C33" s="875"/>
      <c r="D33" s="875"/>
      <c r="E33" s="875"/>
      <c r="F33" s="875"/>
      <c r="G33" s="875"/>
      <c r="H33" s="875"/>
      <c r="I33" s="875"/>
      <c r="J33" s="875"/>
      <c r="K33" s="875"/>
      <c r="L33" s="875"/>
      <c r="M33" s="875"/>
      <c r="N33" s="875"/>
      <c r="O33" s="875"/>
      <c r="P33" s="875"/>
      <c r="Q33" s="875"/>
      <c r="R33" s="875"/>
      <c r="S33" s="875"/>
      <c r="T33" s="875"/>
      <c r="U33" s="875"/>
      <c r="V33" s="875"/>
      <c r="W33" s="875"/>
      <c r="X33" s="875"/>
      <c r="Y33" s="875"/>
      <c r="Z33" s="875"/>
      <c r="AA33" s="875"/>
      <c r="AB33" s="875"/>
      <c r="AC33" s="875"/>
      <c r="AD33" s="875"/>
      <c r="AE33" s="875"/>
      <c r="AF33" s="875"/>
      <c r="AG33" s="875"/>
      <c r="AH33" s="875"/>
      <c r="AI33" s="875"/>
      <c r="AJ33" s="875"/>
      <c r="AK33" s="875"/>
      <c r="AL33" s="875"/>
      <c r="AM33" s="875"/>
      <c r="AN33" s="949"/>
      <c r="AO33" s="920"/>
    </row>
    <row r="34" spans="1:41" s="13" customFormat="1" ht="19.5" customHeight="1" x14ac:dyDescent="0.4">
      <c r="A34" s="1030" t="s">
        <v>966</v>
      </c>
      <c r="B34" s="1031"/>
      <c r="C34" s="1031"/>
      <c r="D34" s="1031"/>
      <c r="E34" s="1031"/>
      <c r="F34" s="1031"/>
      <c r="G34" s="1031"/>
      <c r="H34" s="1031"/>
      <c r="I34" s="1031"/>
      <c r="J34" s="1031"/>
      <c r="K34" s="1031"/>
      <c r="L34" s="1031"/>
      <c r="M34" s="1031"/>
      <c r="N34" s="1031"/>
      <c r="O34" s="1031"/>
      <c r="P34" s="1031"/>
      <c r="Q34" s="1031"/>
      <c r="R34" s="1031"/>
      <c r="S34" s="1031"/>
      <c r="T34" s="1031"/>
      <c r="U34" s="1031"/>
      <c r="V34" s="1031"/>
      <c r="W34" s="1031"/>
      <c r="X34" s="1031"/>
      <c r="Y34" s="1031"/>
      <c r="Z34" s="1031"/>
      <c r="AA34" s="1031"/>
      <c r="AB34" s="1031"/>
      <c r="AC34" s="1031"/>
      <c r="AD34" s="1031"/>
      <c r="AE34" s="1031"/>
      <c r="AF34" s="1031"/>
      <c r="AG34" s="1031"/>
      <c r="AH34" s="1031"/>
      <c r="AI34" s="1031"/>
      <c r="AJ34" s="1031"/>
      <c r="AK34" s="1031"/>
      <c r="AL34" s="1031"/>
      <c r="AM34" s="1031"/>
      <c r="AN34" s="949"/>
      <c r="AO34" s="920"/>
    </row>
    <row r="35" spans="1:41" ht="10.5" customHeight="1" x14ac:dyDescent="0.4">
      <c r="A35" s="986" t="s">
        <v>967</v>
      </c>
      <c r="B35" s="966"/>
      <c r="C35" s="966"/>
      <c r="D35" s="966"/>
      <c r="E35" s="966"/>
      <c r="F35" s="966"/>
      <c r="G35" s="966" t="s">
        <v>968</v>
      </c>
      <c r="H35" s="966"/>
      <c r="I35" s="966"/>
      <c r="J35" s="875">
        <f>'（最新）アセスメントシート'!D7</f>
        <v>0</v>
      </c>
      <c r="K35" s="875"/>
      <c r="L35" s="875"/>
      <c r="M35" s="875"/>
      <c r="N35" s="875"/>
      <c r="O35" s="875"/>
      <c r="P35" s="875"/>
      <c r="Q35" s="875"/>
      <c r="R35" s="875"/>
      <c r="S35" s="875"/>
      <c r="T35" s="875"/>
      <c r="U35" s="875"/>
      <c r="V35" s="875"/>
      <c r="W35" s="875"/>
      <c r="X35" s="875"/>
      <c r="Y35" s="875"/>
      <c r="Z35" s="875"/>
      <c r="AA35" s="987"/>
      <c r="AB35" s="988" t="s">
        <v>969</v>
      </c>
      <c r="AC35" s="989"/>
      <c r="AD35" s="989"/>
      <c r="AE35" s="990"/>
      <c r="AF35" s="988" t="s">
        <v>970</v>
      </c>
      <c r="AG35" s="989"/>
      <c r="AH35" s="989"/>
      <c r="AI35" s="989"/>
      <c r="AJ35" s="989"/>
      <c r="AK35" s="989"/>
      <c r="AL35" s="989"/>
      <c r="AM35" s="990"/>
      <c r="AN35" s="318"/>
      <c r="AO35" s="305"/>
    </row>
    <row r="36" spans="1:41" ht="10.5" customHeight="1" x14ac:dyDescent="0.4">
      <c r="A36" s="986"/>
      <c r="B36" s="966"/>
      <c r="C36" s="966"/>
      <c r="D36" s="966"/>
      <c r="E36" s="966"/>
      <c r="F36" s="966"/>
      <c r="G36" s="966"/>
      <c r="H36" s="966"/>
      <c r="I36" s="966"/>
      <c r="J36" s="875"/>
      <c r="K36" s="875"/>
      <c r="L36" s="875"/>
      <c r="M36" s="875"/>
      <c r="N36" s="875"/>
      <c r="O36" s="875"/>
      <c r="P36" s="875"/>
      <c r="Q36" s="875"/>
      <c r="R36" s="875"/>
      <c r="S36" s="875"/>
      <c r="T36" s="875"/>
      <c r="U36" s="875"/>
      <c r="V36" s="875"/>
      <c r="W36" s="875"/>
      <c r="X36" s="875"/>
      <c r="Y36" s="875"/>
      <c r="Z36" s="875"/>
      <c r="AA36" s="987"/>
      <c r="AB36" s="950" t="s">
        <v>971</v>
      </c>
      <c r="AC36" s="951"/>
      <c r="AD36" s="956" t="s">
        <v>972</v>
      </c>
      <c r="AE36" s="957"/>
      <c r="AF36" s="960" t="s">
        <v>973</v>
      </c>
      <c r="AG36" s="961"/>
      <c r="AH36" s="961"/>
      <c r="AI36" s="961"/>
      <c r="AJ36" s="961"/>
      <c r="AK36" s="961"/>
      <c r="AL36" s="961"/>
      <c r="AM36" s="962"/>
      <c r="AN36" s="318"/>
      <c r="AO36" s="305"/>
    </row>
    <row r="37" spans="1:41" ht="10.5" customHeight="1" x14ac:dyDescent="0.4">
      <c r="A37" s="986"/>
      <c r="B37" s="966"/>
      <c r="C37" s="966"/>
      <c r="D37" s="966"/>
      <c r="E37" s="966"/>
      <c r="F37" s="966"/>
      <c r="G37" s="966"/>
      <c r="H37" s="966"/>
      <c r="I37" s="966"/>
      <c r="J37" s="875"/>
      <c r="K37" s="875"/>
      <c r="L37" s="875"/>
      <c r="M37" s="875"/>
      <c r="N37" s="875"/>
      <c r="O37" s="875"/>
      <c r="P37" s="875"/>
      <c r="Q37" s="875"/>
      <c r="R37" s="875"/>
      <c r="S37" s="875"/>
      <c r="T37" s="875"/>
      <c r="U37" s="875"/>
      <c r="V37" s="875"/>
      <c r="W37" s="875"/>
      <c r="X37" s="875"/>
      <c r="Y37" s="875"/>
      <c r="Z37" s="875"/>
      <c r="AA37" s="987"/>
      <c r="AB37" s="952"/>
      <c r="AC37" s="953"/>
      <c r="AD37" s="958"/>
      <c r="AE37" s="959"/>
      <c r="AF37" s="963" t="s">
        <v>974</v>
      </c>
      <c r="AG37" s="964"/>
      <c r="AH37" s="964"/>
      <c r="AI37" s="964"/>
      <c r="AJ37" s="964"/>
      <c r="AK37" s="964"/>
      <c r="AL37" s="964"/>
      <c r="AM37" s="965"/>
      <c r="AN37" s="318"/>
      <c r="AO37" s="305"/>
    </row>
    <row r="38" spans="1:41" ht="10.5" customHeight="1" x14ac:dyDescent="0.4">
      <c r="A38" s="986"/>
      <c r="B38" s="966"/>
      <c r="C38" s="966"/>
      <c r="D38" s="966"/>
      <c r="E38" s="966"/>
      <c r="F38" s="966"/>
      <c r="G38" s="966" t="s">
        <v>975</v>
      </c>
      <c r="H38" s="966"/>
      <c r="I38" s="966"/>
      <c r="J38" s="966"/>
      <c r="K38" s="966"/>
      <c r="L38" s="966"/>
      <c r="M38" s="966"/>
      <c r="N38" s="966"/>
      <c r="O38" s="966"/>
      <c r="P38" s="966"/>
      <c r="Q38" s="966"/>
      <c r="R38" s="966"/>
      <c r="S38" s="966"/>
      <c r="T38" s="966"/>
      <c r="U38" s="966"/>
      <c r="V38" s="966"/>
      <c r="W38" s="966"/>
      <c r="X38" s="966"/>
      <c r="Y38" s="966"/>
      <c r="Z38" s="966"/>
      <c r="AA38" s="991"/>
      <c r="AB38" s="952"/>
      <c r="AC38" s="953"/>
      <c r="AD38" s="992" t="s">
        <v>976</v>
      </c>
      <c r="AE38" s="993"/>
      <c r="AF38" s="960" t="s">
        <v>977</v>
      </c>
      <c r="AG38" s="961"/>
      <c r="AH38" s="961"/>
      <c r="AI38" s="961"/>
      <c r="AJ38" s="961"/>
      <c r="AK38" s="961"/>
      <c r="AL38" s="961"/>
      <c r="AM38" s="962"/>
      <c r="AN38" s="318"/>
      <c r="AO38" s="305"/>
    </row>
    <row r="39" spans="1:41" ht="10.5" customHeight="1" x14ac:dyDescent="0.4">
      <c r="A39" s="986"/>
      <c r="B39" s="966"/>
      <c r="C39" s="966"/>
      <c r="D39" s="966"/>
      <c r="E39" s="966"/>
      <c r="F39" s="966"/>
      <c r="G39" s="966"/>
      <c r="H39" s="966"/>
      <c r="I39" s="966"/>
      <c r="J39" s="966"/>
      <c r="K39" s="966"/>
      <c r="L39" s="966"/>
      <c r="M39" s="966"/>
      <c r="N39" s="966"/>
      <c r="O39" s="966"/>
      <c r="P39" s="966"/>
      <c r="Q39" s="966"/>
      <c r="R39" s="966"/>
      <c r="S39" s="966"/>
      <c r="T39" s="966"/>
      <c r="U39" s="966"/>
      <c r="V39" s="966"/>
      <c r="W39" s="966"/>
      <c r="X39" s="966"/>
      <c r="Y39" s="966"/>
      <c r="Z39" s="966"/>
      <c r="AA39" s="991"/>
      <c r="AB39" s="952"/>
      <c r="AC39" s="953"/>
      <c r="AD39" s="992"/>
      <c r="AE39" s="993"/>
      <c r="AF39" s="994" t="s">
        <v>978</v>
      </c>
      <c r="AG39" s="995"/>
      <c r="AH39" s="995"/>
      <c r="AI39" s="995"/>
      <c r="AJ39" s="995"/>
      <c r="AK39" s="995"/>
      <c r="AL39" s="995"/>
      <c r="AM39" s="996"/>
      <c r="AN39" s="318"/>
      <c r="AO39" s="305"/>
    </row>
    <row r="40" spans="1:41" ht="10.5" customHeight="1" x14ac:dyDescent="0.4">
      <c r="A40" s="986"/>
      <c r="B40" s="966"/>
      <c r="C40" s="966"/>
      <c r="D40" s="966"/>
      <c r="E40" s="966"/>
      <c r="F40" s="966"/>
      <c r="G40" s="966"/>
      <c r="H40" s="966"/>
      <c r="I40" s="966"/>
      <c r="J40" s="966"/>
      <c r="K40" s="966"/>
      <c r="L40" s="966"/>
      <c r="M40" s="966"/>
      <c r="N40" s="966"/>
      <c r="O40" s="966"/>
      <c r="P40" s="966"/>
      <c r="Q40" s="966"/>
      <c r="R40" s="966"/>
      <c r="S40" s="966"/>
      <c r="T40" s="966"/>
      <c r="U40" s="966"/>
      <c r="V40" s="966"/>
      <c r="W40" s="966"/>
      <c r="X40" s="966"/>
      <c r="Y40" s="966"/>
      <c r="Z40" s="966"/>
      <c r="AA40" s="991"/>
      <c r="AB40" s="952"/>
      <c r="AC40" s="953"/>
      <c r="AD40" s="992"/>
      <c r="AE40" s="993"/>
      <c r="AF40" s="963" t="s">
        <v>974</v>
      </c>
      <c r="AG40" s="964"/>
      <c r="AH40" s="964"/>
      <c r="AI40" s="964"/>
      <c r="AJ40" s="964"/>
      <c r="AK40" s="964"/>
      <c r="AL40" s="964"/>
      <c r="AM40" s="965"/>
      <c r="AN40" s="318"/>
      <c r="AO40" s="305"/>
    </row>
    <row r="41" spans="1:41" ht="10.5" customHeight="1" x14ac:dyDescent="0.4">
      <c r="A41" s="986"/>
      <c r="B41" s="966"/>
      <c r="C41" s="966"/>
      <c r="D41" s="966"/>
      <c r="E41" s="966"/>
      <c r="F41" s="966"/>
      <c r="G41" s="311"/>
      <c r="H41" s="995" t="s">
        <v>979</v>
      </c>
      <c r="I41" s="995"/>
      <c r="J41" s="995"/>
      <c r="K41" s="995"/>
      <c r="L41" s="995"/>
      <c r="M41" s="995"/>
      <c r="N41" s="995"/>
      <c r="O41" s="995"/>
      <c r="P41" s="995"/>
      <c r="Q41" s="995"/>
      <c r="R41" s="995"/>
      <c r="S41" s="995"/>
      <c r="T41" s="995"/>
      <c r="U41" s="995"/>
      <c r="V41" s="995"/>
      <c r="W41" s="995"/>
      <c r="X41" s="995"/>
      <c r="Y41" s="995"/>
      <c r="Z41" s="995"/>
      <c r="AA41" s="311"/>
      <c r="AB41" s="952"/>
      <c r="AC41" s="953"/>
      <c r="AD41" s="992"/>
      <c r="AE41" s="993"/>
      <c r="AF41" s="994" t="s">
        <v>980</v>
      </c>
      <c r="AG41" s="995"/>
      <c r="AH41" s="995"/>
      <c r="AI41" s="995"/>
      <c r="AJ41" s="995"/>
      <c r="AK41" s="995"/>
      <c r="AL41" s="995"/>
      <c r="AM41" s="996"/>
      <c r="AN41" s="318"/>
      <c r="AO41" s="305"/>
    </row>
    <row r="42" spans="1:41" ht="10.5" customHeight="1" x14ac:dyDescent="0.4">
      <c r="A42" s="986"/>
      <c r="B42" s="966"/>
      <c r="C42" s="966"/>
      <c r="D42" s="966"/>
      <c r="E42" s="966"/>
      <c r="F42" s="966"/>
      <c r="G42" s="311"/>
      <c r="H42" s="875" t="s">
        <v>981</v>
      </c>
      <c r="I42" s="875"/>
      <c r="J42" s="875"/>
      <c r="K42" s="875"/>
      <c r="L42" s="875"/>
      <c r="M42" s="875"/>
      <c r="N42" s="875"/>
      <c r="O42" s="875"/>
      <c r="P42" s="875"/>
      <c r="Q42" s="875"/>
      <c r="R42" s="875"/>
      <c r="S42" s="875"/>
      <c r="T42" s="875"/>
      <c r="U42" s="875"/>
      <c r="V42" s="875"/>
      <c r="W42" s="875"/>
      <c r="X42" s="875"/>
      <c r="Y42" s="875"/>
      <c r="Z42" s="875"/>
      <c r="AA42" s="320"/>
      <c r="AB42" s="954"/>
      <c r="AC42" s="955"/>
      <c r="AD42" s="958"/>
      <c r="AE42" s="959"/>
      <c r="AF42" s="958" t="s">
        <v>974</v>
      </c>
      <c r="AG42" s="998"/>
      <c r="AH42" s="998"/>
      <c r="AI42" s="998"/>
      <c r="AJ42" s="998"/>
      <c r="AK42" s="998"/>
      <c r="AL42" s="998"/>
      <c r="AM42" s="228"/>
      <c r="AN42" s="949"/>
      <c r="AO42" s="920"/>
    </row>
    <row r="43" spans="1:41" ht="10.5" customHeight="1" thickBot="1" x14ac:dyDescent="0.45">
      <c r="A43" s="869"/>
      <c r="B43" s="870"/>
      <c r="C43" s="870"/>
      <c r="D43" s="870"/>
      <c r="E43" s="870"/>
      <c r="F43" s="870"/>
      <c r="G43" s="321"/>
      <c r="H43" s="997"/>
      <c r="I43" s="997"/>
      <c r="J43" s="997"/>
      <c r="K43" s="997"/>
      <c r="L43" s="997"/>
      <c r="M43" s="997"/>
      <c r="N43" s="997"/>
      <c r="O43" s="997"/>
      <c r="P43" s="997"/>
      <c r="Q43" s="997"/>
      <c r="R43" s="997"/>
      <c r="S43" s="997"/>
      <c r="T43" s="997"/>
      <c r="U43" s="997"/>
      <c r="V43" s="997"/>
      <c r="W43" s="997"/>
      <c r="X43" s="997"/>
      <c r="Y43" s="997"/>
      <c r="Z43" s="997"/>
      <c r="AA43" s="321"/>
      <c r="AB43" s="321"/>
      <c r="AC43" s="321"/>
      <c r="AD43" s="321"/>
      <c r="AE43" s="321"/>
      <c r="AF43" s="321"/>
      <c r="AG43" s="321"/>
      <c r="AH43" s="321"/>
      <c r="AI43" s="321"/>
      <c r="AJ43" s="321"/>
      <c r="AK43" s="321"/>
      <c r="AL43" s="321"/>
      <c r="AM43" s="321"/>
      <c r="AN43" s="985"/>
      <c r="AO43" s="920"/>
    </row>
    <row r="44" spans="1:41" ht="6" customHeight="1" x14ac:dyDescent="0.4">
      <c r="A44" s="967"/>
      <c r="B44" s="967"/>
      <c r="C44" s="967"/>
      <c r="D44" s="968"/>
      <c r="E44" s="968"/>
      <c r="F44" s="968"/>
      <c r="G44" s="968"/>
      <c r="H44" s="968"/>
      <c r="I44" s="968"/>
      <c r="J44" s="968"/>
      <c r="K44" s="968"/>
      <c r="L44" s="968"/>
      <c r="M44" s="968"/>
      <c r="N44" s="968"/>
      <c r="O44" s="968"/>
      <c r="P44" s="968"/>
      <c r="Q44" s="968"/>
      <c r="R44" s="968"/>
      <c r="S44" s="968"/>
      <c r="T44" s="968"/>
      <c r="U44" s="968"/>
      <c r="V44" s="968"/>
      <c r="W44" s="968"/>
      <c r="X44" s="968"/>
      <c r="Y44" s="968"/>
      <c r="Z44" s="968"/>
      <c r="AA44" s="968"/>
      <c r="AB44" s="968"/>
      <c r="AC44" s="322"/>
      <c r="AD44" s="322"/>
      <c r="AE44" s="322"/>
      <c r="AF44" s="322"/>
      <c r="AG44" s="322"/>
      <c r="AH44" s="322"/>
      <c r="AI44" s="322"/>
      <c r="AJ44" s="322"/>
      <c r="AK44" s="322"/>
      <c r="AL44" s="322"/>
      <c r="AM44" s="322"/>
      <c r="AN44" s="865"/>
      <c r="AO44" s="920"/>
    </row>
    <row r="45" spans="1:41" ht="99.75" customHeight="1" x14ac:dyDescent="0.4">
      <c r="A45" s="969" t="s">
        <v>982</v>
      </c>
      <c r="B45" s="969"/>
      <c r="C45" s="970" t="s">
        <v>989</v>
      </c>
      <c r="D45" s="970"/>
      <c r="E45" s="970"/>
      <c r="F45" s="970"/>
      <c r="G45" s="970"/>
      <c r="H45" s="970"/>
      <c r="I45" s="970"/>
      <c r="J45" s="970"/>
      <c r="K45" s="970"/>
      <c r="L45" s="970"/>
      <c r="M45" s="970"/>
      <c r="N45" s="970"/>
      <c r="O45" s="970"/>
      <c r="P45" s="970"/>
      <c r="Q45" s="970"/>
      <c r="R45" s="970"/>
      <c r="S45" s="970"/>
      <c r="T45" s="970"/>
      <c r="U45" s="970"/>
      <c r="V45" s="970"/>
      <c r="W45" s="970"/>
      <c r="X45" s="970"/>
      <c r="Y45" s="970"/>
      <c r="Z45" s="970"/>
      <c r="AA45" s="970"/>
      <c r="AB45" s="970"/>
      <c r="AC45" s="970"/>
      <c r="AD45" s="322"/>
      <c r="AE45" s="322"/>
      <c r="AF45" s="322"/>
      <c r="AG45" s="322"/>
      <c r="AH45" s="322"/>
      <c r="AI45" s="322"/>
      <c r="AJ45" s="322"/>
      <c r="AK45" s="322"/>
      <c r="AL45" s="322"/>
      <c r="AM45" s="322"/>
      <c r="AN45" s="865"/>
      <c r="AO45" s="920"/>
    </row>
    <row r="46" spans="1:41" ht="3.75" customHeight="1" x14ac:dyDescent="0.4">
      <c r="A46" s="323"/>
      <c r="B46" s="323"/>
      <c r="C46" s="970"/>
      <c r="D46" s="970"/>
      <c r="E46" s="970"/>
      <c r="F46" s="970"/>
      <c r="G46" s="970"/>
      <c r="H46" s="970"/>
      <c r="I46" s="970"/>
      <c r="J46" s="970"/>
      <c r="K46" s="970"/>
      <c r="L46" s="970"/>
      <c r="M46" s="970"/>
      <c r="N46" s="970"/>
      <c r="O46" s="970"/>
      <c r="P46" s="970"/>
      <c r="Q46" s="970"/>
      <c r="R46" s="970"/>
      <c r="S46" s="970"/>
      <c r="T46" s="970"/>
      <c r="U46" s="970"/>
      <c r="V46" s="970"/>
      <c r="W46" s="970"/>
      <c r="X46" s="970"/>
      <c r="Y46" s="970"/>
      <c r="Z46" s="970"/>
      <c r="AA46" s="970"/>
      <c r="AB46" s="970"/>
      <c r="AC46" s="970"/>
      <c r="AD46" s="322"/>
      <c r="AE46" s="322"/>
      <c r="AF46" s="322"/>
      <c r="AG46" s="322"/>
      <c r="AH46" s="322"/>
      <c r="AI46" s="322"/>
      <c r="AJ46" s="322"/>
      <c r="AK46" s="322"/>
      <c r="AL46" s="322"/>
      <c r="AM46" s="322"/>
      <c r="AN46" s="865"/>
      <c r="AO46" s="920"/>
    </row>
    <row r="47" spans="1:41" ht="13.5" customHeight="1" x14ac:dyDescent="0.4">
      <c r="A47" s="323"/>
      <c r="B47" s="323"/>
      <c r="C47" s="323"/>
      <c r="D47" s="324"/>
      <c r="E47" s="324"/>
      <c r="F47" s="324"/>
      <c r="G47" s="324"/>
      <c r="H47" s="324"/>
      <c r="I47" s="324"/>
      <c r="J47" s="324"/>
      <c r="K47" s="324"/>
      <c r="L47" s="324"/>
      <c r="M47" s="324"/>
      <c r="N47" s="324"/>
      <c r="O47" s="324"/>
      <c r="P47" s="324"/>
      <c r="Q47" s="324"/>
      <c r="R47" s="324"/>
      <c r="S47" s="324"/>
      <c r="T47" s="324"/>
      <c r="U47" s="324"/>
      <c r="V47" s="324"/>
      <c r="W47" s="324"/>
      <c r="X47" s="324"/>
      <c r="Y47" s="324"/>
      <c r="Z47" s="324"/>
      <c r="AA47" s="324"/>
      <c r="AB47" s="324"/>
      <c r="AC47" s="971"/>
      <c r="AD47" s="972"/>
      <c r="AE47" s="973"/>
      <c r="AF47" s="974" t="s">
        <v>984</v>
      </c>
      <c r="AG47" s="975"/>
      <c r="AH47" s="975"/>
      <c r="AI47" s="975"/>
      <c r="AJ47" s="975"/>
      <c r="AK47" s="975"/>
      <c r="AL47" s="975"/>
      <c r="AM47" s="976"/>
      <c r="AN47" s="865"/>
      <c r="AO47" s="920"/>
    </row>
    <row r="48" spans="1:41" ht="13.5" customHeight="1" x14ac:dyDescent="0.4">
      <c r="A48" s="977"/>
      <c r="B48" s="977"/>
      <c r="C48" s="977"/>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9"/>
      <c r="AD48" s="980"/>
      <c r="AE48" s="981"/>
      <c r="AF48" s="982" t="s">
        <v>985</v>
      </c>
      <c r="AG48" s="983"/>
      <c r="AH48" s="983"/>
      <c r="AI48" s="983"/>
      <c r="AJ48" s="983"/>
      <c r="AK48" s="983"/>
      <c r="AL48" s="983"/>
      <c r="AM48" s="984"/>
      <c r="AN48" s="865"/>
      <c r="AO48" s="920"/>
    </row>
    <row r="49" spans="1:41" hidden="1" x14ac:dyDescent="0.4">
      <c r="A49" s="305"/>
      <c r="B49" s="305"/>
      <c r="C49" s="305"/>
      <c r="D49" s="305"/>
      <c r="E49" s="305"/>
      <c r="F49" s="305"/>
      <c r="G49" s="305"/>
      <c r="H49" s="305"/>
      <c r="I49" s="305"/>
      <c r="J49" s="305"/>
      <c r="K49" s="305"/>
      <c r="L49" s="305"/>
      <c r="M49" s="305"/>
      <c r="N49" s="305"/>
      <c r="O49" s="305"/>
      <c r="P49" s="305"/>
      <c r="Q49" s="305"/>
      <c r="R49" s="305"/>
      <c r="S49" s="305"/>
      <c r="T49" s="305"/>
      <c r="U49" s="305"/>
      <c r="V49" s="305"/>
      <c r="W49" s="305"/>
      <c r="X49" s="305"/>
      <c r="Y49" s="305"/>
      <c r="Z49" s="305"/>
      <c r="AA49" s="305"/>
      <c r="AB49" s="305"/>
      <c r="AC49" s="305"/>
      <c r="AD49" s="305"/>
      <c r="AE49" s="305"/>
      <c r="AF49" s="305"/>
      <c r="AG49" s="305"/>
      <c r="AH49" s="305"/>
      <c r="AI49" s="305"/>
      <c r="AJ49" s="305"/>
      <c r="AK49" s="305"/>
      <c r="AL49" s="305"/>
      <c r="AM49" s="305"/>
      <c r="AN49" s="305"/>
      <c r="AO49" s="304"/>
    </row>
    <row r="50" spans="1:41" x14ac:dyDescent="0.4">
      <c r="A50" s="325"/>
    </row>
  </sheetData>
  <mergeCells count="94">
    <mergeCell ref="AF48:AM48"/>
    <mergeCell ref="C45:AC46"/>
    <mergeCell ref="V22:AN22"/>
    <mergeCell ref="W26:AM26"/>
    <mergeCell ref="A11:AN11"/>
    <mergeCell ref="A12:H12"/>
    <mergeCell ref="I12:K12"/>
    <mergeCell ref="L12:AA12"/>
    <mergeCell ref="A13:K13"/>
    <mergeCell ref="L13:AN13"/>
    <mergeCell ref="B23:U23"/>
    <mergeCell ref="V24:AL24"/>
    <mergeCell ref="B24:U24"/>
    <mergeCell ref="B25:U25"/>
    <mergeCell ref="B26:U26"/>
    <mergeCell ref="AN42:AN43"/>
    <mergeCell ref="AO42:AO43"/>
    <mergeCell ref="A44:C44"/>
    <mergeCell ref="D44:AB44"/>
    <mergeCell ref="AN44:AN48"/>
    <mergeCell ref="AO44:AO48"/>
    <mergeCell ref="A45:B45"/>
    <mergeCell ref="AC47:AE47"/>
    <mergeCell ref="AF47:AM47"/>
    <mergeCell ref="A35:F43"/>
    <mergeCell ref="G35:I37"/>
    <mergeCell ref="J35:AA37"/>
    <mergeCell ref="AB35:AE35"/>
    <mergeCell ref="AF35:AM35"/>
    <mergeCell ref="A48:C48"/>
    <mergeCell ref="D48:AB48"/>
    <mergeCell ref="AC48:AE48"/>
    <mergeCell ref="AD36:AE37"/>
    <mergeCell ref="AF36:AM36"/>
    <mergeCell ref="AF37:AM37"/>
    <mergeCell ref="G38:I40"/>
    <mergeCell ref="AN32:AN34"/>
    <mergeCell ref="J38:AA40"/>
    <mergeCell ref="AD38:AE42"/>
    <mergeCell ref="AF38:AM38"/>
    <mergeCell ref="AF39:AM39"/>
    <mergeCell ref="AF40:AM40"/>
    <mergeCell ref="H41:Z41"/>
    <mergeCell ref="AF41:AM41"/>
    <mergeCell ref="H42:Z43"/>
    <mergeCell ref="AF42:AL42"/>
    <mergeCell ref="AB36:AC42"/>
    <mergeCell ref="AO32:AO34"/>
    <mergeCell ref="A32:AM32"/>
    <mergeCell ref="B33:AM33"/>
    <mergeCell ref="A34:AM34"/>
    <mergeCell ref="AO28:AO31"/>
    <mergeCell ref="B29:AN29"/>
    <mergeCell ref="B30:AN30"/>
    <mergeCell ref="B31:AN31"/>
    <mergeCell ref="A28:AN28"/>
    <mergeCell ref="AO22:AO26"/>
    <mergeCell ref="B22:U22"/>
    <mergeCell ref="A19:J19"/>
    <mergeCell ref="K19:K20"/>
    <mergeCell ref="L19:AN19"/>
    <mergeCell ref="L20:S20"/>
    <mergeCell ref="A21:AN21"/>
    <mergeCell ref="U20:AL20"/>
    <mergeCell ref="A18:K18"/>
    <mergeCell ref="L18:AN18"/>
    <mergeCell ref="A5:C5"/>
    <mergeCell ref="D5:K5"/>
    <mergeCell ref="N5:AL6"/>
    <mergeCell ref="A6:K10"/>
    <mergeCell ref="L7:AN7"/>
    <mergeCell ref="L8:AN8"/>
    <mergeCell ref="L9:AN9"/>
    <mergeCell ref="O10:AK10"/>
    <mergeCell ref="A16:AN16"/>
    <mergeCell ref="A17:H17"/>
    <mergeCell ref="I17:K17"/>
    <mergeCell ref="L17:AA17"/>
    <mergeCell ref="AB17:AN17"/>
    <mergeCell ref="AD12:AN12"/>
    <mergeCell ref="A1:AO1"/>
    <mergeCell ref="A2:AE2"/>
    <mergeCell ref="AF2:AN2"/>
    <mergeCell ref="A3:AE3"/>
    <mergeCell ref="AF3:AN3"/>
    <mergeCell ref="AB12:AC12"/>
    <mergeCell ref="Q14:W14"/>
    <mergeCell ref="X14:AK14"/>
    <mergeCell ref="A4:K4"/>
    <mergeCell ref="L4:AN4"/>
    <mergeCell ref="A14:J14"/>
    <mergeCell ref="K14:K15"/>
    <mergeCell ref="L15:S15"/>
    <mergeCell ref="U15:AL15"/>
  </mergeCells>
  <phoneticPr fontId="1"/>
  <pageMargins left="0.78740157480314965" right="0.59055118110236227" top="0.47244094488188981" bottom="0.23622047244094491"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ltText="">
                <anchor>
                  <from>
                    <xdr:col>0</xdr:col>
                    <xdr:colOff>57150</xdr:colOff>
                    <xdr:row>20</xdr:row>
                    <xdr:rowOff>123825</xdr:rowOff>
                  </from>
                  <to>
                    <xdr:col>1</xdr:col>
                    <xdr:colOff>57150</xdr:colOff>
                    <xdr:row>22</xdr:row>
                    <xdr:rowOff>0</xdr:rowOff>
                  </to>
                </anchor>
              </controlPr>
            </control>
          </mc:Choice>
        </mc:AlternateContent>
        <mc:AlternateContent xmlns:mc="http://schemas.openxmlformats.org/markup-compatibility/2006">
          <mc:Choice Requires="x14">
            <control shapeId="1026" r:id="rId5" name="Check Box 2">
              <controlPr defaultSize="0" autoFill="0" autoLine="0" autoPict="0" altText="">
                <anchor>
                  <from>
                    <xdr:col>0</xdr:col>
                    <xdr:colOff>57150</xdr:colOff>
                    <xdr:row>21</xdr:row>
                    <xdr:rowOff>123825</xdr:rowOff>
                  </from>
                  <to>
                    <xdr:col>1</xdr:col>
                    <xdr:colOff>57150</xdr:colOff>
                    <xdr:row>23</xdr:row>
                    <xdr:rowOff>9525</xdr:rowOff>
                  </to>
                </anchor>
              </controlPr>
            </control>
          </mc:Choice>
        </mc:AlternateContent>
        <mc:AlternateContent xmlns:mc="http://schemas.openxmlformats.org/markup-compatibility/2006">
          <mc:Choice Requires="x14">
            <control shapeId="1027" r:id="rId6" name="Check Box 3">
              <controlPr defaultSize="0" autoFill="0" autoLine="0" autoPict="0" altText="">
                <anchor>
                  <from>
                    <xdr:col>0</xdr:col>
                    <xdr:colOff>57150</xdr:colOff>
                    <xdr:row>22</xdr:row>
                    <xdr:rowOff>123825</xdr:rowOff>
                  </from>
                  <to>
                    <xdr:col>1</xdr:col>
                    <xdr:colOff>57150</xdr:colOff>
                    <xdr:row>24</xdr:row>
                    <xdr:rowOff>9525</xdr:rowOff>
                  </to>
                </anchor>
              </controlPr>
            </control>
          </mc:Choice>
        </mc:AlternateContent>
        <mc:AlternateContent xmlns:mc="http://schemas.openxmlformats.org/markup-compatibility/2006">
          <mc:Choice Requires="x14">
            <control shapeId="1028" r:id="rId7" name="Check Box 4">
              <controlPr defaultSize="0" autoFill="0" autoLine="0" autoPict="0" altText="">
                <anchor>
                  <from>
                    <xdr:col>0</xdr:col>
                    <xdr:colOff>57150</xdr:colOff>
                    <xdr:row>23</xdr:row>
                    <xdr:rowOff>123825</xdr:rowOff>
                  </from>
                  <to>
                    <xdr:col>1</xdr:col>
                    <xdr:colOff>57150</xdr:colOff>
                    <xdr:row>25</xdr:row>
                    <xdr:rowOff>9525</xdr:rowOff>
                  </to>
                </anchor>
              </controlPr>
            </control>
          </mc:Choice>
        </mc:AlternateContent>
        <mc:AlternateContent xmlns:mc="http://schemas.openxmlformats.org/markup-compatibility/2006">
          <mc:Choice Requires="x14">
            <control shapeId="1029" r:id="rId8" name="Check Box 5">
              <controlPr defaultSize="0" autoFill="0" autoLine="0" autoPict="0" altText="">
                <anchor>
                  <from>
                    <xdr:col>0</xdr:col>
                    <xdr:colOff>57150</xdr:colOff>
                    <xdr:row>24</xdr:row>
                    <xdr:rowOff>114300</xdr:rowOff>
                  </from>
                  <to>
                    <xdr:col>1</xdr:col>
                    <xdr:colOff>57150</xdr:colOff>
                    <xdr:row>26</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ltText="">
                <anchor>
                  <from>
                    <xdr:col>0</xdr:col>
                    <xdr:colOff>57150</xdr:colOff>
                    <xdr:row>27</xdr:row>
                    <xdr:rowOff>304800</xdr:rowOff>
                  </from>
                  <to>
                    <xdr:col>1</xdr:col>
                    <xdr:colOff>57150</xdr:colOff>
                    <xdr:row>29</xdr:row>
                    <xdr:rowOff>9525</xdr:rowOff>
                  </to>
                </anchor>
              </controlPr>
            </control>
          </mc:Choice>
        </mc:AlternateContent>
        <mc:AlternateContent xmlns:mc="http://schemas.openxmlformats.org/markup-compatibility/2006">
          <mc:Choice Requires="x14">
            <control shapeId="1031" r:id="rId10" name="Check Box 7">
              <controlPr defaultSize="0" autoFill="0" autoLine="0" autoPict="0" altText="">
                <anchor>
                  <from>
                    <xdr:col>0</xdr:col>
                    <xdr:colOff>57150</xdr:colOff>
                    <xdr:row>29</xdr:row>
                    <xdr:rowOff>114300</xdr:rowOff>
                  </from>
                  <to>
                    <xdr:col>1</xdr:col>
                    <xdr:colOff>57150</xdr:colOff>
                    <xdr:row>31</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ltText="">
                <anchor>
                  <from>
                    <xdr:col>0</xdr:col>
                    <xdr:colOff>57150</xdr:colOff>
                    <xdr:row>28</xdr:row>
                    <xdr:rowOff>114300</xdr:rowOff>
                  </from>
                  <to>
                    <xdr:col>1</xdr:col>
                    <xdr:colOff>57150</xdr:colOff>
                    <xdr:row>30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2BDDB8D6-A147-48AE-9C01-8B225545BB11}">
          <x14:formula1>
            <xm:f>リスト!$A$39:$A$44</xm:f>
          </x14:formula1>
          <xm:sqref>A13:K13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ECE53-5593-43D7-9208-B2BF6C172B2C}">
  <sheetPr codeName="Sheet3">
    <tabColor theme="9" tint="0.59999389629810485"/>
  </sheetPr>
  <dimension ref="A1:AJ229"/>
  <sheetViews>
    <sheetView showZeros="0" workbookViewId="0">
      <selection activeCell="AW216" sqref="AW216"/>
    </sheetView>
  </sheetViews>
  <sheetFormatPr defaultColWidth="2.5" defaultRowHeight="13.5" customHeight="1" x14ac:dyDescent="0.4"/>
  <cols>
    <col min="5" max="5" width="3.25" customWidth="1"/>
    <col min="14" max="14" width="3.125" customWidth="1"/>
    <col min="19" max="19" width="2.875" customWidth="1"/>
    <col min="31" max="31" width="2.125" customWidth="1"/>
    <col min="34" max="34" width="1.875" customWidth="1"/>
  </cols>
  <sheetData>
    <row r="1" spans="1:36" ht="13.5" customHeight="1" x14ac:dyDescent="0.4">
      <c r="A1" s="1209" t="s">
        <v>438</v>
      </c>
      <c r="B1" s="1140"/>
      <c r="C1" s="1140"/>
      <c r="D1" s="1140"/>
      <c r="E1" s="1140"/>
      <c r="F1" s="1140"/>
      <c r="G1" s="1140"/>
      <c r="H1" s="1140"/>
      <c r="I1" s="1140"/>
      <c r="J1" s="1140"/>
      <c r="K1" s="1140"/>
      <c r="L1" s="1140"/>
      <c r="M1" s="1140"/>
    </row>
    <row r="2" spans="1:36" ht="13.5" customHeight="1" x14ac:dyDescent="0.4">
      <c r="A2" s="1140"/>
      <c r="B2" s="1140"/>
      <c r="C2" s="1140"/>
      <c r="D2" s="1140"/>
      <c r="E2" s="1140"/>
      <c r="F2" s="1140"/>
      <c r="G2" s="1140"/>
      <c r="H2" s="1140"/>
      <c r="I2" s="1140"/>
      <c r="J2" s="1140"/>
      <c r="K2" s="1140"/>
      <c r="L2" s="1140"/>
      <c r="M2" s="1140"/>
    </row>
    <row r="3" spans="1:36" ht="13.5" customHeight="1" x14ac:dyDescent="0.4">
      <c r="W3" s="480" t="s">
        <v>62</v>
      </c>
      <c r="X3" s="480"/>
      <c r="Y3" s="480"/>
      <c r="Z3" s="480"/>
      <c r="AA3" s="480"/>
      <c r="AB3" s="480"/>
      <c r="AC3" s="480"/>
      <c r="AD3" s="480"/>
      <c r="AE3" s="480"/>
      <c r="AF3" s="480"/>
      <c r="AG3" s="480"/>
      <c r="AH3" s="480"/>
      <c r="AI3" s="480"/>
      <c r="AJ3" s="480"/>
    </row>
    <row r="4" spans="1:36" ht="13.5" customHeight="1" thickBot="1" x14ac:dyDescent="0.45">
      <c r="A4" s="1210">
        <v>45261</v>
      </c>
      <c r="B4" s="1210"/>
      <c r="C4" s="1210"/>
      <c r="D4" s="1210"/>
      <c r="E4" s="1210"/>
      <c r="F4" s="1210"/>
      <c r="G4" s="551" t="s">
        <v>439</v>
      </c>
      <c r="H4" s="551"/>
      <c r="I4" s="551"/>
      <c r="J4" s="7"/>
      <c r="K4" s="7"/>
      <c r="L4" s="551" t="s">
        <v>440</v>
      </c>
      <c r="M4" s="551"/>
      <c r="N4" s="7"/>
      <c r="O4" s="551" t="s">
        <v>5</v>
      </c>
      <c r="P4" s="551"/>
      <c r="Q4" s="7"/>
      <c r="R4" s="551" t="s">
        <v>441</v>
      </c>
      <c r="S4" s="551"/>
      <c r="T4" s="7"/>
      <c r="U4" s="551" t="s">
        <v>443</v>
      </c>
      <c r="V4" s="551"/>
      <c r="W4" s="551"/>
      <c r="X4" s="551"/>
      <c r="Y4" s="551"/>
      <c r="Z4" s="551"/>
      <c r="AA4" s="7" t="s">
        <v>426</v>
      </c>
      <c r="AB4" s="551" t="s">
        <v>442</v>
      </c>
      <c r="AC4" s="551"/>
      <c r="AD4" s="551"/>
      <c r="AE4" s="551">
        <f>'[2]（最新）アセスメントシート'!AG3</f>
        <v>0</v>
      </c>
      <c r="AF4" s="551"/>
      <c r="AG4" s="551"/>
      <c r="AH4" s="551"/>
      <c r="AI4" s="551"/>
      <c r="AJ4" s="551"/>
    </row>
    <row r="5" spans="1:36" ht="7.5" customHeight="1" x14ac:dyDescent="0.4"/>
    <row r="6" spans="1:36" ht="19.5" customHeight="1" x14ac:dyDescent="0.4">
      <c r="A6" s="1203" t="s">
        <v>444</v>
      </c>
      <c r="B6" s="1204"/>
      <c r="C6" s="1204"/>
      <c r="D6" s="1204"/>
      <c r="E6" s="1205"/>
      <c r="F6" s="1212">
        <f>'（最新）アセスメントシート'!D5</f>
        <v>0</v>
      </c>
      <c r="G6" s="1213"/>
      <c r="H6" s="1213"/>
      <c r="I6" s="1213"/>
      <c r="J6" s="1213"/>
      <c r="K6" s="1213"/>
      <c r="L6" s="1213"/>
      <c r="M6" s="1213"/>
      <c r="N6" s="1213"/>
      <c r="O6" s="1213"/>
      <c r="P6" s="1213"/>
      <c r="Q6" s="405">
        <f>'（最新）アセスメントシート'!R5</f>
        <v>0</v>
      </c>
      <c r="R6" s="453"/>
      <c r="S6" s="405" t="s">
        <v>3</v>
      </c>
      <c r="T6" s="406"/>
      <c r="U6" s="406"/>
      <c r="V6" s="406"/>
      <c r="W6" s="453"/>
      <c r="X6" s="1211">
        <f>'（最新）アセスメントシート'!X5</f>
        <v>0</v>
      </c>
      <c r="Y6" s="406"/>
      <c r="Z6" s="406"/>
      <c r="AA6" s="406"/>
      <c r="AB6" s="406"/>
      <c r="AC6" s="406"/>
      <c r="AD6" s="406"/>
      <c r="AE6" s="406"/>
      <c r="AF6" s="406" t="s">
        <v>445</v>
      </c>
      <c r="AG6" s="406">
        <f>'（最新）アセスメントシート'!AD5</f>
        <v>0</v>
      </c>
      <c r="AH6" s="406"/>
      <c r="AI6" s="406" t="s">
        <v>446</v>
      </c>
      <c r="AJ6" s="453"/>
    </row>
    <row r="7" spans="1:36" ht="19.5" customHeight="1" thickBot="1" x14ac:dyDescent="0.45">
      <c r="A7" s="1206"/>
      <c r="B7" s="1207"/>
      <c r="C7" s="1207"/>
      <c r="D7" s="1207"/>
      <c r="E7" s="1208"/>
      <c r="F7" s="1214"/>
      <c r="G7" s="1215"/>
      <c r="H7" s="1215"/>
      <c r="I7" s="1215"/>
      <c r="J7" s="1215"/>
      <c r="K7" s="1215"/>
      <c r="L7" s="1215"/>
      <c r="M7" s="1215"/>
      <c r="N7" s="1215"/>
      <c r="O7" s="1215"/>
      <c r="P7" s="1215"/>
      <c r="Q7" s="1201"/>
      <c r="R7" s="1202"/>
      <c r="S7" s="1201"/>
      <c r="T7" s="551"/>
      <c r="U7" s="551"/>
      <c r="V7" s="551"/>
      <c r="W7" s="1202"/>
      <c r="X7" s="551"/>
      <c r="Y7" s="551"/>
      <c r="Z7" s="551"/>
      <c r="AA7" s="551"/>
      <c r="AB7" s="551"/>
      <c r="AC7" s="551"/>
      <c r="AD7" s="551"/>
      <c r="AE7" s="551"/>
      <c r="AF7" s="551"/>
      <c r="AG7" s="551"/>
      <c r="AH7" s="551"/>
      <c r="AI7" s="551"/>
      <c r="AJ7" s="1202"/>
    </row>
    <row r="8" spans="1:36" ht="12" customHeight="1" x14ac:dyDescent="0.4">
      <c r="A8" s="1195" t="s">
        <v>4</v>
      </c>
      <c r="B8" s="1196"/>
      <c r="C8" s="1196"/>
      <c r="D8" s="1196"/>
      <c r="E8" s="1197"/>
      <c r="F8" t="s">
        <v>447</v>
      </c>
      <c r="AA8" s="497" t="s">
        <v>448</v>
      </c>
      <c r="AB8" s="498"/>
      <c r="AC8" s="531"/>
      <c r="AD8" s="225"/>
      <c r="AJ8" s="184"/>
    </row>
    <row r="9" spans="1:36" ht="12" customHeight="1" x14ac:dyDescent="0.4">
      <c r="A9" s="1195"/>
      <c r="B9" s="1196"/>
      <c r="C9" s="1196"/>
      <c r="D9" s="1196"/>
      <c r="E9" s="1197"/>
      <c r="F9" s="487">
        <f>'（最新）アセスメントシート'!D7</f>
        <v>0</v>
      </c>
      <c r="G9" s="487"/>
      <c r="H9" s="487"/>
      <c r="I9" s="487"/>
      <c r="J9" s="487"/>
      <c r="K9" s="487"/>
      <c r="L9" s="487"/>
      <c r="M9" s="487"/>
      <c r="N9" s="487"/>
      <c r="O9" s="487"/>
      <c r="P9" s="487"/>
      <c r="Q9" s="487"/>
      <c r="R9" s="487"/>
      <c r="S9" s="487"/>
      <c r="T9" s="487"/>
      <c r="U9" s="487"/>
      <c r="V9" s="487"/>
      <c r="W9" s="487"/>
      <c r="X9" s="487"/>
      <c r="Y9" s="487"/>
      <c r="Z9" s="487"/>
      <c r="AA9" s="497"/>
      <c r="AB9" s="498"/>
      <c r="AC9" s="531"/>
      <c r="AD9" s="225"/>
      <c r="AJ9" s="184"/>
    </row>
    <row r="10" spans="1:36" ht="12" customHeight="1" x14ac:dyDescent="0.4">
      <c r="A10" s="1198"/>
      <c r="B10" s="1199"/>
      <c r="C10" s="1199"/>
      <c r="D10" s="1199"/>
      <c r="E10" s="1200"/>
      <c r="F10" s="487"/>
      <c r="G10" s="487"/>
      <c r="H10" s="487"/>
      <c r="I10" s="487"/>
      <c r="J10" s="487"/>
      <c r="K10" s="487"/>
      <c r="L10" s="487"/>
      <c r="M10" s="487"/>
      <c r="N10" s="487"/>
      <c r="O10" s="487"/>
      <c r="P10" s="487"/>
      <c r="Q10" s="487"/>
      <c r="R10" s="487"/>
      <c r="S10" s="487"/>
      <c r="T10" s="487"/>
      <c r="U10" s="487"/>
      <c r="V10" s="487"/>
      <c r="W10" s="487"/>
      <c r="X10" s="487"/>
      <c r="Y10" s="487"/>
      <c r="Z10" s="487"/>
      <c r="AA10" s="407"/>
      <c r="AB10" s="408"/>
      <c r="AC10" s="454"/>
      <c r="AD10" s="227"/>
      <c r="AE10" s="192"/>
      <c r="AF10" s="192"/>
      <c r="AG10" s="192"/>
      <c r="AH10" s="192"/>
      <c r="AI10" s="192"/>
      <c r="AJ10" s="228"/>
    </row>
    <row r="11" spans="1:36" ht="24" customHeight="1" x14ac:dyDescent="0.4">
      <c r="A11" s="1203" t="s">
        <v>449</v>
      </c>
      <c r="B11" s="1204"/>
      <c r="C11" s="1204"/>
      <c r="D11" s="1204"/>
      <c r="E11" s="1205"/>
      <c r="F11" s="405" t="s">
        <v>450</v>
      </c>
      <c r="G11" s="406"/>
      <c r="H11" s="406"/>
      <c r="I11" s="508">
        <f>'（最新）アセスメントシート'!C16</f>
        <v>0</v>
      </c>
      <c r="J11" s="508"/>
      <c r="K11" s="508"/>
      <c r="L11" s="508"/>
      <c r="M11" s="508"/>
      <c r="N11" s="508"/>
      <c r="O11" s="508"/>
      <c r="P11" s="508"/>
      <c r="Q11" s="508"/>
      <c r="R11" s="508"/>
      <c r="S11" s="508"/>
      <c r="T11" s="423" t="s">
        <v>451</v>
      </c>
      <c r="U11" s="1217"/>
      <c r="V11" s="187" t="s">
        <v>445</v>
      </c>
      <c r="W11" s="424">
        <f>'（最新）アセスメントシート'!I16</f>
        <v>0</v>
      </c>
      <c r="X11" s="424"/>
      <c r="Y11" s="424"/>
      <c r="Z11" s="398" t="s">
        <v>426</v>
      </c>
      <c r="AA11" s="405" t="s">
        <v>448</v>
      </c>
      <c r="AB11" s="406"/>
      <c r="AC11" s="453"/>
      <c r="AD11" s="406">
        <f>'[2]（最新）アセスメントシート'!S16</f>
        <v>0</v>
      </c>
      <c r="AE11" s="406"/>
      <c r="AF11" s="406"/>
      <c r="AG11" s="406"/>
      <c r="AH11" s="406"/>
      <c r="AI11" s="406"/>
      <c r="AJ11" s="453"/>
    </row>
    <row r="12" spans="1:36" ht="13.5" customHeight="1" x14ac:dyDescent="0.4">
      <c r="A12" s="1195"/>
      <c r="B12" s="1196"/>
      <c r="C12" s="1196"/>
      <c r="D12" s="1196"/>
      <c r="E12" s="1197"/>
      <c r="F12" s="405" t="s">
        <v>4</v>
      </c>
      <c r="G12" s="406"/>
      <c r="H12" s="406"/>
      <c r="I12" s="508">
        <f>'（最新）アセスメントシート'!L16</f>
        <v>0</v>
      </c>
      <c r="J12" s="508"/>
      <c r="K12" s="508"/>
      <c r="L12" s="508"/>
      <c r="M12" s="508"/>
      <c r="N12" s="508"/>
      <c r="O12" s="508"/>
      <c r="P12" s="508"/>
      <c r="Q12" s="508"/>
      <c r="R12" s="508"/>
      <c r="S12" s="508"/>
      <c r="T12" s="508"/>
      <c r="U12" s="508"/>
      <c r="V12" s="508"/>
      <c r="W12" s="508"/>
      <c r="X12" s="508"/>
      <c r="Y12" s="508"/>
      <c r="Z12" s="1218"/>
      <c r="AA12" s="497"/>
      <c r="AB12" s="498"/>
      <c r="AC12" s="531"/>
      <c r="AD12" s="498"/>
      <c r="AE12" s="498"/>
      <c r="AF12" s="498"/>
      <c r="AG12" s="498"/>
      <c r="AH12" s="498"/>
      <c r="AI12" s="498"/>
      <c r="AJ12" s="531"/>
    </row>
    <row r="13" spans="1:36" ht="13.5" customHeight="1" x14ac:dyDescent="0.4">
      <c r="A13" s="1198"/>
      <c r="B13" s="1199"/>
      <c r="C13" s="1199"/>
      <c r="D13" s="1199"/>
      <c r="E13" s="1200"/>
      <c r="F13" s="407"/>
      <c r="G13" s="408"/>
      <c r="H13" s="408"/>
      <c r="I13" s="510"/>
      <c r="J13" s="510"/>
      <c r="K13" s="510"/>
      <c r="L13" s="510"/>
      <c r="M13" s="510"/>
      <c r="N13" s="510"/>
      <c r="O13" s="510"/>
      <c r="P13" s="510"/>
      <c r="Q13" s="510"/>
      <c r="R13" s="510"/>
      <c r="S13" s="510"/>
      <c r="T13" s="510"/>
      <c r="U13" s="510"/>
      <c r="V13" s="510"/>
      <c r="W13" s="510"/>
      <c r="X13" s="510"/>
      <c r="Y13" s="510"/>
      <c r="Z13" s="1194"/>
      <c r="AA13" s="407"/>
      <c r="AB13" s="408"/>
      <c r="AC13" s="454"/>
      <c r="AD13" s="408"/>
      <c r="AE13" s="408"/>
      <c r="AF13" s="408"/>
      <c r="AG13" s="408"/>
      <c r="AH13" s="408"/>
      <c r="AI13" s="408"/>
      <c r="AJ13" s="454"/>
    </row>
    <row r="14" spans="1:36" ht="24" customHeight="1" x14ac:dyDescent="0.4">
      <c r="A14" s="1203" t="s">
        <v>452</v>
      </c>
      <c r="B14" s="1204"/>
      <c r="C14" s="1204"/>
      <c r="D14" s="1204"/>
      <c r="E14" s="1205"/>
      <c r="F14" s="405" t="s">
        <v>450</v>
      </c>
      <c r="G14" s="406"/>
      <c r="H14" s="406"/>
      <c r="I14" s="508">
        <f>'（最新）アセスメントシート'!C16</f>
        <v>0</v>
      </c>
      <c r="J14" s="508"/>
      <c r="K14" s="508"/>
      <c r="L14" s="508"/>
      <c r="M14" s="508"/>
      <c r="N14" s="508"/>
      <c r="O14" s="508"/>
      <c r="P14" s="508"/>
      <c r="Q14" s="508"/>
      <c r="R14" s="508"/>
      <c r="S14" s="1218"/>
      <c r="T14" s="423" t="s">
        <v>451</v>
      </c>
      <c r="U14" s="424"/>
      <c r="V14" s="187" t="s">
        <v>445</v>
      </c>
      <c r="W14" s="424">
        <f>'（最新）アセスメントシート'!I16</f>
        <v>0</v>
      </c>
      <c r="X14" s="424"/>
      <c r="Y14" s="424"/>
      <c r="Z14" s="398" t="s">
        <v>426</v>
      </c>
      <c r="AA14" s="405" t="s">
        <v>448</v>
      </c>
      <c r="AB14" s="406"/>
      <c r="AC14" s="453"/>
      <c r="AD14" s="406">
        <f>'（最新）アセスメントシート'!S16</f>
        <v>0</v>
      </c>
      <c r="AE14" s="406"/>
      <c r="AF14" s="406"/>
      <c r="AG14" s="406"/>
      <c r="AH14" s="406"/>
      <c r="AI14" s="406"/>
      <c r="AJ14" s="453"/>
    </row>
    <row r="15" spans="1:36" ht="13.5" customHeight="1" x14ac:dyDescent="0.4">
      <c r="A15" s="1195"/>
      <c r="B15" s="1196"/>
      <c r="C15" s="1196"/>
      <c r="D15" s="1196"/>
      <c r="E15" s="1197"/>
      <c r="F15" s="405" t="s">
        <v>4</v>
      </c>
      <c r="G15" s="406"/>
      <c r="H15" s="406"/>
      <c r="I15" s="508">
        <f>'（最新）アセスメントシート'!L16</f>
        <v>0</v>
      </c>
      <c r="J15" s="508"/>
      <c r="K15" s="508"/>
      <c r="L15" s="508"/>
      <c r="M15" s="508"/>
      <c r="N15" s="508"/>
      <c r="O15" s="508"/>
      <c r="P15" s="508"/>
      <c r="Q15" s="508"/>
      <c r="R15" s="508"/>
      <c r="S15" s="508"/>
      <c r="T15" s="508"/>
      <c r="U15" s="508"/>
      <c r="V15" s="508"/>
      <c r="W15" s="508"/>
      <c r="X15" s="508"/>
      <c r="Y15" s="508"/>
      <c r="Z15" s="1218"/>
      <c r="AA15" s="497"/>
      <c r="AB15" s="498"/>
      <c r="AC15" s="531"/>
      <c r="AD15" s="498"/>
      <c r="AE15" s="498"/>
      <c r="AF15" s="498"/>
      <c r="AG15" s="498"/>
      <c r="AH15" s="498"/>
      <c r="AI15" s="498"/>
      <c r="AJ15" s="531"/>
    </row>
    <row r="16" spans="1:36" ht="13.5" customHeight="1" thickBot="1" x14ac:dyDescent="0.45">
      <c r="A16" s="1206"/>
      <c r="B16" s="1207"/>
      <c r="C16" s="1207"/>
      <c r="D16" s="1207"/>
      <c r="E16" s="1208"/>
      <c r="F16" s="1201"/>
      <c r="G16" s="551"/>
      <c r="H16" s="551"/>
      <c r="I16" s="1219"/>
      <c r="J16" s="1219"/>
      <c r="K16" s="1219"/>
      <c r="L16" s="1219"/>
      <c r="M16" s="1219"/>
      <c r="N16" s="1219"/>
      <c r="O16" s="1219"/>
      <c r="P16" s="1219"/>
      <c r="Q16" s="1219"/>
      <c r="R16" s="1219"/>
      <c r="S16" s="1219"/>
      <c r="T16" s="1219"/>
      <c r="U16" s="1219"/>
      <c r="V16" s="1219"/>
      <c r="W16" s="1219"/>
      <c r="X16" s="1219"/>
      <c r="Y16" s="1219"/>
      <c r="Z16" s="1220"/>
      <c r="AA16" s="1201"/>
      <c r="AB16" s="551"/>
      <c r="AC16" s="1202"/>
      <c r="AD16" s="551"/>
      <c r="AE16" s="551"/>
      <c r="AF16" s="551"/>
      <c r="AG16" s="551"/>
      <c r="AH16" s="551"/>
      <c r="AI16" s="551"/>
      <c r="AJ16" s="1202"/>
    </row>
    <row r="17" spans="1:36" ht="13.5" customHeight="1" x14ac:dyDescent="0.4">
      <c r="A17" s="1216" t="s">
        <v>453</v>
      </c>
      <c r="B17" s="1196"/>
      <c r="C17" s="1196"/>
      <c r="D17" s="1196"/>
      <c r="E17" s="1197"/>
      <c r="F17" s="487" t="s">
        <v>685</v>
      </c>
      <c r="G17" s="487"/>
      <c r="H17" s="487"/>
      <c r="I17" s="487"/>
      <c r="J17" s="487"/>
      <c r="K17" s="487"/>
      <c r="L17" s="487"/>
      <c r="M17" s="487"/>
      <c r="N17" s="487"/>
      <c r="O17" s="487"/>
      <c r="P17" s="487"/>
      <c r="Q17" s="487"/>
      <c r="R17" s="487"/>
      <c r="S17" s="487"/>
      <c r="T17" s="487"/>
      <c r="U17" s="487"/>
      <c r="V17" s="487"/>
      <c r="W17" s="487"/>
      <c r="X17" s="487"/>
      <c r="Y17" s="487"/>
      <c r="Z17" s="487"/>
      <c r="AA17" s="487"/>
      <c r="AB17" s="487"/>
      <c r="AC17" s="487"/>
      <c r="AD17" s="487"/>
      <c r="AE17" s="487"/>
      <c r="AF17" s="487"/>
      <c r="AG17" s="487"/>
      <c r="AH17" s="487"/>
      <c r="AI17" s="487"/>
      <c r="AJ17" s="597"/>
    </row>
    <row r="18" spans="1:36" ht="13.5" customHeight="1" x14ac:dyDescent="0.4">
      <c r="A18" s="1198"/>
      <c r="B18" s="1199"/>
      <c r="C18" s="1199"/>
      <c r="D18" s="1199"/>
      <c r="E18" s="1200"/>
      <c r="F18" s="510"/>
      <c r="G18" s="510"/>
      <c r="H18" s="510"/>
      <c r="I18" s="510"/>
      <c r="J18" s="510"/>
      <c r="K18" s="510"/>
      <c r="L18" s="510"/>
      <c r="M18" s="510"/>
      <c r="N18" s="510"/>
      <c r="O18" s="510"/>
      <c r="P18" s="510"/>
      <c r="Q18" s="510"/>
      <c r="R18" s="510"/>
      <c r="S18" s="510"/>
      <c r="T18" s="510"/>
      <c r="U18" s="510"/>
      <c r="V18" s="510"/>
      <c r="W18" s="510"/>
      <c r="X18" s="510"/>
      <c r="Y18" s="510"/>
      <c r="Z18" s="510"/>
      <c r="AA18" s="510"/>
      <c r="AB18" s="510"/>
      <c r="AC18" s="510"/>
      <c r="AD18" s="510"/>
      <c r="AE18" s="510"/>
      <c r="AF18" s="510"/>
      <c r="AG18" s="510"/>
      <c r="AH18" s="510"/>
      <c r="AI18" s="510"/>
      <c r="AJ18" s="1194"/>
    </row>
    <row r="19" spans="1:36" ht="13.5" customHeight="1" x14ac:dyDescent="0.4">
      <c r="A19" s="1238" t="s">
        <v>454</v>
      </c>
      <c r="B19" s="1239"/>
      <c r="C19" s="1239"/>
      <c r="D19" s="1239"/>
      <c r="E19" s="1240"/>
      <c r="F19" s="405" t="s">
        <v>455</v>
      </c>
      <c r="G19" s="406"/>
      <c r="H19" s="406"/>
      <c r="I19" s="406"/>
      <c r="J19" s="453"/>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5"/>
    </row>
    <row r="20" spans="1:36" ht="13.5" customHeight="1" x14ac:dyDescent="0.4">
      <c r="A20" s="1241"/>
      <c r="B20" s="1242"/>
      <c r="C20" s="1242"/>
      <c r="D20" s="1242"/>
      <c r="E20" s="1243"/>
      <c r="F20" s="407"/>
      <c r="G20" s="408"/>
      <c r="H20" s="408"/>
      <c r="I20" s="408"/>
      <c r="J20" s="454"/>
      <c r="K20" s="1246"/>
      <c r="L20" s="1246"/>
      <c r="M20" s="1246"/>
      <c r="N20" s="1246"/>
      <c r="O20" s="1246"/>
      <c r="P20" s="1246"/>
      <c r="Q20" s="1246"/>
      <c r="R20" s="1246"/>
      <c r="S20" s="1246"/>
      <c r="T20" s="1246"/>
      <c r="U20" s="1246"/>
      <c r="V20" s="1246"/>
      <c r="W20" s="1246"/>
      <c r="X20" s="1246"/>
      <c r="Y20" s="1246"/>
      <c r="Z20" s="1246"/>
      <c r="AA20" s="1246"/>
      <c r="AB20" s="1246"/>
      <c r="AC20" s="1246"/>
      <c r="AD20" s="1246"/>
      <c r="AE20" s="1246"/>
      <c r="AF20" s="1246"/>
      <c r="AG20" s="1246"/>
      <c r="AH20" s="1246"/>
      <c r="AI20" s="1246"/>
      <c r="AJ20" s="1247"/>
    </row>
    <row r="21" spans="1:36" ht="9" customHeight="1" x14ac:dyDescent="0.4">
      <c r="A21" s="1250" t="s">
        <v>456</v>
      </c>
      <c r="B21" s="1250"/>
      <c r="C21" s="1250"/>
      <c r="D21" s="1250"/>
      <c r="E21" s="178"/>
      <c r="P21" s="1252" t="s">
        <v>491</v>
      </c>
      <c r="Q21" s="1252"/>
      <c r="R21" s="1252"/>
      <c r="S21" s="1252"/>
      <c r="T21" s="1252"/>
      <c r="U21" s="1252"/>
      <c r="V21" s="1252"/>
      <c r="W21" s="1252"/>
      <c r="X21" s="1252"/>
      <c r="Y21" s="1252"/>
      <c r="Z21" s="178"/>
      <c r="AA21" s="178"/>
      <c r="AB21" s="178"/>
    </row>
    <row r="22" spans="1:36" ht="13.5" customHeight="1" x14ac:dyDescent="0.4">
      <c r="A22" s="1250"/>
      <c r="B22" s="1250"/>
      <c r="C22" s="1250"/>
      <c r="D22" s="1250"/>
      <c r="P22" s="1253"/>
      <c r="Q22" s="1253"/>
      <c r="R22" s="1253"/>
      <c r="S22" s="1253"/>
      <c r="T22" s="1253"/>
      <c r="U22" s="1253"/>
      <c r="V22" s="1253"/>
      <c r="W22" s="1253"/>
      <c r="X22" s="1253"/>
      <c r="Y22" s="1253"/>
      <c r="Z22" s="178"/>
      <c r="AA22" s="178"/>
      <c r="AB22" s="178"/>
    </row>
    <row r="23" spans="1:36" ht="13.5" customHeight="1" x14ac:dyDescent="0.4">
      <c r="A23" s="1251" t="s">
        <v>457</v>
      </c>
      <c r="B23" s="1251"/>
      <c r="C23" s="1251"/>
      <c r="D23" s="1251"/>
      <c r="E23" s="1251"/>
      <c r="F23" s="1251"/>
      <c r="G23" s="1251"/>
      <c r="H23" s="1251"/>
      <c r="I23" s="1251"/>
      <c r="J23" s="1251"/>
      <c r="K23" s="1251"/>
      <c r="L23" s="1251"/>
      <c r="M23" s="1251"/>
      <c r="N23" s="1251"/>
      <c r="O23" s="181"/>
      <c r="P23" s="1192" t="s">
        <v>492</v>
      </c>
      <c r="Q23" s="1192"/>
      <c r="R23" s="1192"/>
      <c r="S23" s="1192"/>
      <c r="T23" s="1192"/>
      <c r="U23" s="186"/>
      <c r="V23" s="186"/>
      <c r="W23" s="186"/>
      <c r="X23" s="185"/>
      <c r="Y23" s="185"/>
      <c r="Z23" s="185"/>
      <c r="AA23" s="185"/>
      <c r="AB23" s="185"/>
      <c r="AC23" s="180"/>
      <c r="AD23" s="180"/>
      <c r="AE23" s="180"/>
      <c r="AF23" s="180"/>
    </row>
    <row r="24" spans="1:36" ht="13.5" customHeight="1" x14ac:dyDescent="0.4">
      <c r="A24" s="405" t="s">
        <v>489</v>
      </c>
      <c r="B24" s="406"/>
      <c r="C24" s="406"/>
      <c r="D24" s="182"/>
      <c r="E24" s="182"/>
      <c r="F24" s="182"/>
      <c r="G24" s="182"/>
      <c r="H24" s="182"/>
      <c r="I24" s="182"/>
      <c r="J24" s="182"/>
      <c r="K24" s="182"/>
      <c r="L24" s="182"/>
      <c r="M24" s="182"/>
      <c r="N24" s="183"/>
      <c r="P24" s="1254">
        <f>'（最新）アセスメントシート'!A49</f>
        <v>0</v>
      </c>
      <c r="Q24" s="1255"/>
      <c r="R24" s="1255"/>
      <c r="S24" s="1255"/>
      <c r="T24" s="1255"/>
      <c r="U24" s="1255"/>
      <c r="V24" s="1255"/>
      <c r="W24" s="1255"/>
      <c r="X24" s="1255"/>
      <c r="Y24" s="1255"/>
      <c r="Z24" s="1255"/>
      <c r="AA24" s="1255"/>
      <c r="AB24" s="1255"/>
      <c r="AC24" s="1255"/>
      <c r="AD24" s="1255"/>
      <c r="AE24" s="1255"/>
      <c r="AF24" s="1255"/>
      <c r="AG24" s="1255"/>
      <c r="AH24" s="1255"/>
      <c r="AI24" s="1255"/>
      <c r="AJ24" s="1256"/>
    </row>
    <row r="25" spans="1:36" ht="13.5" customHeight="1" x14ac:dyDescent="0.4">
      <c r="A25" s="1053">
        <f>'（最新）アセスメントシート'!A46</f>
        <v>0</v>
      </c>
      <c r="B25" s="1054"/>
      <c r="C25" s="1054"/>
      <c r="D25" s="1054"/>
      <c r="E25" s="1054"/>
      <c r="F25" s="1054"/>
      <c r="G25" s="1054"/>
      <c r="H25" s="1054"/>
      <c r="I25" s="1054"/>
      <c r="J25" s="1054"/>
      <c r="K25" s="1054"/>
      <c r="L25" s="1054"/>
      <c r="M25" s="1054"/>
      <c r="N25" s="1055"/>
      <c r="O25" s="191"/>
      <c r="P25" s="1257"/>
      <c r="Q25" s="1258"/>
      <c r="R25" s="1258"/>
      <c r="S25" s="1258"/>
      <c r="T25" s="1258"/>
      <c r="U25" s="1258"/>
      <c r="V25" s="1258"/>
      <c r="W25" s="1258"/>
      <c r="X25" s="1258"/>
      <c r="Y25" s="1258"/>
      <c r="Z25" s="1258"/>
      <c r="AA25" s="1258"/>
      <c r="AB25" s="1258"/>
      <c r="AC25" s="1258"/>
      <c r="AD25" s="1258"/>
      <c r="AE25" s="1258"/>
      <c r="AF25" s="1258"/>
      <c r="AG25" s="1258"/>
      <c r="AH25" s="1258"/>
      <c r="AI25" s="1258"/>
      <c r="AJ25" s="1259"/>
    </row>
    <row r="26" spans="1:36" ht="13.5" customHeight="1" x14ac:dyDescent="0.4">
      <c r="A26" s="1053"/>
      <c r="B26" s="1054"/>
      <c r="C26" s="1054"/>
      <c r="D26" s="1054"/>
      <c r="E26" s="1054"/>
      <c r="F26" s="1054"/>
      <c r="G26" s="1054"/>
      <c r="H26" s="1054"/>
      <c r="I26" s="1054"/>
      <c r="J26" s="1054"/>
      <c r="K26" s="1054"/>
      <c r="L26" s="1054"/>
      <c r="M26" s="1054"/>
      <c r="N26" s="1055"/>
      <c r="O26" s="191"/>
      <c r="P26" s="1257"/>
      <c r="Q26" s="1258"/>
      <c r="R26" s="1258"/>
      <c r="S26" s="1258"/>
      <c r="T26" s="1258"/>
      <c r="U26" s="1258"/>
      <c r="V26" s="1258"/>
      <c r="W26" s="1258"/>
      <c r="X26" s="1258"/>
      <c r="Y26" s="1258"/>
      <c r="Z26" s="1258"/>
      <c r="AA26" s="1258"/>
      <c r="AB26" s="1258"/>
      <c r="AC26" s="1258"/>
      <c r="AD26" s="1258"/>
      <c r="AE26" s="1258"/>
      <c r="AF26" s="1258"/>
      <c r="AG26" s="1258"/>
      <c r="AH26" s="1258"/>
      <c r="AI26" s="1258"/>
      <c r="AJ26" s="1259"/>
    </row>
    <row r="27" spans="1:36" ht="17.25" customHeight="1" x14ac:dyDescent="0.4">
      <c r="A27" s="1053"/>
      <c r="B27" s="1054"/>
      <c r="C27" s="1054"/>
      <c r="D27" s="1054"/>
      <c r="E27" s="1054"/>
      <c r="F27" s="1054"/>
      <c r="G27" s="1054"/>
      <c r="H27" s="1054"/>
      <c r="I27" s="1054"/>
      <c r="J27" s="1054"/>
      <c r="K27" s="1054"/>
      <c r="L27" s="1054"/>
      <c r="M27" s="1054"/>
      <c r="N27" s="1055"/>
      <c r="O27" s="191"/>
      <c r="P27" s="1257"/>
      <c r="Q27" s="1258"/>
      <c r="R27" s="1258"/>
      <c r="S27" s="1258"/>
      <c r="T27" s="1258"/>
      <c r="U27" s="1258"/>
      <c r="V27" s="1258"/>
      <c r="W27" s="1258"/>
      <c r="X27" s="1258"/>
      <c r="Y27" s="1258"/>
      <c r="Z27" s="1258"/>
      <c r="AA27" s="1258"/>
      <c r="AB27" s="1258"/>
      <c r="AC27" s="1258"/>
      <c r="AD27" s="1258"/>
      <c r="AE27" s="1258"/>
      <c r="AF27" s="1258"/>
      <c r="AG27" s="1258"/>
      <c r="AH27" s="1258"/>
      <c r="AI27" s="1258"/>
      <c r="AJ27" s="1259"/>
    </row>
    <row r="28" spans="1:36" ht="17.25" customHeight="1" x14ac:dyDescent="0.4">
      <c r="A28" s="1053"/>
      <c r="B28" s="1054"/>
      <c r="C28" s="1054"/>
      <c r="D28" s="1054"/>
      <c r="E28" s="1054"/>
      <c r="F28" s="1054"/>
      <c r="G28" s="1054"/>
      <c r="H28" s="1054"/>
      <c r="I28" s="1054"/>
      <c r="J28" s="1054"/>
      <c r="K28" s="1054"/>
      <c r="L28" s="1054"/>
      <c r="M28" s="1054"/>
      <c r="N28" s="1055"/>
      <c r="O28" s="191"/>
      <c r="P28" s="1257"/>
      <c r="Q28" s="1258"/>
      <c r="R28" s="1258"/>
      <c r="S28" s="1258"/>
      <c r="T28" s="1258"/>
      <c r="U28" s="1258"/>
      <c r="V28" s="1258"/>
      <c r="W28" s="1258"/>
      <c r="X28" s="1258"/>
      <c r="Y28" s="1258"/>
      <c r="Z28" s="1258"/>
      <c r="AA28" s="1258"/>
      <c r="AB28" s="1258"/>
      <c r="AC28" s="1258"/>
      <c r="AD28" s="1258"/>
      <c r="AE28" s="1258"/>
      <c r="AF28" s="1258"/>
      <c r="AG28" s="1258"/>
      <c r="AH28" s="1258"/>
      <c r="AI28" s="1258"/>
      <c r="AJ28" s="1259"/>
    </row>
    <row r="29" spans="1:36" ht="16.5" customHeight="1" x14ac:dyDescent="0.4">
      <c r="A29" s="1053"/>
      <c r="B29" s="1054"/>
      <c r="C29" s="1054"/>
      <c r="D29" s="1054"/>
      <c r="E29" s="1054"/>
      <c r="F29" s="1054"/>
      <c r="G29" s="1054"/>
      <c r="H29" s="1054"/>
      <c r="I29" s="1054"/>
      <c r="J29" s="1054"/>
      <c r="K29" s="1054"/>
      <c r="L29" s="1054"/>
      <c r="M29" s="1054"/>
      <c r="N29" s="1055"/>
      <c r="O29" s="191"/>
      <c r="P29" s="1257"/>
      <c r="Q29" s="1258"/>
      <c r="R29" s="1258"/>
      <c r="S29" s="1258"/>
      <c r="T29" s="1258"/>
      <c r="U29" s="1258"/>
      <c r="V29" s="1258"/>
      <c r="W29" s="1258"/>
      <c r="X29" s="1258"/>
      <c r="Y29" s="1258"/>
      <c r="Z29" s="1258"/>
      <c r="AA29" s="1258"/>
      <c r="AB29" s="1258"/>
      <c r="AC29" s="1258"/>
      <c r="AD29" s="1258"/>
      <c r="AE29" s="1258"/>
      <c r="AF29" s="1258"/>
      <c r="AG29" s="1258"/>
      <c r="AH29" s="1258"/>
      <c r="AI29" s="1258"/>
      <c r="AJ29" s="1259"/>
    </row>
    <row r="30" spans="1:36" ht="16.5" customHeight="1" x14ac:dyDescent="0.4">
      <c r="A30" s="1053"/>
      <c r="B30" s="1054"/>
      <c r="C30" s="1054"/>
      <c r="D30" s="1054"/>
      <c r="E30" s="1054"/>
      <c r="F30" s="1054"/>
      <c r="G30" s="1054"/>
      <c r="H30" s="1054"/>
      <c r="I30" s="1054"/>
      <c r="J30" s="1054"/>
      <c r="K30" s="1054"/>
      <c r="L30" s="1054"/>
      <c r="M30" s="1054"/>
      <c r="N30" s="1055"/>
      <c r="O30" s="191"/>
      <c r="P30" s="1257"/>
      <c r="Q30" s="1258"/>
      <c r="R30" s="1258"/>
      <c r="S30" s="1258"/>
      <c r="T30" s="1258"/>
      <c r="U30" s="1258"/>
      <c r="V30" s="1258"/>
      <c r="W30" s="1258"/>
      <c r="X30" s="1258"/>
      <c r="Y30" s="1258"/>
      <c r="Z30" s="1258"/>
      <c r="AA30" s="1258"/>
      <c r="AB30" s="1258"/>
      <c r="AC30" s="1258"/>
      <c r="AD30" s="1258"/>
      <c r="AE30" s="1258"/>
      <c r="AF30" s="1258"/>
      <c r="AG30" s="1258"/>
      <c r="AH30" s="1258"/>
      <c r="AI30" s="1258"/>
      <c r="AJ30" s="1259"/>
    </row>
    <row r="31" spans="1:36" ht="13.5" customHeight="1" x14ac:dyDescent="0.4">
      <c r="A31" s="1053"/>
      <c r="B31" s="1054"/>
      <c r="C31" s="1054"/>
      <c r="D31" s="1054"/>
      <c r="E31" s="1054"/>
      <c r="F31" s="1054"/>
      <c r="G31" s="1054"/>
      <c r="H31" s="1054"/>
      <c r="I31" s="1054"/>
      <c r="J31" s="1054"/>
      <c r="K31" s="1054"/>
      <c r="L31" s="1054"/>
      <c r="M31" s="1054"/>
      <c r="N31" s="1055"/>
      <c r="O31" s="191"/>
      <c r="P31" s="1257"/>
      <c r="Q31" s="1258"/>
      <c r="R31" s="1258"/>
      <c r="S31" s="1258"/>
      <c r="T31" s="1258"/>
      <c r="U31" s="1258"/>
      <c r="V31" s="1258"/>
      <c r="W31" s="1258"/>
      <c r="X31" s="1258"/>
      <c r="Y31" s="1258"/>
      <c r="Z31" s="1258"/>
      <c r="AA31" s="1258"/>
      <c r="AB31" s="1258"/>
      <c r="AC31" s="1258"/>
      <c r="AD31" s="1258"/>
      <c r="AE31" s="1258"/>
      <c r="AF31" s="1258"/>
      <c r="AG31" s="1258"/>
      <c r="AH31" s="1258"/>
      <c r="AI31" s="1258"/>
      <c r="AJ31" s="1259"/>
    </row>
    <row r="32" spans="1:36" ht="13.5" customHeight="1" x14ac:dyDescent="0.4">
      <c r="A32" s="497" t="s">
        <v>490</v>
      </c>
      <c r="B32" s="498"/>
      <c r="C32" s="498"/>
      <c r="N32" s="184"/>
      <c r="P32" s="1257"/>
      <c r="Q32" s="1258"/>
      <c r="R32" s="1258"/>
      <c r="S32" s="1258"/>
      <c r="T32" s="1258"/>
      <c r="U32" s="1258"/>
      <c r="V32" s="1258"/>
      <c r="W32" s="1258"/>
      <c r="X32" s="1258"/>
      <c r="Y32" s="1258"/>
      <c r="Z32" s="1258"/>
      <c r="AA32" s="1258"/>
      <c r="AB32" s="1258"/>
      <c r="AC32" s="1258"/>
      <c r="AD32" s="1258"/>
      <c r="AE32" s="1258"/>
      <c r="AF32" s="1258"/>
      <c r="AG32" s="1258"/>
      <c r="AH32" s="1258"/>
      <c r="AI32" s="1258"/>
      <c r="AJ32" s="1259"/>
    </row>
    <row r="33" spans="1:36" ht="13.5" customHeight="1" x14ac:dyDescent="0.4">
      <c r="A33" s="1053">
        <f>'（最新）アセスメントシート'!S46</f>
        <v>0</v>
      </c>
      <c r="B33" s="1054"/>
      <c r="C33" s="1054"/>
      <c r="D33" s="1054"/>
      <c r="E33" s="1054"/>
      <c r="F33" s="1054"/>
      <c r="G33" s="1054"/>
      <c r="H33" s="1054"/>
      <c r="I33" s="1054"/>
      <c r="J33" s="1054"/>
      <c r="K33" s="1054"/>
      <c r="L33" s="1054"/>
      <c r="M33" s="1054"/>
      <c r="N33" s="1055"/>
      <c r="O33" s="191"/>
      <c r="P33" s="1257"/>
      <c r="Q33" s="1258"/>
      <c r="R33" s="1258"/>
      <c r="S33" s="1258"/>
      <c r="T33" s="1258"/>
      <c r="U33" s="1258"/>
      <c r="V33" s="1258"/>
      <c r="W33" s="1258"/>
      <c r="X33" s="1258"/>
      <c r="Y33" s="1258"/>
      <c r="Z33" s="1258"/>
      <c r="AA33" s="1258"/>
      <c r="AB33" s="1258"/>
      <c r="AC33" s="1258"/>
      <c r="AD33" s="1258"/>
      <c r="AE33" s="1258"/>
      <c r="AF33" s="1258"/>
      <c r="AG33" s="1258"/>
      <c r="AH33" s="1258"/>
      <c r="AI33" s="1258"/>
      <c r="AJ33" s="1259"/>
    </row>
    <row r="34" spans="1:36" ht="13.5" customHeight="1" x14ac:dyDescent="0.4">
      <c r="A34" s="1053"/>
      <c r="B34" s="1054"/>
      <c r="C34" s="1054"/>
      <c r="D34" s="1054"/>
      <c r="E34" s="1054"/>
      <c r="F34" s="1054"/>
      <c r="G34" s="1054"/>
      <c r="H34" s="1054"/>
      <c r="I34" s="1054"/>
      <c r="J34" s="1054"/>
      <c r="K34" s="1054"/>
      <c r="L34" s="1054"/>
      <c r="M34" s="1054"/>
      <c r="N34" s="1055"/>
      <c r="O34" s="191"/>
      <c r="P34" s="1257"/>
      <c r="Q34" s="1258"/>
      <c r="R34" s="1258"/>
      <c r="S34" s="1258"/>
      <c r="T34" s="1258"/>
      <c r="U34" s="1258"/>
      <c r="V34" s="1258"/>
      <c r="W34" s="1258"/>
      <c r="X34" s="1258"/>
      <c r="Y34" s="1258"/>
      <c r="Z34" s="1258"/>
      <c r="AA34" s="1258"/>
      <c r="AB34" s="1258"/>
      <c r="AC34" s="1258"/>
      <c r="AD34" s="1258"/>
      <c r="AE34" s="1258"/>
      <c r="AF34" s="1258"/>
      <c r="AG34" s="1258"/>
      <c r="AH34" s="1258"/>
      <c r="AI34" s="1258"/>
      <c r="AJ34" s="1259"/>
    </row>
    <row r="35" spans="1:36" ht="17.25" customHeight="1" x14ac:dyDescent="0.4">
      <c r="A35" s="1053"/>
      <c r="B35" s="1054"/>
      <c r="C35" s="1054"/>
      <c r="D35" s="1054"/>
      <c r="E35" s="1054"/>
      <c r="F35" s="1054"/>
      <c r="G35" s="1054"/>
      <c r="H35" s="1054"/>
      <c r="I35" s="1054"/>
      <c r="J35" s="1054"/>
      <c r="K35" s="1054"/>
      <c r="L35" s="1054"/>
      <c r="M35" s="1054"/>
      <c r="N35" s="1055"/>
      <c r="O35" s="191"/>
      <c r="P35" s="1257"/>
      <c r="Q35" s="1258"/>
      <c r="R35" s="1258"/>
      <c r="S35" s="1258"/>
      <c r="T35" s="1258"/>
      <c r="U35" s="1258"/>
      <c r="V35" s="1258"/>
      <c r="W35" s="1258"/>
      <c r="X35" s="1258"/>
      <c r="Y35" s="1258"/>
      <c r="Z35" s="1258"/>
      <c r="AA35" s="1258"/>
      <c r="AB35" s="1258"/>
      <c r="AC35" s="1258"/>
      <c r="AD35" s="1258"/>
      <c r="AE35" s="1258"/>
      <c r="AF35" s="1258"/>
      <c r="AG35" s="1258"/>
      <c r="AH35" s="1258"/>
      <c r="AI35" s="1258"/>
      <c r="AJ35" s="1259"/>
    </row>
    <row r="36" spans="1:36" ht="19.5" customHeight="1" x14ac:dyDescent="0.4">
      <c r="A36" s="1053"/>
      <c r="B36" s="1054"/>
      <c r="C36" s="1054"/>
      <c r="D36" s="1054"/>
      <c r="E36" s="1054"/>
      <c r="F36" s="1054"/>
      <c r="G36" s="1054"/>
      <c r="H36" s="1054"/>
      <c r="I36" s="1054"/>
      <c r="J36" s="1054"/>
      <c r="K36" s="1054"/>
      <c r="L36" s="1054"/>
      <c r="M36" s="1054"/>
      <c r="N36" s="1055"/>
      <c r="O36" s="191"/>
      <c r="P36" s="1257"/>
      <c r="Q36" s="1258"/>
      <c r="R36" s="1258"/>
      <c r="S36" s="1258"/>
      <c r="T36" s="1258"/>
      <c r="U36" s="1258"/>
      <c r="V36" s="1258"/>
      <c r="W36" s="1258"/>
      <c r="X36" s="1258"/>
      <c r="Y36" s="1258"/>
      <c r="Z36" s="1258"/>
      <c r="AA36" s="1258"/>
      <c r="AB36" s="1258"/>
      <c r="AC36" s="1258"/>
      <c r="AD36" s="1258"/>
      <c r="AE36" s="1258"/>
      <c r="AF36" s="1258"/>
      <c r="AG36" s="1258"/>
      <c r="AH36" s="1258"/>
      <c r="AI36" s="1258"/>
      <c r="AJ36" s="1259"/>
    </row>
    <row r="37" spans="1:36" ht="16.5" customHeight="1" x14ac:dyDescent="0.4">
      <c r="A37" s="1053"/>
      <c r="B37" s="1054"/>
      <c r="C37" s="1054"/>
      <c r="D37" s="1054"/>
      <c r="E37" s="1054"/>
      <c r="F37" s="1054"/>
      <c r="G37" s="1054"/>
      <c r="H37" s="1054"/>
      <c r="I37" s="1054"/>
      <c r="J37" s="1054"/>
      <c r="K37" s="1054"/>
      <c r="L37" s="1054"/>
      <c r="M37" s="1054"/>
      <c r="N37" s="1055"/>
      <c r="O37" s="191"/>
      <c r="P37" s="1257"/>
      <c r="Q37" s="1258"/>
      <c r="R37" s="1258"/>
      <c r="S37" s="1258"/>
      <c r="T37" s="1258"/>
      <c r="U37" s="1258"/>
      <c r="V37" s="1258"/>
      <c r="W37" s="1258"/>
      <c r="X37" s="1258"/>
      <c r="Y37" s="1258"/>
      <c r="Z37" s="1258"/>
      <c r="AA37" s="1258"/>
      <c r="AB37" s="1258"/>
      <c r="AC37" s="1258"/>
      <c r="AD37" s="1258"/>
      <c r="AE37" s="1258"/>
      <c r="AF37" s="1258"/>
      <c r="AG37" s="1258"/>
      <c r="AH37" s="1258"/>
      <c r="AI37" s="1258"/>
      <c r="AJ37" s="1259"/>
    </row>
    <row r="38" spans="1:36" ht="13.5" customHeight="1" x14ac:dyDescent="0.4">
      <c r="A38" s="1053"/>
      <c r="B38" s="1054"/>
      <c r="C38" s="1054"/>
      <c r="D38" s="1054"/>
      <c r="E38" s="1054"/>
      <c r="F38" s="1054"/>
      <c r="G38" s="1054"/>
      <c r="H38" s="1054"/>
      <c r="I38" s="1054"/>
      <c r="J38" s="1054"/>
      <c r="K38" s="1054"/>
      <c r="L38" s="1054"/>
      <c r="M38" s="1054"/>
      <c r="N38" s="1055"/>
      <c r="O38" s="191"/>
      <c r="P38" s="1257"/>
      <c r="Q38" s="1258"/>
      <c r="R38" s="1258"/>
      <c r="S38" s="1258"/>
      <c r="T38" s="1258"/>
      <c r="U38" s="1258"/>
      <c r="V38" s="1258"/>
      <c r="W38" s="1258"/>
      <c r="X38" s="1258"/>
      <c r="Y38" s="1258"/>
      <c r="Z38" s="1258"/>
      <c r="AA38" s="1258"/>
      <c r="AB38" s="1258"/>
      <c r="AC38" s="1258"/>
      <c r="AD38" s="1258"/>
      <c r="AE38" s="1258"/>
      <c r="AF38" s="1258"/>
      <c r="AG38" s="1258"/>
      <c r="AH38" s="1258"/>
      <c r="AI38" s="1258"/>
      <c r="AJ38" s="1259"/>
    </row>
    <row r="39" spans="1:36" ht="16.5" customHeight="1" x14ac:dyDescent="0.4">
      <c r="A39" s="1105"/>
      <c r="B39" s="1106"/>
      <c r="C39" s="1106"/>
      <c r="D39" s="1106"/>
      <c r="E39" s="1106"/>
      <c r="F39" s="1106"/>
      <c r="G39" s="1106"/>
      <c r="H39" s="1106"/>
      <c r="I39" s="1106"/>
      <c r="J39" s="1106"/>
      <c r="K39" s="1106"/>
      <c r="L39" s="1106"/>
      <c r="M39" s="1106"/>
      <c r="N39" s="1107"/>
      <c r="O39" s="191"/>
      <c r="P39" s="1260"/>
      <c r="Q39" s="1261"/>
      <c r="R39" s="1261"/>
      <c r="S39" s="1261"/>
      <c r="T39" s="1261"/>
      <c r="U39" s="1261"/>
      <c r="V39" s="1261"/>
      <c r="W39" s="1261"/>
      <c r="X39" s="1261"/>
      <c r="Y39" s="1261"/>
      <c r="Z39" s="1261"/>
      <c r="AA39" s="1261"/>
      <c r="AB39" s="1261"/>
      <c r="AC39" s="1261"/>
      <c r="AD39" s="1261"/>
      <c r="AE39" s="1261"/>
      <c r="AF39" s="1261"/>
      <c r="AG39" s="1261"/>
      <c r="AH39" s="1261"/>
      <c r="AI39" s="1261"/>
      <c r="AJ39" s="1262"/>
    </row>
    <row r="40" spans="1:36" ht="3.75" customHeight="1" x14ac:dyDescent="0.4">
      <c r="O40" s="192"/>
    </row>
    <row r="41" spans="1:36" ht="13.5" customHeight="1" x14ac:dyDescent="0.4">
      <c r="A41" s="574" t="s">
        <v>476</v>
      </c>
      <c r="B41" s="574"/>
      <c r="C41" s="574"/>
      <c r="D41" s="574"/>
      <c r="E41" s="574"/>
      <c r="F41" s="574" t="s">
        <v>477</v>
      </c>
      <c r="G41" s="574"/>
      <c r="H41" s="574"/>
      <c r="I41" s="574"/>
      <c r="J41" s="574"/>
      <c r="K41" s="574"/>
      <c r="L41" s="574">
        <f>'（最新）アセスメントシート'!AI10</f>
        <v>0</v>
      </c>
      <c r="M41" s="574"/>
      <c r="N41" s="574"/>
      <c r="O41" s="574"/>
      <c r="P41" s="574"/>
      <c r="Q41" s="574" t="s">
        <v>471</v>
      </c>
      <c r="R41" s="574"/>
      <c r="S41" s="574"/>
      <c r="T41" s="574"/>
      <c r="U41" s="574"/>
      <c r="V41" s="574">
        <f>'（最新）アセスメントシート'!J10</f>
        <v>0</v>
      </c>
      <c r="W41" s="574"/>
      <c r="X41" s="574"/>
      <c r="Y41" s="574"/>
      <c r="Z41" s="574"/>
      <c r="AA41" s="574" t="s">
        <v>472</v>
      </c>
      <c r="AB41" s="574"/>
      <c r="AC41" s="574"/>
      <c r="AD41" s="1264">
        <f>'（最新）アセスメントシート'!Q10</f>
        <v>0</v>
      </c>
      <c r="AE41" s="1264"/>
      <c r="AF41" s="1264"/>
      <c r="AG41" s="1264"/>
      <c r="AH41" s="1264"/>
      <c r="AI41" s="1264"/>
      <c r="AJ41" s="1264"/>
    </row>
    <row r="42" spans="1:36" ht="13.5" customHeight="1" x14ac:dyDescent="0.4">
      <c r="A42" s="574"/>
      <c r="B42" s="574"/>
      <c r="C42" s="574"/>
      <c r="D42" s="574"/>
      <c r="E42" s="574"/>
      <c r="F42" s="574"/>
      <c r="G42" s="574"/>
      <c r="H42" s="574"/>
      <c r="I42" s="574"/>
      <c r="J42" s="574"/>
      <c r="K42" s="574"/>
      <c r="L42" s="574"/>
      <c r="M42" s="574"/>
      <c r="N42" s="574"/>
      <c r="O42" s="574"/>
      <c r="P42" s="574"/>
      <c r="Q42" s="574"/>
      <c r="R42" s="574"/>
      <c r="S42" s="574"/>
      <c r="T42" s="574"/>
      <c r="U42" s="574"/>
      <c r="V42" s="574"/>
      <c r="W42" s="574"/>
      <c r="X42" s="574"/>
      <c r="Y42" s="574"/>
      <c r="Z42" s="574"/>
      <c r="AA42" s="574"/>
      <c r="AB42" s="574"/>
      <c r="AC42" s="574"/>
      <c r="AD42" s="1264"/>
      <c r="AE42" s="1264"/>
      <c r="AF42" s="1264"/>
      <c r="AG42" s="1264"/>
      <c r="AH42" s="1264"/>
      <c r="AI42" s="1264"/>
      <c r="AJ42" s="1264"/>
    </row>
    <row r="43" spans="1:36" ht="13.5" customHeight="1" x14ac:dyDescent="0.4">
      <c r="A43" s="1263" t="s">
        <v>473</v>
      </c>
      <c r="B43" s="1263"/>
      <c r="C43" s="1263"/>
      <c r="D43" s="1263"/>
      <c r="E43" s="1263"/>
      <c r="F43" s="498" t="s">
        <v>474</v>
      </c>
      <c r="G43" s="498"/>
      <c r="H43" s="498" t="s">
        <v>923</v>
      </c>
      <c r="I43" s="498"/>
      <c r="J43" s="498" t="s">
        <v>475</v>
      </c>
      <c r="K43" s="498"/>
      <c r="L43" s="498"/>
      <c r="M43" s="1263" t="s">
        <v>478</v>
      </c>
      <c r="N43" s="1263"/>
      <c r="O43" s="1263"/>
      <c r="P43" s="1263"/>
      <c r="Q43" s="1263"/>
      <c r="R43" s="574"/>
      <c r="S43" s="574"/>
      <c r="T43" s="574"/>
      <c r="U43" s="574"/>
      <c r="V43" s="574"/>
      <c r="W43" s="1263" t="s">
        <v>468</v>
      </c>
      <c r="X43" s="1263"/>
      <c r="Y43" s="1263"/>
      <c r="Z43" s="574">
        <f>'（最新）アセスメントシート'!R13</f>
        <v>0</v>
      </c>
      <c r="AA43" s="574"/>
      <c r="AB43" s="1265" t="s">
        <v>488</v>
      </c>
      <c r="AC43" s="1266"/>
      <c r="AD43" s="1266"/>
      <c r="AE43" s="1266"/>
      <c r="AF43" s="1266"/>
      <c r="AG43" s="1266"/>
      <c r="AH43" s="1266"/>
      <c r="AI43" s="1266"/>
      <c r="AJ43" s="1248" t="s">
        <v>426</v>
      </c>
    </row>
    <row r="44" spans="1:36" ht="13.5" customHeight="1" x14ac:dyDescent="0.4">
      <c r="A44" s="1263"/>
      <c r="B44" s="1263"/>
      <c r="C44" s="1263"/>
      <c r="D44" s="1263"/>
      <c r="E44" s="1263"/>
      <c r="F44" s="498"/>
      <c r="G44" s="498"/>
      <c r="H44" s="498"/>
      <c r="I44" s="498"/>
      <c r="J44" s="498"/>
      <c r="K44" s="498"/>
      <c r="L44" s="498"/>
      <c r="M44" s="1263"/>
      <c r="N44" s="1263"/>
      <c r="O44" s="1263"/>
      <c r="P44" s="1263"/>
      <c r="Q44" s="1263"/>
      <c r="R44" s="574"/>
      <c r="S44" s="574"/>
      <c r="T44" s="574"/>
      <c r="U44" s="574"/>
      <c r="V44" s="574"/>
      <c r="W44" s="1263"/>
      <c r="X44" s="1263"/>
      <c r="Y44" s="1263"/>
      <c r="Z44" s="574"/>
      <c r="AA44" s="574"/>
      <c r="AB44" s="1267"/>
      <c r="AC44" s="1268"/>
      <c r="AD44" s="1268"/>
      <c r="AE44" s="1268"/>
      <c r="AF44" s="1268"/>
      <c r="AG44" s="1268"/>
      <c r="AH44" s="1268"/>
      <c r="AI44" s="1268"/>
      <c r="AJ44" s="1249"/>
    </row>
    <row r="45" spans="1:36" ht="13.5" customHeight="1" x14ac:dyDescent="0.4">
      <c r="A45" s="1263" t="s">
        <v>466</v>
      </c>
      <c r="B45" s="1263"/>
      <c r="C45" s="1263"/>
      <c r="D45" s="1263"/>
      <c r="E45" s="1263"/>
      <c r="F45" s="574">
        <f>'（最新）アセスメントシート'!M13</f>
        <v>0</v>
      </c>
      <c r="G45" s="574"/>
      <c r="H45" s="574" t="s">
        <v>467</v>
      </c>
      <c r="I45" s="574"/>
      <c r="J45" s="574"/>
      <c r="K45" s="574"/>
      <c r="L45" s="574"/>
      <c r="M45" s="1269" t="s">
        <v>496</v>
      </c>
      <c r="N45" s="1270"/>
      <c r="O45" s="1270"/>
      <c r="P45" s="1270"/>
      <c r="Q45" s="1270"/>
      <c r="R45" s="1271"/>
      <c r="S45" s="1272" t="s">
        <v>465</v>
      </c>
      <c r="T45" s="1272"/>
      <c r="U45" s="1272"/>
      <c r="V45" s="1272"/>
      <c r="W45" s="1272"/>
      <c r="X45" s="1274" t="s">
        <v>509</v>
      </c>
      <c r="Y45" s="1274"/>
      <c r="Z45" s="589" t="s">
        <v>467</v>
      </c>
      <c r="AA45" s="589"/>
      <c r="AB45" s="589"/>
      <c r="AC45" s="589"/>
      <c r="AD45" s="589"/>
      <c r="AE45" s="1269" t="s">
        <v>496</v>
      </c>
      <c r="AF45" s="1270"/>
      <c r="AG45" s="1270"/>
      <c r="AH45" s="1270"/>
      <c r="AI45" s="1270"/>
      <c r="AJ45" s="1271"/>
    </row>
    <row r="46" spans="1:36" ht="13.5" customHeight="1" x14ac:dyDescent="0.4">
      <c r="A46" s="1263"/>
      <c r="B46" s="1263"/>
      <c r="C46" s="1263"/>
      <c r="D46" s="1263"/>
      <c r="E46" s="1263"/>
      <c r="F46" s="574"/>
      <c r="G46" s="574"/>
      <c r="H46" s="574"/>
      <c r="I46" s="574"/>
      <c r="J46" s="574"/>
      <c r="K46" s="574"/>
      <c r="L46" s="574"/>
      <c r="M46" s="1273"/>
      <c r="N46" s="1273"/>
      <c r="O46" s="1273"/>
      <c r="P46" s="1273"/>
      <c r="Q46" s="1273"/>
      <c r="R46" s="1273"/>
      <c r="S46" s="1263"/>
      <c r="T46" s="1263"/>
      <c r="U46" s="1263"/>
      <c r="V46" s="1263"/>
      <c r="W46" s="1263"/>
      <c r="X46" s="456"/>
      <c r="Y46" s="456"/>
      <c r="Z46" s="574"/>
      <c r="AA46" s="574"/>
      <c r="AB46" s="574"/>
      <c r="AC46" s="574"/>
      <c r="AD46" s="574"/>
      <c r="AE46" s="1275"/>
      <c r="AF46" s="1276"/>
      <c r="AG46" s="1276"/>
      <c r="AH46" s="1276"/>
      <c r="AI46" s="1276"/>
      <c r="AJ46" s="1277"/>
    </row>
    <row r="47" spans="1:36" ht="13.5" customHeight="1" x14ac:dyDescent="0.4">
      <c r="A47" s="1263" t="s">
        <v>464</v>
      </c>
      <c r="B47" s="1263"/>
      <c r="C47" s="1263"/>
      <c r="D47" s="1263"/>
      <c r="E47" s="1263"/>
      <c r="F47" s="574" t="s">
        <v>509</v>
      </c>
      <c r="G47" s="574"/>
      <c r="H47" s="574"/>
      <c r="I47" s="1263" t="s">
        <v>469</v>
      </c>
      <c r="J47" s="1263"/>
      <c r="K47" s="1263"/>
      <c r="L47" s="1263"/>
      <c r="M47" s="1263"/>
      <c r="N47" s="574" t="s">
        <v>509</v>
      </c>
      <c r="O47" s="574"/>
      <c r="P47" s="574"/>
      <c r="Q47" s="574" t="s">
        <v>470</v>
      </c>
      <c r="R47" s="574"/>
      <c r="S47" s="574"/>
      <c r="T47" s="574"/>
      <c r="U47" s="574"/>
      <c r="V47" s="574"/>
      <c r="W47" s="1280"/>
      <c r="X47" s="1280"/>
      <c r="Y47" s="1280"/>
      <c r="Z47" s="1280"/>
      <c r="AA47" s="1280"/>
      <c r="AB47" s="1280"/>
      <c r="AC47" s="1280"/>
      <c r="AD47" s="1280"/>
      <c r="AE47" s="1280"/>
      <c r="AF47" s="1280"/>
      <c r="AG47" s="1280"/>
      <c r="AH47" s="1280"/>
      <c r="AI47" s="1280"/>
      <c r="AJ47" s="1280"/>
    </row>
    <row r="48" spans="1:36" ht="13.5" customHeight="1" x14ac:dyDescent="0.4">
      <c r="A48" s="1263"/>
      <c r="B48" s="1263"/>
      <c r="C48" s="1263"/>
      <c r="D48" s="1263"/>
      <c r="E48" s="1263"/>
      <c r="F48" s="574"/>
      <c r="G48" s="574"/>
      <c r="H48" s="574"/>
      <c r="I48" s="1263"/>
      <c r="J48" s="1263"/>
      <c r="K48" s="1263"/>
      <c r="L48" s="1263"/>
      <c r="M48" s="1263"/>
      <c r="N48" s="574"/>
      <c r="O48" s="574"/>
      <c r="P48" s="574"/>
      <c r="Q48" s="574"/>
      <c r="R48" s="574"/>
      <c r="S48" s="574"/>
      <c r="T48" s="574"/>
      <c r="U48" s="574"/>
      <c r="V48" s="574"/>
      <c r="W48" s="1280"/>
      <c r="X48" s="1280"/>
      <c r="Y48" s="1280"/>
      <c r="Z48" s="1280"/>
      <c r="AA48" s="1280"/>
      <c r="AB48" s="1280"/>
      <c r="AC48" s="1280"/>
      <c r="AD48" s="1280"/>
      <c r="AE48" s="1280"/>
      <c r="AF48" s="1280"/>
      <c r="AG48" s="1280"/>
      <c r="AH48" s="1280"/>
      <c r="AI48" s="1280"/>
      <c r="AJ48" s="1280"/>
    </row>
    <row r="49" spans="1:36" ht="3.75" customHeight="1" x14ac:dyDescent="0.4"/>
    <row r="50" spans="1:36" ht="13.5" customHeight="1" x14ac:dyDescent="0.4">
      <c r="A50" s="1175" t="s">
        <v>458</v>
      </c>
      <c r="B50" s="1072"/>
      <c r="C50" s="1072"/>
      <c r="D50" s="1072"/>
      <c r="E50" s="1136"/>
      <c r="F50" s="405" t="s">
        <v>459</v>
      </c>
      <c r="G50" s="406"/>
      <c r="H50" s="406"/>
      <c r="I50" s="406"/>
      <c r="J50" s="406"/>
      <c r="K50" s="405">
        <f>'（最新）アセスメントシート'!Z13</f>
        <v>0</v>
      </c>
      <c r="L50" s="406"/>
      <c r="M50" s="453"/>
      <c r="N50" s="1232" t="s">
        <v>463</v>
      </c>
      <c r="O50" s="1233"/>
      <c r="P50" s="405"/>
      <c r="Q50" s="406"/>
      <c r="R50" s="406"/>
      <c r="S50" s="406"/>
      <c r="T50" s="406"/>
      <c r="U50" s="406"/>
      <c r="V50" s="406"/>
      <c r="W50" s="406"/>
      <c r="X50" s="406"/>
      <c r="Y50" s="406"/>
      <c r="Z50" s="453"/>
      <c r="AA50" s="1232" t="s">
        <v>461</v>
      </c>
      <c r="AB50" s="1233"/>
      <c r="AC50" s="1224"/>
      <c r="AD50" s="1225"/>
      <c r="AE50" s="1225"/>
      <c r="AF50" s="1225"/>
      <c r="AG50" s="1225"/>
      <c r="AH50" s="1225"/>
      <c r="AI50" s="1225"/>
      <c r="AJ50" s="1226"/>
    </row>
    <row r="51" spans="1:36" ht="13.5" customHeight="1" x14ac:dyDescent="0.4">
      <c r="A51" s="1221"/>
      <c r="B51" s="1063"/>
      <c r="C51" s="1063"/>
      <c r="D51" s="1063"/>
      <c r="E51" s="1222"/>
      <c r="F51" s="407"/>
      <c r="G51" s="408"/>
      <c r="H51" s="408"/>
      <c r="I51" s="408"/>
      <c r="J51" s="408"/>
      <c r="K51" s="407"/>
      <c r="L51" s="408"/>
      <c r="M51" s="454"/>
      <c r="N51" s="1234"/>
      <c r="O51" s="1235"/>
      <c r="P51" s="1279" t="s">
        <v>462</v>
      </c>
      <c r="Q51" s="1193"/>
      <c r="R51" s="1193"/>
      <c r="S51" s="510"/>
      <c r="T51" s="510"/>
      <c r="U51" s="510"/>
      <c r="V51" s="510"/>
      <c r="W51" s="510"/>
      <c r="X51" s="510"/>
      <c r="Y51" s="510"/>
      <c r="Z51" s="396" t="s">
        <v>426</v>
      </c>
      <c r="AA51" s="1234"/>
      <c r="AB51" s="1235"/>
      <c r="AC51" s="1227"/>
      <c r="AD51" s="1228"/>
      <c r="AE51" s="1228"/>
      <c r="AF51" s="1228"/>
      <c r="AG51" s="1228"/>
      <c r="AH51" s="1228"/>
      <c r="AI51" s="1228"/>
      <c r="AJ51" s="1229"/>
    </row>
    <row r="52" spans="1:36" ht="13.5" customHeight="1" x14ac:dyDescent="0.4">
      <c r="A52" s="1221"/>
      <c r="B52" s="1063"/>
      <c r="C52" s="1063"/>
      <c r="D52" s="1063"/>
      <c r="E52" s="1222"/>
      <c r="F52" s="498" t="s">
        <v>460</v>
      </c>
      <c r="G52" s="498"/>
      <c r="H52" s="498"/>
      <c r="I52" s="498"/>
      <c r="J52" s="498"/>
      <c r="K52" s="497">
        <f>'（最新）アセスメントシート'!AF13</f>
        <v>0</v>
      </c>
      <c r="L52" s="498"/>
      <c r="M52" s="531"/>
      <c r="N52" s="1234"/>
      <c r="O52" s="1235"/>
      <c r="P52" s="498"/>
      <c r="Q52" s="498"/>
      <c r="R52" s="498"/>
      <c r="S52" s="498"/>
      <c r="T52" s="498"/>
      <c r="U52" s="498"/>
      <c r="V52" s="498"/>
      <c r="W52" s="498"/>
      <c r="X52" s="498"/>
      <c r="Y52" s="498"/>
      <c r="Z52" s="498"/>
      <c r="AA52" s="1234"/>
      <c r="AB52" s="1235"/>
      <c r="AC52" s="1230"/>
      <c r="AD52" s="1230"/>
      <c r="AE52" s="1230"/>
      <c r="AF52" s="1230"/>
      <c r="AG52" s="1230"/>
      <c r="AH52" s="1230"/>
      <c r="AI52" s="1230"/>
      <c r="AJ52" s="1231"/>
    </row>
    <row r="53" spans="1:36" ht="13.5" customHeight="1" x14ac:dyDescent="0.4">
      <c r="A53" s="1223"/>
      <c r="B53" s="1130"/>
      <c r="C53" s="1130"/>
      <c r="D53" s="1130"/>
      <c r="E53" s="1137"/>
      <c r="F53" s="408"/>
      <c r="G53" s="408"/>
      <c r="H53" s="408"/>
      <c r="I53" s="408"/>
      <c r="J53" s="408"/>
      <c r="K53" s="407"/>
      <c r="L53" s="408"/>
      <c r="M53" s="454"/>
      <c r="N53" s="1236"/>
      <c r="O53" s="1237"/>
      <c r="P53" s="1193" t="s">
        <v>462</v>
      </c>
      <c r="Q53" s="1193"/>
      <c r="R53" s="1193"/>
      <c r="S53" s="510">
        <f>S51</f>
        <v>0</v>
      </c>
      <c r="T53" s="510"/>
      <c r="U53" s="510"/>
      <c r="V53" s="510"/>
      <c r="W53" s="510"/>
      <c r="X53" s="510"/>
      <c r="Y53" s="510"/>
      <c r="Z53" s="397" t="s">
        <v>426</v>
      </c>
      <c r="AA53" s="1236"/>
      <c r="AB53" s="1237"/>
      <c r="AC53" s="1228"/>
      <c r="AD53" s="1228"/>
      <c r="AE53" s="1228"/>
      <c r="AF53" s="1228"/>
      <c r="AG53" s="1228"/>
      <c r="AH53" s="1228"/>
      <c r="AI53" s="1228"/>
      <c r="AJ53" s="1229"/>
    </row>
    <row r="54" spans="1:36" ht="16.5" customHeight="1" x14ac:dyDescent="0.4">
      <c r="A54" s="179"/>
      <c r="B54" s="179"/>
      <c r="C54" s="179"/>
      <c r="D54" s="179"/>
      <c r="E54" s="179"/>
      <c r="F54" s="177"/>
      <c r="G54" s="177"/>
      <c r="H54" s="177"/>
      <c r="I54" s="177"/>
      <c r="J54" s="177"/>
      <c r="K54" s="177"/>
      <c r="L54" s="177"/>
      <c r="S54" s="424" t="s">
        <v>692</v>
      </c>
      <c r="T54" s="424"/>
      <c r="U54" s="424"/>
      <c r="V54" s="424"/>
      <c r="W54" s="424"/>
      <c r="X54" s="424"/>
      <c r="Y54" s="424"/>
      <c r="Z54" s="424"/>
      <c r="AA54" s="424"/>
      <c r="AB54" s="1278">
        <f>'[2]（最新）アセスメントシート'!$AF$1</f>
        <v>0</v>
      </c>
      <c r="AC54" s="1278"/>
      <c r="AD54" s="1278"/>
      <c r="AE54" s="1278"/>
      <c r="AF54" s="1278"/>
      <c r="AG54" s="1278"/>
      <c r="AH54" s="1278"/>
      <c r="AI54" s="1278"/>
      <c r="AJ54" s="1278"/>
    </row>
    <row r="55" spans="1:36" ht="13.5" customHeight="1" x14ac:dyDescent="0.4">
      <c r="A55" s="179"/>
      <c r="B55" s="179"/>
      <c r="C55" s="179"/>
      <c r="D55" s="179"/>
      <c r="E55" s="179"/>
      <c r="F55" s="177"/>
      <c r="G55" s="177"/>
      <c r="H55" s="177"/>
      <c r="I55" s="177"/>
      <c r="J55" s="177"/>
      <c r="K55" s="177"/>
      <c r="L55" s="177"/>
      <c r="X55" s="1104" t="s">
        <v>62</v>
      </c>
      <c r="Y55" s="1104"/>
      <c r="Z55" s="1104"/>
      <c r="AA55" s="1104"/>
      <c r="AB55" s="1104"/>
      <c r="AC55" s="1104"/>
      <c r="AD55" s="1104"/>
      <c r="AE55" s="1104"/>
      <c r="AF55" s="1104"/>
      <c r="AG55" s="1104"/>
      <c r="AH55" s="1104"/>
      <c r="AI55" s="1104"/>
      <c r="AJ55" s="1104"/>
    </row>
    <row r="56" spans="1:36" ht="13.5" customHeight="1" x14ac:dyDescent="0.4">
      <c r="A56" s="1140" t="s">
        <v>693</v>
      </c>
      <c r="B56" s="1140"/>
      <c r="C56" s="1140"/>
      <c r="D56" s="1140"/>
      <c r="E56" s="1140"/>
      <c r="F56" s="1140"/>
      <c r="G56" s="1140"/>
      <c r="H56" s="1140"/>
      <c r="I56" s="1140"/>
      <c r="J56" s="1140"/>
      <c r="K56" s="1140"/>
      <c r="L56" s="1140"/>
      <c r="M56" s="1140"/>
      <c r="N56" s="1140"/>
      <c r="O56" s="1140"/>
      <c r="P56" s="1140"/>
      <c r="Q56" s="1140"/>
      <c r="R56" s="1140"/>
      <c r="S56" s="1140"/>
      <c r="T56" s="1140"/>
      <c r="U56" s="1140"/>
      <c r="V56" s="1140"/>
      <c r="W56" s="1140"/>
      <c r="X56" s="1140"/>
      <c r="Y56" s="1140"/>
    </row>
    <row r="57" spans="1:36" ht="13.5" customHeight="1" x14ac:dyDescent="0.4">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row>
    <row r="58" spans="1:36" ht="9" customHeight="1" x14ac:dyDescent="0.4">
      <c r="A58" s="1253" t="s">
        <v>694</v>
      </c>
      <c r="B58" s="1253"/>
      <c r="C58" s="1253"/>
      <c r="D58" s="1253"/>
      <c r="E58" s="1253"/>
      <c r="F58" s="1253"/>
      <c r="G58" s="1253"/>
      <c r="H58" s="1253"/>
      <c r="I58" s="1253"/>
      <c r="J58" s="1253"/>
    </row>
    <row r="59" spans="1:36" ht="13.5" customHeight="1" x14ac:dyDescent="0.4">
      <c r="A59" s="1253"/>
      <c r="B59" s="1253"/>
      <c r="C59" s="1253"/>
      <c r="D59" s="1253"/>
      <c r="E59" s="1253"/>
      <c r="F59" s="1253"/>
      <c r="G59" s="1253"/>
      <c r="H59" s="1253"/>
      <c r="I59" s="1253"/>
      <c r="J59" s="1253"/>
    </row>
    <row r="60" spans="1:36" ht="10.5" customHeight="1" x14ac:dyDescent="0.4">
      <c r="A60" s="1304" t="s">
        <v>733</v>
      </c>
      <c r="B60" s="1305"/>
      <c r="C60" s="1305"/>
      <c r="D60" s="1305"/>
      <c r="E60" s="1305"/>
      <c r="F60" s="1305"/>
      <c r="G60" s="1305"/>
      <c r="H60" s="1305"/>
      <c r="I60" s="1305"/>
      <c r="J60" s="1305"/>
      <c r="K60" s="1305"/>
      <c r="L60" s="1305"/>
      <c r="M60" s="1305"/>
      <c r="N60" s="1305"/>
      <c r="O60" s="1305"/>
      <c r="P60" s="1306"/>
      <c r="Q60" s="1304" t="s">
        <v>734</v>
      </c>
      <c r="R60" s="1305"/>
      <c r="S60" s="1305"/>
      <c r="T60" s="1305"/>
      <c r="U60" s="1305"/>
      <c r="V60" s="1305"/>
      <c r="W60" s="1305"/>
      <c r="X60" s="1305"/>
      <c r="Y60" s="1305"/>
      <c r="Z60" s="1305"/>
      <c r="AA60" s="1305"/>
      <c r="AB60" s="1305"/>
      <c r="AC60" s="1305"/>
      <c r="AD60" s="1305"/>
      <c r="AE60" s="1305"/>
      <c r="AF60" s="1305"/>
      <c r="AG60" s="1305"/>
      <c r="AH60" s="1305"/>
      <c r="AI60" s="1305"/>
      <c r="AJ60" s="1306"/>
    </row>
    <row r="61" spans="1:36" ht="10.5" customHeight="1" x14ac:dyDescent="0.4">
      <c r="A61" s="1307"/>
      <c r="B61" s="1308"/>
      <c r="C61" s="1308"/>
      <c r="D61" s="1308"/>
      <c r="E61" s="1308"/>
      <c r="F61" s="1308"/>
      <c r="G61" s="1308"/>
      <c r="H61" s="1308"/>
      <c r="I61" s="1308"/>
      <c r="J61" s="1308"/>
      <c r="K61" s="1308"/>
      <c r="L61" s="1308"/>
      <c r="M61" s="1308"/>
      <c r="N61" s="1308"/>
      <c r="O61" s="1308"/>
      <c r="P61" s="1309"/>
      <c r="Q61" s="1307"/>
      <c r="R61" s="1308"/>
      <c r="S61" s="1308"/>
      <c r="T61" s="1308"/>
      <c r="U61" s="1308"/>
      <c r="V61" s="1308"/>
      <c r="W61" s="1308"/>
      <c r="X61" s="1308"/>
      <c r="Y61" s="1308"/>
      <c r="Z61" s="1308"/>
      <c r="AA61" s="1308"/>
      <c r="AB61" s="1308"/>
      <c r="AC61" s="1308"/>
      <c r="AD61" s="1308"/>
      <c r="AE61" s="1308"/>
      <c r="AF61" s="1308"/>
      <c r="AG61" s="1308"/>
      <c r="AH61" s="1308"/>
      <c r="AI61" s="1308"/>
      <c r="AJ61" s="1309"/>
    </row>
    <row r="62" spans="1:36" ht="13.5" customHeight="1" x14ac:dyDescent="0.4">
      <c r="A62" s="1163"/>
      <c r="B62" s="1164"/>
      <c r="C62" s="1164"/>
      <c r="D62" s="1164"/>
      <c r="E62" s="1164"/>
      <c r="F62" s="1164"/>
      <c r="G62" s="1164"/>
      <c r="H62" s="1164"/>
      <c r="I62" s="1164"/>
      <c r="J62" s="1164"/>
      <c r="K62" s="1164"/>
      <c r="L62" s="1164"/>
      <c r="M62" s="1164"/>
      <c r="N62" s="1164"/>
      <c r="O62" s="1164"/>
      <c r="P62" s="1165"/>
      <c r="Q62" s="1315"/>
      <c r="R62" s="1316"/>
      <c r="S62" s="1316"/>
      <c r="T62" s="1316"/>
      <c r="U62" s="1316"/>
      <c r="V62" s="1316"/>
      <c r="W62" s="1316"/>
      <c r="X62" s="1316"/>
      <c r="Y62" s="1316"/>
      <c r="Z62" s="1316"/>
      <c r="AA62" s="1316"/>
      <c r="AB62" s="1316"/>
      <c r="AC62" s="1316"/>
      <c r="AD62" s="1316"/>
      <c r="AE62" s="1316"/>
      <c r="AF62" s="1316"/>
      <c r="AG62" s="1316"/>
      <c r="AH62" s="1316"/>
      <c r="AI62" s="1316"/>
      <c r="AJ62" s="1317"/>
    </row>
    <row r="63" spans="1:36" ht="13.5" customHeight="1" x14ac:dyDescent="0.4">
      <c r="A63" s="1166"/>
      <c r="B63" s="1167"/>
      <c r="C63" s="1167"/>
      <c r="D63" s="1167"/>
      <c r="E63" s="1167"/>
      <c r="F63" s="1167"/>
      <c r="G63" s="1167"/>
      <c r="H63" s="1167"/>
      <c r="I63" s="1167"/>
      <c r="J63" s="1167"/>
      <c r="K63" s="1167"/>
      <c r="L63" s="1167"/>
      <c r="M63" s="1167"/>
      <c r="N63" s="1167"/>
      <c r="O63" s="1167"/>
      <c r="P63" s="1168"/>
      <c r="Q63" s="1053"/>
      <c r="R63" s="1054"/>
      <c r="S63" s="1054"/>
      <c r="T63" s="1054"/>
      <c r="U63" s="1054"/>
      <c r="V63" s="1054"/>
      <c r="W63" s="1054"/>
      <c r="X63" s="1054"/>
      <c r="Y63" s="1054"/>
      <c r="Z63" s="1054"/>
      <c r="AA63" s="1054"/>
      <c r="AB63" s="1054"/>
      <c r="AC63" s="1054"/>
      <c r="AD63" s="1054"/>
      <c r="AE63" s="1054"/>
      <c r="AF63" s="1054"/>
      <c r="AG63" s="1054"/>
      <c r="AH63" s="1054"/>
      <c r="AI63" s="1054"/>
      <c r="AJ63" s="1055"/>
    </row>
    <row r="64" spans="1:36" ht="13.5" customHeight="1" x14ac:dyDescent="0.4">
      <c r="A64" s="1166"/>
      <c r="B64" s="1167"/>
      <c r="C64" s="1167"/>
      <c r="D64" s="1167"/>
      <c r="E64" s="1167"/>
      <c r="F64" s="1167"/>
      <c r="G64" s="1167"/>
      <c r="H64" s="1167"/>
      <c r="I64" s="1167"/>
      <c r="J64" s="1167"/>
      <c r="K64" s="1167"/>
      <c r="L64" s="1167"/>
      <c r="M64" s="1167"/>
      <c r="N64" s="1167"/>
      <c r="O64" s="1167"/>
      <c r="P64" s="1168"/>
      <c r="Q64" s="1053"/>
      <c r="R64" s="1054"/>
      <c r="S64" s="1054"/>
      <c r="T64" s="1054"/>
      <c r="U64" s="1054"/>
      <c r="V64" s="1054"/>
      <c r="W64" s="1054"/>
      <c r="X64" s="1054"/>
      <c r="Y64" s="1054"/>
      <c r="Z64" s="1054"/>
      <c r="AA64" s="1054"/>
      <c r="AB64" s="1054"/>
      <c r="AC64" s="1054"/>
      <c r="AD64" s="1054"/>
      <c r="AE64" s="1054"/>
      <c r="AF64" s="1054"/>
      <c r="AG64" s="1054"/>
      <c r="AH64" s="1054"/>
      <c r="AI64" s="1054"/>
      <c r="AJ64" s="1055"/>
    </row>
    <row r="65" spans="1:36" ht="13.5" customHeight="1" x14ac:dyDescent="0.4">
      <c r="A65" s="1166"/>
      <c r="B65" s="1167"/>
      <c r="C65" s="1167"/>
      <c r="D65" s="1167"/>
      <c r="E65" s="1167"/>
      <c r="F65" s="1167"/>
      <c r="G65" s="1167"/>
      <c r="H65" s="1167"/>
      <c r="I65" s="1167"/>
      <c r="J65" s="1167"/>
      <c r="K65" s="1167"/>
      <c r="L65" s="1167"/>
      <c r="M65" s="1167"/>
      <c r="N65" s="1167"/>
      <c r="O65" s="1167"/>
      <c r="P65" s="1168"/>
      <c r="Q65" s="1053"/>
      <c r="R65" s="1054"/>
      <c r="S65" s="1054"/>
      <c r="T65" s="1054"/>
      <c r="U65" s="1054"/>
      <c r="V65" s="1054"/>
      <c r="W65" s="1054"/>
      <c r="X65" s="1054"/>
      <c r="Y65" s="1054"/>
      <c r="Z65" s="1054"/>
      <c r="AA65" s="1054"/>
      <c r="AB65" s="1054"/>
      <c r="AC65" s="1054"/>
      <c r="AD65" s="1054"/>
      <c r="AE65" s="1054"/>
      <c r="AF65" s="1054"/>
      <c r="AG65" s="1054"/>
      <c r="AH65" s="1054"/>
      <c r="AI65" s="1054"/>
      <c r="AJ65" s="1055"/>
    </row>
    <row r="66" spans="1:36" ht="13.5" customHeight="1" x14ac:dyDescent="0.4">
      <c r="A66" s="1166"/>
      <c r="B66" s="1167"/>
      <c r="C66" s="1167"/>
      <c r="D66" s="1167"/>
      <c r="E66" s="1167"/>
      <c r="F66" s="1167"/>
      <c r="G66" s="1167"/>
      <c r="H66" s="1167"/>
      <c r="I66" s="1167"/>
      <c r="J66" s="1167"/>
      <c r="K66" s="1167"/>
      <c r="L66" s="1167"/>
      <c r="M66" s="1167"/>
      <c r="N66" s="1167"/>
      <c r="O66" s="1167"/>
      <c r="P66" s="1168"/>
      <c r="Q66" s="1053"/>
      <c r="R66" s="1054"/>
      <c r="S66" s="1054"/>
      <c r="T66" s="1054"/>
      <c r="U66" s="1054"/>
      <c r="V66" s="1054"/>
      <c r="W66" s="1054"/>
      <c r="X66" s="1054"/>
      <c r="Y66" s="1054"/>
      <c r="Z66" s="1054"/>
      <c r="AA66" s="1054"/>
      <c r="AB66" s="1054"/>
      <c r="AC66" s="1054"/>
      <c r="AD66" s="1054"/>
      <c r="AE66" s="1054"/>
      <c r="AF66" s="1054"/>
      <c r="AG66" s="1054"/>
      <c r="AH66" s="1054"/>
      <c r="AI66" s="1054"/>
      <c r="AJ66" s="1055"/>
    </row>
    <row r="67" spans="1:36" ht="13.5" customHeight="1" x14ac:dyDescent="0.4">
      <c r="A67" s="1166"/>
      <c r="B67" s="1167"/>
      <c r="C67" s="1167"/>
      <c r="D67" s="1167"/>
      <c r="E67" s="1167"/>
      <c r="F67" s="1167"/>
      <c r="G67" s="1167"/>
      <c r="H67" s="1167"/>
      <c r="I67" s="1167"/>
      <c r="J67" s="1167"/>
      <c r="K67" s="1167"/>
      <c r="L67" s="1167"/>
      <c r="M67" s="1167"/>
      <c r="N67" s="1167"/>
      <c r="O67" s="1167"/>
      <c r="P67" s="1168"/>
      <c r="Q67" s="1053"/>
      <c r="R67" s="1054"/>
      <c r="S67" s="1054"/>
      <c r="T67" s="1054"/>
      <c r="U67" s="1054"/>
      <c r="V67" s="1054"/>
      <c r="W67" s="1054"/>
      <c r="X67" s="1054"/>
      <c r="Y67" s="1054"/>
      <c r="Z67" s="1054"/>
      <c r="AA67" s="1054"/>
      <c r="AB67" s="1054"/>
      <c r="AC67" s="1054"/>
      <c r="AD67" s="1054"/>
      <c r="AE67" s="1054"/>
      <c r="AF67" s="1054"/>
      <c r="AG67" s="1054"/>
      <c r="AH67" s="1054"/>
      <c r="AI67" s="1054"/>
      <c r="AJ67" s="1055"/>
    </row>
    <row r="68" spans="1:36" ht="13.5" customHeight="1" x14ac:dyDescent="0.4">
      <c r="A68" s="1166"/>
      <c r="B68" s="1167"/>
      <c r="C68" s="1167"/>
      <c r="D68" s="1167"/>
      <c r="E68" s="1167"/>
      <c r="F68" s="1167"/>
      <c r="G68" s="1167"/>
      <c r="H68" s="1167"/>
      <c r="I68" s="1167"/>
      <c r="J68" s="1167"/>
      <c r="K68" s="1167"/>
      <c r="L68" s="1167"/>
      <c r="M68" s="1167"/>
      <c r="N68" s="1167"/>
      <c r="O68" s="1167"/>
      <c r="P68" s="1168"/>
      <c r="Q68" s="1053"/>
      <c r="R68" s="1054"/>
      <c r="S68" s="1054"/>
      <c r="T68" s="1054"/>
      <c r="U68" s="1054"/>
      <c r="V68" s="1054"/>
      <c r="W68" s="1054"/>
      <c r="X68" s="1054"/>
      <c r="Y68" s="1054"/>
      <c r="Z68" s="1054"/>
      <c r="AA68" s="1054"/>
      <c r="AB68" s="1054"/>
      <c r="AC68" s="1054"/>
      <c r="AD68" s="1054"/>
      <c r="AE68" s="1054"/>
      <c r="AF68" s="1054"/>
      <c r="AG68" s="1054"/>
      <c r="AH68" s="1054"/>
      <c r="AI68" s="1054"/>
      <c r="AJ68" s="1055"/>
    </row>
    <row r="69" spans="1:36" ht="13.5" customHeight="1" x14ac:dyDescent="0.4">
      <c r="A69" s="1166"/>
      <c r="B69" s="1167"/>
      <c r="C69" s="1167"/>
      <c r="D69" s="1167"/>
      <c r="E69" s="1167"/>
      <c r="F69" s="1167"/>
      <c r="G69" s="1167"/>
      <c r="H69" s="1167"/>
      <c r="I69" s="1167"/>
      <c r="J69" s="1167"/>
      <c r="K69" s="1167"/>
      <c r="L69" s="1167"/>
      <c r="M69" s="1167"/>
      <c r="N69" s="1167"/>
      <c r="O69" s="1167"/>
      <c r="P69" s="1168"/>
      <c r="Q69" s="1053"/>
      <c r="R69" s="1054"/>
      <c r="S69" s="1054"/>
      <c r="T69" s="1054"/>
      <c r="U69" s="1054"/>
      <c r="V69" s="1054"/>
      <c r="W69" s="1054"/>
      <c r="X69" s="1054"/>
      <c r="Y69" s="1054"/>
      <c r="Z69" s="1054"/>
      <c r="AA69" s="1054"/>
      <c r="AB69" s="1054"/>
      <c r="AC69" s="1054"/>
      <c r="AD69" s="1054"/>
      <c r="AE69" s="1054"/>
      <c r="AF69" s="1054"/>
      <c r="AG69" s="1054"/>
      <c r="AH69" s="1054"/>
      <c r="AI69" s="1054"/>
      <c r="AJ69" s="1055"/>
    </row>
    <row r="70" spans="1:36" ht="13.5" customHeight="1" x14ac:dyDescent="0.4">
      <c r="A70" s="1166"/>
      <c r="B70" s="1167"/>
      <c r="C70" s="1167"/>
      <c r="D70" s="1167"/>
      <c r="E70" s="1167"/>
      <c r="F70" s="1167"/>
      <c r="G70" s="1167"/>
      <c r="H70" s="1167"/>
      <c r="I70" s="1167"/>
      <c r="J70" s="1167"/>
      <c r="K70" s="1167"/>
      <c r="L70" s="1167"/>
      <c r="M70" s="1167"/>
      <c r="N70" s="1167"/>
      <c r="O70" s="1167"/>
      <c r="P70" s="1168"/>
      <c r="Q70" s="1053"/>
      <c r="R70" s="1054"/>
      <c r="S70" s="1054"/>
      <c r="T70" s="1054"/>
      <c r="U70" s="1054"/>
      <c r="V70" s="1054"/>
      <c r="W70" s="1054"/>
      <c r="X70" s="1054"/>
      <c r="Y70" s="1054"/>
      <c r="Z70" s="1054"/>
      <c r="AA70" s="1054"/>
      <c r="AB70" s="1054"/>
      <c r="AC70" s="1054"/>
      <c r="AD70" s="1054"/>
      <c r="AE70" s="1054"/>
      <c r="AF70" s="1054"/>
      <c r="AG70" s="1054"/>
      <c r="AH70" s="1054"/>
      <c r="AI70" s="1054"/>
      <c r="AJ70" s="1055"/>
    </row>
    <row r="71" spans="1:36" ht="13.5" customHeight="1" x14ac:dyDescent="0.4">
      <c r="A71" s="1166"/>
      <c r="B71" s="1167"/>
      <c r="C71" s="1167"/>
      <c r="D71" s="1167"/>
      <c r="E71" s="1167"/>
      <c r="F71" s="1167"/>
      <c r="G71" s="1167"/>
      <c r="H71" s="1167"/>
      <c r="I71" s="1167"/>
      <c r="J71" s="1167"/>
      <c r="K71" s="1167"/>
      <c r="L71" s="1167"/>
      <c r="M71" s="1167"/>
      <c r="N71" s="1167"/>
      <c r="O71" s="1167"/>
      <c r="P71" s="1168"/>
      <c r="Q71" s="1053"/>
      <c r="R71" s="1054"/>
      <c r="S71" s="1054"/>
      <c r="T71" s="1054"/>
      <c r="U71" s="1054"/>
      <c r="V71" s="1054"/>
      <c r="W71" s="1054"/>
      <c r="X71" s="1054"/>
      <c r="Y71" s="1054"/>
      <c r="Z71" s="1054"/>
      <c r="AA71" s="1054"/>
      <c r="AB71" s="1054"/>
      <c r="AC71" s="1054"/>
      <c r="AD71" s="1054"/>
      <c r="AE71" s="1054"/>
      <c r="AF71" s="1054"/>
      <c r="AG71" s="1054"/>
      <c r="AH71" s="1054"/>
      <c r="AI71" s="1054"/>
      <c r="AJ71" s="1055"/>
    </row>
    <row r="72" spans="1:36" ht="13.5" customHeight="1" x14ac:dyDescent="0.4">
      <c r="A72" s="1166"/>
      <c r="B72" s="1167"/>
      <c r="C72" s="1167"/>
      <c r="D72" s="1167"/>
      <c r="E72" s="1167"/>
      <c r="F72" s="1167"/>
      <c r="G72" s="1167"/>
      <c r="H72" s="1167"/>
      <c r="I72" s="1167"/>
      <c r="J72" s="1167"/>
      <c r="K72" s="1167"/>
      <c r="L72" s="1167"/>
      <c r="M72" s="1167"/>
      <c r="N72" s="1167"/>
      <c r="O72" s="1167"/>
      <c r="P72" s="1168"/>
      <c r="Q72" s="1053"/>
      <c r="R72" s="1054"/>
      <c r="S72" s="1054"/>
      <c r="T72" s="1054"/>
      <c r="U72" s="1054"/>
      <c r="V72" s="1054"/>
      <c r="W72" s="1054"/>
      <c r="X72" s="1054"/>
      <c r="Y72" s="1054"/>
      <c r="Z72" s="1054"/>
      <c r="AA72" s="1054"/>
      <c r="AB72" s="1054"/>
      <c r="AC72" s="1054"/>
      <c r="AD72" s="1054"/>
      <c r="AE72" s="1054"/>
      <c r="AF72" s="1054"/>
      <c r="AG72" s="1054"/>
      <c r="AH72" s="1054"/>
      <c r="AI72" s="1054"/>
      <c r="AJ72" s="1055"/>
    </row>
    <row r="73" spans="1:36" ht="13.5" customHeight="1" x14ac:dyDescent="0.4">
      <c r="A73" s="1169"/>
      <c r="B73" s="1170"/>
      <c r="C73" s="1170"/>
      <c r="D73" s="1170"/>
      <c r="E73" s="1170"/>
      <c r="F73" s="1170"/>
      <c r="G73" s="1170"/>
      <c r="H73" s="1170"/>
      <c r="I73" s="1170"/>
      <c r="J73" s="1170"/>
      <c r="K73" s="1170"/>
      <c r="L73" s="1170"/>
      <c r="M73" s="1170"/>
      <c r="N73" s="1170"/>
      <c r="O73" s="1170"/>
      <c r="P73" s="1171"/>
      <c r="Q73" s="1105"/>
      <c r="R73" s="1106"/>
      <c r="S73" s="1106"/>
      <c r="T73" s="1106"/>
      <c r="U73" s="1106"/>
      <c r="V73" s="1106"/>
      <c r="W73" s="1106"/>
      <c r="X73" s="1106"/>
      <c r="Y73" s="1106"/>
      <c r="Z73" s="1106"/>
      <c r="AA73" s="1106"/>
      <c r="AB73" s="1106"/>
      <c r="AC73" s="1106"/>
      <c r="AD73" s="1106"/>
      <c r="AE73" s="1106"/>
      <c r="AF73" s="1106"/>
      <c r="AG73" s="1106"/>
      <c r="AH73" s="1106"/>
      <c r="AI73" s="1106"/>
      <c r="AJ73" s="1107"/>
    </row>
    <row r="74" spans="1:36" s="229" customFormat="1" ht="10.5" customHeight="1" x14ac:dyDescent="0.4">
      <c r="A74" s="1304" t="s">
        <v>728</v>
      </c>
      <c r="B74" s="1305"/>
      <c r="C74" s="1305"/>
      <c r="D74" s="1305"/>
      <c r="E74" s="1305"/>
      <c r="F74" s="1305"/>
      <c r="G74" s="1305"/>
      <c r="H74" s="1305"/>
      <c r="I74" s="1305"/>
      <c r="J74" s="1306"/>
      <c r="K74" s="1304" t="s">
        <v>451</v>
      </c>
      <c r="L74" s="1305"/>
      <c r="M74" s="1305"/>
      <c r="N74" s="1306"/>
      <c r="O74" s="1304" t="s">
        <v>729</v>
      </c>
      <c r="P74" s="1305"/>
      <c r="Q74" s="1306"/>
      <c r="R74" s="1304" t="s">
        <v>730</v>
      </c>
      <c r="S74" s="1305"/>
      <c r="T74" s="1306"/>
      <c r="U74" s="1304" t="s">
        <v>731</v>
      </c>
      <c r="V74" s="1305"/>
      <c r="W74" s="1305"/>
      <c r="X74" s="1306"/>
      <c r="Y74" s="1172" t="s">
        <v>732</v>
      </c>
      <c r="Z74" s="1173"/>
      <c r="AA74" s="1173"/>
      <c r="AB74" s="1173"/>
      <c r="AC74" s="1173"/>
      <c r="AD74" s="1173"/>
      <c r="AE74" s="1173"/>
      <c r="AF74" s="1173"/>
      <c r="AG74" s="1173"/>
      <c r="AH74" s="1173"/>
      <c r="AI74" s="1173"/>
      <c r="AJ74" s="1174"/>
    </row>
    <row r="75" spans="1:36" s="229" customFormat="1" ht="10.5" customHeight="1" x14ac:dyDescent="0.4">
      <c r="A75" s="1307"/>
      <c r="B75" s="1308"/>
      <c r="C75" s="1308"/>
      <c r="D75" s="1308"/>
      <c r="E75" s="1308"/>
      <c r="F75" s="1308"/>
      <c r="G75" s="1308"/>
      <c r="H75" s="1308"/>
      <c r="I75" s="1308"/>
      <c r="J75" s="1309"/>
      <c r="K75" s="1307"/>
      <c r="L75" s="1308"/>
      <c r="M75" s="1308"/>
      <c r="N75" s="1309"/>
      <c r="O75" s="1307"/>
      <c r="P75" s="1308"/>
      <c r="Q75" s="1309"/>
      <c r="R75" s="1307"/>
      <c r="S75" s="1308"/>
      <c r="T75" s="1309"/>
      <c r="U75" s="1307"/>
      <c r="V75" s="1308"/>
      <c r="W75" s="1308"/>
      <c r="X75" s="1309"/>
      <c r="Y75" s="1312"/>
      <c r="Z75" s="1313"/>
      <c r="AA75" s="1313"/>
      <c r="AB75" s="1313"/>
      <c r="AC75" s="1313"/>
      <c r="AD75" s="1313"/>
      <c r="AE75" s="1313"/>
      <c r="AF75" s="1313"/>
      <c r="AG75" s="1313"/>
      <c r="AH75" s="1313"/>
      <c r="AI75" s="1313"/>
      <c r="AJ75" s="1314"/>
    </row>
    <row r="76" spans="1:36" ht="12" customHeight="1" x14ac:dyDescent="0.4">
      <c r="A76" s="405" t="s">
        <v>727</v>
      </c>
      <c r="B76" s="406"/>
      <c r="C76" s="508">
        <f>'（最新）アセスメントシート'!C16</f>
        <v>0</v>
      </c>
      <c r="D76" s="508"/>
      <c r="E76" s="508"/>
      <c r="F76" s="508"/>
      <c r="G76" s="508"/>
      <c r="H76" s="508"/>
      <c r="I76" s="508"/>
      <c r="J76" s="1218"/>
      <c r="K76" s="405">
        <f>'（最新）アセスメントシート'!I16</f>
        <v>0</v>
      </c>
      <c r="L76" s="406"/>
      <c r="M76" s="406"/>
      <c r="N76" s="453"/>
      <c r="O76" s="405">
        <f>'（最新）アセスメントシート'!AA16</f>
        <v>0</v>
      </c>
      <c r="P76" s="406"/>
      <c r="Q76" s="453"/>
      <c r="R76" s="405">
        <f>'（最新）アセスメントシート'!AD16</f>
        <v>0</v>
      </c>
      <c r="S76" s="406"/>
      <c r="T76" s="453"/>
      <c r="U76" s="405"/>
      <c r="V76" s="406"/>
      <c r="W76" s="406"/>
      <c r="X76" s="453"/>
      <c r="Y76" s="1310"/>
      <c r="Z76" s="508"/>
      <c r="AA76" s="508"/>
      <c r="AB76" s="508"/>
      <c r="AC76" s="508"/>
      <c r="AD76" s="508"/>
      <c r="AE76" s="508"/>
      <c r="AF76" s="508"/>
      <c r="AG76" s="508"/>
      <c r="AH76" s="508"/>
      <c r="AI76" s="508"/>
      <c r="AJ76" s="1218"/>
    </row>
    <row r="77" spans="1:36" ht="12" customHeight="1" x14ac:dyDescent="0.4">
      <c r="A77" s="407"/>
      <c r="B77" s="408"/>
      <c r="C77" s="510"/>
      <c r="D77" s="510"/>
      <c r="E77" s="510"/>
      <c r="F77" s="510"/>
      <c r="G77" s="510"/>
      <c r="H77" s="510"/>
      <c r="I77" s="510"/>
      <c r="J77" s="1194"/>
      <c r="K77" s="407"/>
      <c r="L77" s="408"/>
      <c r="M77" s="408"/>
      <c r="N77" s="454"/>
      <c r="O77" s="407"/>
      <c r="P77" s="408"/>
      <c r="Q77" s="454"/>
      <c r="R77" s="407"/>
      <c r="S77" s="408"/>
      <c r="T77" s="454"/>
      <c r="U77" s="407"/>
      <c r="V77" s="408"/>
      <c r="W77" s="408"/>
      <c r="X77" s="454"/>
      <c r="Y77" s="1311"/>
      <c r="Z77" s="510"/>
      <c r="AA77" s="510"/>
      <c r="AB77" s="510"/>
      <c r="AC77" s="510"/>
      <c r="AD77" s="510"/>
      <c r="AE77" s="510"/>
      <c r="AF77" s="510"/>
      <c r="AG77" s="510"/>
      <c r="AH77" s="510"/>
      <c r="AI77" s="510"/>
      <c r="AJ77" s="1194"/>
    </row>
    <row r="78" spans="1:36" ht="12" customHeight="1" x14ac:dyDescent="0.4">
      <c r="A78" s="405"/>
      <c r="B78" s="406"/>
      <c r="C78" s="508">
        <f>'（最新）アセスメントシート'!C18</f>
        <v>0</v>
      </c>
      <c r="D78" s="508"/>
      <c r="E78" s="508"/>
      <c r="F78" s="508"/>
      <c r="G78" s="508"/>
      <c r="H78" s="508"/>
      <c r="I78" s="508"/>
      <c r="J78" s="1218"/>
      <c r="K78" s="405">
        <f>'（最新）アセスメントシート'!I18</f>
        <v>0</v>
      </c>
      <c r="L78" s="406"/>
      <c r="M78" s="406"/>
      <c r="N78" s="453"/>
      <c r="O78" s="405">
        <f>'（最新）アセスメントシート'!AA18</f>
        <v>0</v>
      </c>
      <c r="P78" s="406"/>
      <c r="Q78" s="453"/>
      <c r="R78" s="405">
        <f>'（最新）アセスメントシート'!AD18</f>
        <v>0</v>
      </c>
      <c r="S78" s="406"/>
      <c r="T78" s="453"/>
      <c r="U78" s="405"/>
      <c r="V78" s="406"/>
      <c r="W78" s="406"/>
      <c r="X78" s="453"/>
      <c r="Y78" s="1310"/>
      <c r="Z78" s="508"/>
      <c r="AA78" s="508"/>
      <c r="AB78" s="508"/>
      <c r="AC78" s="508"/>
      <c r="AD78" s="508"/>
      <c r="AE78" s="508"/>
      <c r="AF78" s="508"/>
      <c r="AG78" s="508"/>
      <c r="AH78" s="508"/>
      <c r="AI78" s="508"/>
      <c r="AJ78" s="1218"/>
    </row>
    <row r="79" spans="1:36" ht="12" customHeight="1" x14ac:dyDescent="0.4">
      <c r="A79" s="407"/>
      <c r="B79" s="408"/>
      <c r="C79" s="510"/>
      <c r="D79" s="510"/>
      <c r="E79" s="510"/>
      <c r="F79" s="510"/>
      <c r="G79" s="510"/>
      <c r="H79" s="510"/>
      <c r="I79" s="510"/>
      <c r="J79" s="1194"/>
      <c r="K79" s="407"/>
      <c r="L79" s="408"/>
      <c r="M79" s="408"/>
      <c r="N79" s="454"/>
      <c r="O79" s="407"/>
      <c r="P79" s="408"/>
      <c r="Q79" s="454"/>
      <c r="R79" s="407"/>
      <c r="S79" s="408"/>
      <c r="T79" s="454"/>
      <c r="U79" s="407"/>
      <c r="V79" s="408"/>
      <c r="W79" s="408"/>
      <c r="X79" s="454"/>
      <c r="Y79" s="1311"/>
      <c r="Z79" s="510"/>
      <c r="AA79" s="510"/>
      <c r="AB79" s="510"/>
      <c r="AC79" s="510"/>
      <c r="AD79" s="510"/>
      <c r="AE79" s="510"/>
      <c r="AF79" s="510"/>
      <c r="AG79" s="510"/>
      <c r="AH79" s="510"/>
      <c r="AI79" s="510"/>
      <c r="AJ79" s="1194"/>
    </row>
    <row r="80" spans="1:36" ht="12" customHeight="1" x14ac:dyDescent="0.4">
      <c r="A80" s="405"/>
      <c r="B80" s="406"/>
      <c r="C80" s="406"/>
      <c r="D80" s="406"/>
      <c r="E80" s="406"/>
      <c r="F80" s="406"/>
      <c r="G80" s="406"/>
      <c r="H80" s="406"/>
      <c r="I80" s="406"/>
      <c r="J80" s="453"/>
      <c r="K80" s="405"/>
      <c r="L80" s="406"/>
      <c r="M80" s="406"/>
      <c r="N80" s="453"/>
      <c r="O80" s="405"/>
      <c r="P80" s="406"/>
      <c r="Q80" s="453"/>
      <c r="R80" s="405"/>
      <c r="S80" s="406"/>
      <c r="T80" s="453"/>
      <c r="U80" s="405"/>
      <c r="V80" s="406"/>
      <c r="W80" s="406"/>
      <c r="X80" s="453"/>
      <c r="Y80" s="1310"/>
      <c r="Z80" s="508"/>
      <c r="AA80" s="508"/>
      <c r="AB80" s="508"/>
      <c r="AC80" s="508"/>
      <c r="AD80" s="508"/>
      <c r="AE80" s="508"/>
      <c r="AF80" s="508"/>
      <c r="AG80" s="508"/>
      <c r="AH80" s="508"/>
      <c r="AI80" s="508"/>
      <c r="AJ80" s="1218"/>
    </row>
    <row r="81" spans="1:36" ht="12" customHeight="1" x14ac:dyDescent="0.4">
      <c r="A81" s="407"/>
      <c r="B81" s="408"/>
      <c r="C81" s="408"/>
      <c r="D81" s="408"/>
      <c r="E81" s="408"/>
      <c r="F81" s="408"/>
      <c r="G81" s="408"/>
      <c r="H81" s="408"/>
      <c r="I81" s="408"/>
      <c r="J81" s="454"/>
      <c r="K81" s="407"/>
      <c r="L81" s="408"/>
      <c r="M81" s="408"/>
      <c r="N81" s="454"/>
      <c r="O81" s="407"/>
      <c r="P81" s="408"/>
      <c r="Q81" s="454"/>
      <c r="R81" s="407"/>
      <c r="S81" s="408"/>
      <c r="T81" s="454"/>
      <c r="U81" s="407"/>
      <c r="V81" s="408"/>
      <c r="W81" s="408"/>
      <c r="X81" s="454"/>
      <c r="Y81" s="1311"/>
      <c r="Z81" s="510"/>
      <c r="AA81" s="510"/>
      <c r="AB81" s="510"/>
      <c r="AC81" s="510"/>
      <c r="AD81" s="510"/>
      <c r="AE81" s="510"/>
      <c r="AF81" s="510"/>
      <c r="AG81" s="510"/>
      <c r="AH81" s="510"/>
      <c r="AI81" s="510"/>
      <c r="AJ81" s="1194"/>
    </row>
    <row r="82" spans="1:36" ht="12" customHeight="1" x14ac:dyDescent="0.4">
      <c r="A82" s="405"/>
      <c r="B82" s="406"/>
      <c r="C82" s="406"/>
      <c r="D82" s="406"/>
      <c r="E82" s="406"/>
      <c r="F82" s="406"/>
      <c r="G82" s="406"/>
      <c r="H82" s="406"/>
      <c r="I82" s="406"/>
      <c r="J82" s="453"/>
      <c r="K82" s="405"/>
      <c r="L82" s="406"/>
      <c r="M82" s="406"/>
      <c r="N82" s="453"/>
      <c r="O82" s="405"/>
      <c r="P82" s="406"/>
      <c r="Q82" s="453"/>
      <c r="R82" s="405"/>
      <c r="S82" s="406"/>
      <c r="T82" s="453"/>
      <c r="U82" s="405"/>
      <c r="V82" s="406"/>
      <c r="W82" s="406"/>
      <c r="X82" s="453"/>
      <c r="Y82" s="1310"/>
      <c r="Z82" s="508"/>
      <c r="AA82" s="508"/>
      <c r="AB82" s="508"/>
      <c r="AC82" s="508"/>
      <c r="AD82" s="508"/>
      <c r="AE82" s="508"/>
      <c r="AF82" s="508"/>
      <c r="AG82" s="508"/>
      <c r="AH82" s="508"/>
      <c r="AI82" s="508"/>
      <c r="AJ82" s="1218"/>
    </row>
    <row r="83" spans="1:36" ht="12" customHeight="1" x14ac:dyDescent="0.4">
      <c r="A83" s="407"/>
      <c r="B83" s="408"/>
      <c r="C83" s="408"/>
      <c r="D83" s="408"/>
      <c r="E83" s="408"/>
      <c r="F83" s="408"/>
      <c r="G83" s="408"/>
      <c r="H83" s="408"/>
      <c r="I83" s="408"/>
      <c r="J83" s="454"/>
      <c r="K83" s="407"/>
      <c r="L83" s="408"/>
      <c r="M83" s="408"/>
      <c r="N83" s="454"/>
      <c r="O83" s="407"/>
      <c r="P83" s="408"/>
      <c r="Q83" s="454"/>
      <c r="R83" s="407"/>
      <c r="S83" s="408"/>
      <c r="T83" s="454"/>
      <c r="U83" s="407"/>
      <c r="V83" s="408"/>
      <c r="W83" s="408"/>
      <c r="X83" s="454"/>
      <c r="Y83" s="1311"/>
      <c r="Z83" s="510"/>
      <c r="AA83" s="510"/>
      <c r="AB83" s="510"/>
      <c r="AC83" s="510"/>
      <c r="AD83" s="510"/>
      <c r="AE83" s="510"/>
      <c r="AF83" s="510"/>
      <c r="AG83" s="510"/>
      <c r="AH83" s="510"/>
      <c r="AI83" s="510"/>
      <c r="AJ83" s="1194"/>
    </row>
    <row r="84" spans="1:36" ht="9" customHeight="1" x14ac:dyDescent="0.4">
      <c r="A84" s="1253" t="s">
        <v>725</v>
      </c>
      <c r="B84" s="1253"/>
      <c r="C84" s="1253"/>
      <c r="D84" s="1253"/>
      <c r="E84" s="1253"/>
      <c r="F84" s="1253"/>
      <c r="G84" s="1253"/>
      <c r="H84" s="1253"/>
      <c r="I84" s="1253"/>
      <c r="J84" s="1253"/>
      <c r="K84" s="1253"/>
      <c r="L84" s="1253"/>
      <c r="M84" s="1300" t="s">
        <v>445</v>
      </c>
      <c r="N84" s="1300" t="s">
        <v>726</v>
      </c>
      <c r="O84" s="1300"/>
      <c r="P84" s="1300"/>
      <c r="Q84" s="1300"/>
      <c r="R84" s="1300"/>
      <c r="S84" s="1300"/>
      <c r="T84" s="1300"/>
      <c r="U84" s="1300"/>
      <c r="V84" s="1300"/>
      <c r="W84" s="1300"/>
      <c r="X84" s="1300"/>
      <c r="Y84" s="1300"/>
      <c r="Z84" s="1300"/>
      <c r="AA84" s="1300"/>
      <c r="AB84" s="1300"/>
      <c r="AC84" s="1300"/>
      <c r="AD84" s="1300"/>
      <c r="AE84" s="1300"/>
      <c r="AF84" s="1300"/>
      <c r="AG84" s="1300"/>
      <c r="AH84" s="1300"/>
      <c r="AI84" s="1302" t="s">
        <v>426</v>
      </c>
    </row>
    <row r="85" spans="1:36" ht="13.5" customHeight="1" x14ac:dyDescent="0.4">
      <c r="A85" s="1299"/>
      <c r="B85" s="1299"/>
      <c r="C85" s="1299"/>
      <c r="D85" s="1299"/>
      <c r="E85" s="1299"/>
      <c r="F85" s="1299"/>
      <c r="G85" s="1299"/>
      <c r="H85" s="1299"/>
      <c r="I85" s="1299"/>
      <c r="J85" s="1299"/>
      <c r="K85" s="1299"/>
      <c r="L85" s="1299"/>
      <c r="M85" s="1301"/>
      <c r="N85" s="1301"/>
      <c r="O85" s="1301"/>
      <c r="P85" s="1301"/>
      <c r="Q85" s="1301"/>
      <c r="R85" s="1301"/>
      <c r="S85" s="1301"/>
      <c r="T85" s="1301"/>
      <c r="U85" s="1301"/>
      <c r="V85" s="1301"/>
      <c r="W85" s="1301"/>
      <c r="X85" s="1301"/>
      <c r="Y85" s="1301"/>
      <c r="Z85" s="1301"/>
      <c r="AA85" s="1301"/>
      <c r="AB85" s="1301"/>
      <c r="AC85" s="1301"/>
      <c r="AD85" s="1301"/>
      <c r="AE85" s="1301"/>
      <c r="AF85" s="1301"/>
      <c r="AG85" s="1301"/>
      <c r="AH85" s="1301"/>
      <c r="AI85" s="1303"/>
    </row>
    <row r="86" spans="1:36" s="204" customFormat="1" ht="21" customHeight="1" x14ac:dyDescent="0.4">
      <c r="A86" s="1287" t="s">
        <v>723</v>
      </c>
      <c r="B86" s="1288"/>
      <c r="C86" s="1288"/>
      <c r="D86" s="1288"/>
      <c r="E86" s="1288"/>
      <c r="F86" s="1288"/>
      <c r="G86" s="1288"/>
      <c r="H86" s="1288"/>
      <c r="I86" s="1288"/>
      <c r="J86" s="1289"/>
      <c r="K86" s="1287" t="s">
        <v>724</v>
      </c>
      <c r="L86" s="1288"/>
      <c r="M86" s="1288"/>
      <c r="N86" s="1288"/>
      <c r="O86" s="1288"/>
      <c r="P86" s="1288"/>
      <c r="Q86" s="1288"/>
      <c r="R86" s="1288"/>
      <c r="S86" s="1288"/>
      <c r="T86" s="1288"/>
      <c r="U86" s="1288"/>
      <c r="V86" s="1288"/>
      <c r="W86" s="1288"/>
      <c r="X86" s="1288"/>
      <c r="Y86" s="1289"/>
      <c r="Z86" s="1287" t="s">
        <v>38</v>
      </c>
      <c r="AA86" s="1288"/>
      <c r="AB86" s="1288"/>
      <c r="AC86" s="1288"/>
      <c r="AD86" s="1288"/>
      <c r="AE86" s="1288"/>
      <c r="AF86" s="1288"/>
      <c r="AG86" s="1288"/>
      <c r="AH86" s="1288"/>
      <c r="AI86" s="1288"/>
      <c r="AJ86" s="1289"/>
    </row>
    <row r="87" spans="1:36" ht="13.5" customHeight="1" x14ac:dyDescent="0.4">
      <c r="A87" s="1163"/>
      <c r="B87" s="1164"/>
      <c r="C87" s="1164"/>
      <c r="D87" s="1164"/>
      <c r="E87" s="1164"/>
      <c r="F87" s="1164"/>
      <c r="G87" s="1164"/>
      <c r="H87" s="1164"/>
      <c r="I87" s="1164"/>
      <c r="J87" s="1165"/>
      <c r="K87" s="1290"/>
      <c r="L87" s="1291"/>
      <c r="M87" s="1291"/>
      <c r="N87" s="1291"/>
      <c r="O87" s="1291"/>
      <c r="P87" s="1291"/>
      <c r="Q87" s="1291"/>
      <c r="R87" s="1291"/>
      <c r="S87" s="1291"/>
      <c r="T87" s="1291"/>
      <c r="U87" s="1291"/>
      <c r="V87" s="1291"/>
      <c r="W87" s="1291"/>
      <c r="X87" s="1291"/>
      <c r="Y87" s="1292"/>
      <c r="Z87" s="1163"/>
      <c r="AA87" s="1164"/>
      <c r="AB87" s="1164"/>
      <c r="AC87" s="1164"/>
      <c r="AD87" s="1164"/>
      <c r="AE87" s="1164"/>
      <c r="AF87" s="1164"/>
      <c r="AG87" s="1164"/>
      <c r="AH87" s="1164"/>
      <c r="AI87" s="1164"/>
      <c r="AJ87" s="1165"/>
    </row>
    <row r="88" spans="1:36" ht="13.5" customHeight="1" x14ac:dyDescent="0.4">
      <c r="A88" s="1166"/>
      <c r="B88" s="1167"/>
      <c r="C88" s="1167"/>
      <c r="D88" s="1167"/>
      <c r="E88" s="1167"/>
      <c r="F88" s="1167"/>
      <c r="G88" s="1167"/>
      <c r="H88" s="1167"/>
      <c r="I88" s="1167"/>
      <c r="J88" s="1168"/>
      <c r="K88" s="1293"/>
      <c r="L88" s="1294"/>
      <c r="M88" s="1294"/>
      <c r="N88" s="1294"/>
      <c r="O88" s="1294"/>
      <c r="P88" s="1294"/>
      <c r="Q88" s="1294"/>
      <c r="R88" s="1294"/>
      <c r="S88" s="1294"/>
      <c r="T88" s="1294"/>
      <c r="U88" s="1294"/>
      <c r="V88" s="1294"/>
      <c r="W88" s="1294"/>
      <c r="X88" s="1294"/>
      <c r="Y88" s="1295"/>
      <c r="Z88" s="1166"/>
      <c r="AA88" s="1167"/>
      <c r="AB88" s="1167"/>
      <c r="AC88" s="1167"/>
      <c r="AD88" s="1167"/>
      <c r="AE88" s="1167"/>
      <c r="AF88" s="1167"/>
      <c r="AG88" s="1167"/>
      <c r="AH88" s="1167"/>
      <c r="AI88" s="1167"/>
      <c r="AJ88" s="1168"/>
    </row>
    <row r="89" spans="1:36" ht="13.5" customHeight="1" x14ac:dyDescent="0.4">
      <c r="A89" s="1166"/>
      <c r="B89" s="1167"/>
      <c r="C89" s="1167"/>
      <c r="D89" s="1167"/>
      <c r="E89" s="1167"/>
      <c r="F89" s="1167"/>
      <c r="G89" s="1167"/>
      <c r="H89" s="1167"/>
      <c r="I89" s="1167"/>
      <c r="J89" s="1168"/>
      <c r="K89" s="1293"/>
      <c r="L89" s="1294"/>
      <c r="M89" s="1294"/>
      <c r="N89" s="1294"/>
      <c r="O89" s="1294"/>
      <c r="P89" s="1294"/>
      <c r="Q89" s="1294"/>
      <c r="R89" s="1294"/>
      <c r="S89" s="1294"/>
      <c r="T89" s="1294"/>
      <c r="U89" s="1294"/>
      <c r="V89" s="1294"/>
      <c r="W89" s="1294"/>
      <c r="X89" s="1294"/>
      <c r="Y89" s="1295"/>
      <c r="Z89" s="1166"/>
      <c r="AA89" s="1167"/>
      <c r="AB89" s="1167"/>
      <c r="AC89" s="1167"/>
      <c r="AD89" s="1167"/>
      <c r="AE89" s="1167"/>
      <c r="AF89" s="1167"/>
      <c r="AG89" s="1167"/>
      <c r="AH89" s="1167"/>
      <c r="AI89" s="1167"/>
      <c r="AJ89" s="1168"/>
    </row>
    <row r="90" spans="1:36" ht="13.5" customHeight="1" x14ac:dyDescent="0.4">
      <c r="A90" s="1169"/>
      <c r="B90" s="1170"/>
      <c r="C90" s="1170"/>
      <c r="D90" s="1170"/>
      <c r="E90" s="1170"/>
      <c r="F90" s="1170"/>
      <c r="G90" s="1170"/>
      <c r="H90" s="1170"/>
      <c r="I90" s="1170"/>
      <c r="J90" s="1171"/>
      <c r="K90" s="1296"/>
      <c r="L90" s="1297"/>
      <c r="M90" s="1297"/>
      <c r="N90" s="1297"/>
      <c r="O90" s="1297"/>
      <c r="P90" s="1297"/>
      <c r="Q90" s="1297"/>
      <c r="R90" s="1297"/>
      <c r="S90" s="1297"/>
      <c r="T90" s="1297"/>
      <c r="U90" s="1297"/>
      <c r="V90" s="1297"/>
      <c r="W90" s="1297"/>
      <c r="X90" s="1297"/>
      <c r="Y90" s="1298"/>
      <c r="Z90" s="1169"/>
      <c r="AA90" s="1170"/>
      <c r="AB90" s="1170"/>
      <c r="AC90" s="1170"/>
      <c r="AD90" s="1170"/>
      <c r="AE90" s="1170"/>
      <c r="AF90" s="1170"/>
      <c r="AG90" s="1170"/>
      <c r="AH90" s="1170"/>
      <c r="AI90" s="1170"/>
      <c r="AJ90" s="1171"/>
    </row>
    <row r="91" spans="1:36" ht="7.5" customHeight="1" x14ac:dyDescent="0.4"/>
    <row r="92" spans="1:36" ht="21" customHeight="1" x14ac:dyDescent="0.4">
      <c r="A92" s="1284" t="s">
        <v>722</v>
      </c>
      <c r="B92" s="1285"/>
      <c r="C92" s="1285"/>
      <c r="D92" s="1285"/>
      <c r="E92" s="1285"/>
      <c r="F92" s="1285"/>
      <c r="G92" s="1285"/>
      <c r="H92" s="1285"/>
      <c r="I92" s="1285"/>
      <c r="J92" s="1285"/>
      <c r="K92" s="1285"/>
      <c r="L92" s="1285"/>
      <c r="M92" s="1285"/>
      <c r="N92" s="1285"/>
      <c r="O92" s="1286"/>
      <c r="P92" s="1287" t="s">
        <v>723</v>
      </c>
      <c r="Q92" s="1288"/>
      <c r="R92" s="1288"/>
      <c r="S92" s="1288"/>
      <c r="T92" s="1288"/>
      <c r="U92" s="1288"/>
      <c r="V92" s="1288"/>
      <c r="W92" s="1288"/>
      <c r="X92" s="1288"/>
      <c r="Y92" s="1289"/>
      <c r="Z92" s="1287" t="s">
        <v>38</v>
      </c>
      <c r="AA92" s="1288"/>
      <c r="AB92" s="1288"/>
      <c r="AC92" s="1288"/>
      <c r="AD92" s="1288"/>
      <c r="AE92" s="1288"/>
      <c r="AF92" s="1288"/>
      <c r="AG92" s="1288"/>
      <c r="AH92" s="1288"/>
      <c r="AI92" s="1288"/>
      <c r="AJ92" s="1289"/>
    </row>
    <row r="93" spans="1:36" ht="13.5" customHeight="1" x14ac:dyDescent="0.4">
      <c r="A93" s="1163"/>
      <c r="B93" s="1164"/>
      <c r="C93" s="1164"/>
      <c r="D93" s="1164"/>
      <c r="E93" s="1164"/>
      <c r="F93" s="1164"/>
      <c r="G93" s="1164"/>
      <c r="H93" s="1164"/>
      <c r="I93" s="1164"/>
      <c r="J93" s="1164"/>
      <c r="K93" s="1164"/>
      <c r="L93" s="1164"/>
      <c r="M93" s="1164"/>
      <c r="N93" s="1164"/>
      <c r="O93" s="1165"/>
      <c r="P93" s="1163"/>
      <c r="Q93" s="1164"/>
      <c r="R93" s="1164"/>
      <c r="S93" s="1164"/>
      <c r="T93" s="1164"/>
      <c r="U93" s="1164"/>
      <c r="V93" s="1164"/>
      <c r="W93" s="1164"/>
      <c r="X93" s="1164"/>
      <c r="Y93" s="1165"/>
      <c r="Z93" s="1163"/>
      <c r="AA93" s="1164"/>
      <c r="AB93" s="1164"/>
      <c r="AC93" s="1164"/>
      <c r="AD93" s="1164"/>
      <c r="AE93" s="1164"/>
      <c r="AF93" s="1164"/>
      <c r="AG93" s="1164"/>
      <c r="AH93" s="1164"/>
      <c r="AI93" s="1164"/>
      <c r="AJ93" s="1165"/>
    </row>
    <row r="94" spans="1:36" ht="13.5" customHeight="1" x14ac:dyDescent="0.4">
      <c r="A94" s="1166"/>
      <c r="B94" s="1167"/>
      <c r="C94" s="1167"/>
      <c r="D94" s="1167"/>
      <c r="E94" s="1167"/>
      <c r="F94" s="1167"/>
      <c r="G94" s="1167"/>
      <c r="H94" s="1167"/>
      <c r="I94" s="1167"/>
      <c r="J94" s="1167"/>
      <c r="K94" s="1167"/>
      <c r="L94" s="1167"/>
      <c r="M94" s="1167"/>
      <c r="N94" s="1167"/>
      <c r="O94" s="1168"/>
      <c r="P94" s="1166"/>
      <c r="Q94" s="1167"/>
      <c r="R94" s="1167"/>
      <c r="S94" s="1167"/>
      <c r="T94" s="1167"/>
      <c r="U94" s="1167"/>
      <c r="V94" s="1167"/>
      <c r="W94" s="1167"/>
      <c r="X94" s="1167"/>
      <c r="Y94" s="1168"/>
      <c r="Z94" s="1166"/>
      <c r="AA94" s="1167"/>
      <c r="AB94" s="1167"/>
      <c r="AC94" s="1167"/>
      <c r="AD94" s="1167"/>
      <c r="AE94" s="1167"/>
      <c r="AF94" s="1167"/>
      <c r="AG94" s="1167"/>
      <c r="AH94" s="1167"/>
      <c r="AI94" s="1167"/>
      <c r="AJ94" s="1168"/>
    </row>
    <row r="95" spans="1:36" ht="13.5" customHeight="1" x14ac:dyDescent="0.4">
      <c r="A95" s="1166"/>
      <c r="B95" s="1167"/>
      <c r="C95" s="1167"/>
      <c r="D95" s="1167"/>
      <c r="E95" s="1167"/>
      <c r="F95" s="1167"/>
      <c r="G95" s="1167"/>
      <c r="H95" s="1167"/>
      <c r="I95" s="1167"/>
      <c r="J95" s="1167"/>
      <c r="K95" s="1167"/>
      <c r="L95" s="1167"/>
      <c r="M95" s="1167"/>
      <c r="N95" s="1167"/>
      <c r="O95" s="1168"/>
      <c r="P95" s="1166"/>
      <c r="Q95" s="1167"/>
      <c r="R95" s="1167"/>
      <c r="S95" s="1167"/>
      <c r="T95" s="1167"/>
      <c r="U95" s="1167"/>
      <c r="V95" s="1167"/>
      <c r="W95" s="1167"/>
      <c r="X95" s="1167"/>
      <c r="Y95" s="1168"/>
      <c r="Z95" s="1166"/>
      <c r="AA95" s="1167"/>
      <c r="AB95" s="1167"/>
      <c r="AC95" s="1167"/>
      <c r="AD95" s="1167"/>
      <c r="AE95" s="1167"/>
      <c r="AF95" s="1167"/>
      <c r="AG95" s="1167"/>
      <c r="AH95" s="1167"/>
      <c r="AI95" s="1167"/>
      <c r="AJ95" s="1168"/>
    </row>
    <row r="96" spans="1:36" ht="13.5" customHeight="1" x14ac:dyDescent="0.4">
      <c r="A96" s="1169"/>
      <c r="B96" s="1170"/>
      <c r="C96" s="1170"/>
      <c r="D96" s="1170"/>
      <c r="E96" s="1170"/>
      <c r="F96" s="1170"/>
      <c r="G96" s="1170"/>
      <c r="H96" s="1170"/>
      <c r="I96" s="1170"/>
      <c r="J96" s="1170"/>
      <c r="K96" s="1170"/>
      <c r="L96" s="1170"/>
      <c r="M96" s="1170"/>
      <c r="N96" s="1170"/>
      <c r="O96" s="1171"/>
      <c r="P96" s="1169"/>
      <c r="Q96" s="1170"/>
      <c r="R96" s="1170"/>
      <c r="S96" s="1170"/>
      <c r="T96" s="1170"/>
      <c r="U96" s="1170"/>
      <c r="V96" s="1170"/>
      <c r="W96" s="1170"/>
      <c r="X96" s="1170"/>
      <c r="Y96" s="1171"/>
      <c r="Z96" s="1169"/>
      <c r="AA96" s="1170"/>
      <c r="AB96" s="1170"/>
      <c r="AC96" s="1170"/>
      <c r="AD96" s="1170"/>
      <c r="AE96" s="1170"/>
      <c r="AF96" s="1170"/>
      <c r="AG96" s="1170"/>
      <c r="AH96" s="1170"/>
      <c r="AI96" s="1170"/>
      <c r="AJ96" s="1171"/>
    </row>
    <row r="97" spans="1:36" ht="7.5" customHeight="1" x14ac:dyDescent="0.4"/>
    <row r="98" spans="1:36" ht="13.5" customHeight="1" x14ac:dyDescent="0.4">
      <c r="A98" s="1140" t="s">
        <v>789</v>
      </c>
      <c r="B98" s="1140"/>
      <c r="C98" s="1140"/>
      <c r="D98" s="1140"/>
      <c r="E98" s="1140"/>
      <c r="F98" s="1140"/>
      <c r="G98" s="1140"/>
      <c r="H98" s="1140"/>
      <c r="I98" s="1140"/>
      <c r="J98" s="1140"/>
      <c r="K98" s="1140"/>
      <c r="L98" s="1140"/>
      <c r="M98" s="1140"/>
      <c r="N98" s="1140"/>
      <c r="O98" s="1140"/>
    </row>
    <row r="99" spans="1:36" ht="13.5" customHeight="1" x14ac:dyDescent="0.4">
      <c r="A99" s="1140"/>
      <c r="B99" s="1140"/>
      <c r="C99" s="1140"/>
      <c r="D99" s="1140"/>
      <c r="E99" s="1140"/>
      <c r="F99" s="1140"/>
      <c r="G99" s="1140"/>
      <c r="H99" s="1140"/>
      <c r="I99" s="1140"/>
      <c r="J99" s="1140"/>
      <c r="K99" s="1140"/>
      <c r="L99" s="1140"/>
      <c r="M99" s="1140"/>
      <c r="N99" s="1140"/>
      <c r="O99" s="1140"/>
      <c r="Y99" t="s">
        <v>445</v>
      </c>
      <c r="Z99" s="1230"/>
      <c r="AA99" s="1230"/>
      <c r="AB99" s="1230"/>
      <c r="AC99" s="1230"/>
      <c r="AD99" s="1230"/>
      <c r="AE99" s="1230"/>
      <c r="AF99" s="1230"/>
      <c r="AG99" s="1230"/>
      <c r="AH99" s="480" t="s">
        <v>721</v>
      </c>
      <c r="AI99" s="480"/>
      <c r="AJ99" s="480"/>
    </row>
    <row r="100" spans="1:36" ht="7.5" customHeight="1" x14ac:dyDescent="0.4"/>
    <row r="101" spans="1:36" ht="21" customHeight="1" x14ac:dyDescent="0.4">
      <c r="A101" s="1281" t="s">
        <v>720</v>
      </c>
      <c r="B101" s="1282"/>
      <c r="C101" s="1282"/>
      <c r="D101" s="1282"/>
      <c r="E101" s="1282"/>
      <c r="F101" s="1282"/>
      <c r="G101" s="1282"/>
      <c r="H101" s="1282"/>
      <c r="I101" s="1282"/>
      <c r="J101" s="1282"/>
      <c r="K101" s="1282"/>
      <c r="L101" s="1282"/>
      <c r="M101" s="1282"/>
      <c r="N101" s="1282"/>
      <c r="O101" s="1282"/>
      <c r="P101" s="1282"/>
      <c r="Q101" s="1282"/>
      <c r="R101" s="1282"/>
      <c r="S101" s="1282"/>
      <c r="T101" s="1282"/>
      <c r="U101" s="1282"/>
      <c r="V101" s="1282"/>
      <c r="W101" s="1282"/>
      <c r="X101" s="1282"/>
      <c r="Y101" s="1282"/>
      <c r="Z101" s="1282"/>
      <c r="AA101" s="1282"/>
      <c r="AB101" s="1282"/>
      <c r="AC101" s="1282"/>
      <c r="AD101" s="1282"/>
      <c r="AE101" s="1282"/>
      <c r="AF101" s="1282"/>
      <c r="AG101" s="1282"/>
      <c r="AH101" s="1282"/>
      <c r="AI101" s="1282"/>
      <c r="AJ101" s="1283"/>
    </row>
    <row r="102" spans="1:36" ht="15" customHeight="1" x14ac:dyDescent="0.4">
      <c r="A102" s="222"/>
      <c r="B102" s="1071" t="s">
        <v>695</v>
      </c>
      <c r="C102" s="1071"/>
      <c r="D102" s="1071"/>
      <c r="E102" s="1071"/>
      <c r="F102" s="1071"/>
      <c r="G102" s="1071"/>
      <c r="H102" s="1071"/>
      <c r="I102" s="1071"/>
      <c r="J102" s="1071"/>
      <c r="K102" s="1071"/>
      <c r="L102" s="1071"/>
      <c r="M102" s="1071"/>
      <c r="N102" s="1071"/>
      <c r="O102" s="1071"/>
      <c r="P102" s="182" t="s">
        <v>698</v>
      </c>
      <c r="Q102" s="189"/>
      <c r="R102" s="189" t="s">
        <v>696</v>
      </c>
      <c r="S102" s="222"/>
      <c r="T102" s="1071" t="s">
        <v>709</v>
      </c>
      <c r="U102" s="1071"/>
      <c r="V102" s="1071"/>
      <c r="W102" s="1071"/>
      <c r="X102" s="1071"/>
      <c r="Y102" s="1071"/>
      <c r="Z102" s="1071"/>
      <c r="AA102" s="1071"/>
      <c r="AB102" s="1071"/>
      <c r="AC102" s="1071"/>
      <c r="AD102" s="1071"/>
      <c r="AE102" s="1071"/>
      <c r="AF102" s="224"/>
      <c r="AG102" s="224"/>
      <c r="AH102" s="182"/>
      <c r="AI102" s="1072" t="s">
        <v>717</v>
      </c>
      <c r="AJ102" s="1075"/>
    </row>
    <row r="103" spans="1:36" ht="15" customHeight="1" x14ac:dyDescent="0.4">
      <c r="A103" s="225"/>
      <c r="B103" s="1065" t="s">
        <v>700</v>
      </c>
      <c r="C103" s="1065"/>
      <c r="D103" s="1065"/>
      <c r="E103" s="1065"/>
      <c r="F103" s="1065"/>
      <c r="G103" s="1065"/>
      <c r="H103" s="1065"/>
      <c r="I103" s="1065"/>
      <c r="J103" s="1065"/>
      <c r="K103" s="1065"/>
      <c r="L103" s="1065"/>
      <c r="M103" s="1065"/>
      <c r="N103" s="1065"/>
      <c r="O103" s="1065"/>
      <c r="P103" t="s">
        <v>698</v>
      </c>
      <c r="Q103" s="196"/>
      <c r="R103" s="196" t="s">
        <v>696</v>
      </c>
      <c r="S103" s="225"/>
      <c r="T103" s="1065" t="s">
        <v>710</v>
      </c>
      <c r="U103" s="1079"/>
      <c r="V103" s="1079"/>
      <c r="W103" s="1079"/>
      <c r="X103" s="1079"/>
      <c r="Y103" s="1079"/>
      <c r="Z103" s="1079"/>
      <c r="AA103" s="1079"/>
      <c r="AB103" s="1079"/>
      <c r="AC103" s="1079"/>
      <c r="AD103" s="1079"/>
      <c r="AE103" s="1079"/>
      <c r="AI103" s="1063" t="s">
        <v>717</v>
      </c>
      <c r="AJ103" s="1085"/>
    </row>
    <row r="104" spans="1:36" ht="15" customHeight="1" x14ac:dyDescent="0.4">
      <c r="A104" s="225"/>
      <c r="B104" s="1065" t="s">
        <v>701</v>
      </c>
      <c r="C104" s="1065"/>
      <c r="D104" s="1065"/>
      <c r="E104" s="1065"/>
      <c r="F104" s="1065"/>
      <c r="G104" s="1065"/>
      <c r="H104" s="1065"/>
      <c r="I104" s="1065"/>
      <c r="J104" s="1065"/>
      <c r="K104" s="1065"/>
      <c r="L104" s="1065"/>
      <c r="M104" s="1065"/>
      <c r="N104" s="1065"/>
      <c r="O104" s="1065"/>
      <c r="P104" t="s">
        <v>697</v>
      </c>
      <c r="Q104" s="196"/>
      <c r="R104" s="196" t="s">
        <v>696</v>
      </c>
      <c r="S104" s="225"/>
      <c r="T104" s="1065" t="s">
        <v>711</v>
      </c>
      <c r="U104" s="1079"/>
      <c r="V104" s="1079"/>
      <c r="W104" s="1079"/>
      <c r="X104" s="1079"/>
      <c r="Y104" s="1079"/>
      <c r="Z104" s="1079"/>
      <c r="AA104" s="1079"/>
      <c r="AB104" s="1079"/>
      <c r="AC104" s="1079"/>
      <c r="AD104" s="1079"/>
      <c r="AE104" s="1079"/>
      <c r="AF104" s="1079" t="s">
        <v>718</v>
      </c>
      <c r="AG104" s="1079"/>
      <c r="AI104" s="1079" t="s">
        <v>719</v>
      </c>
      <c r="AJ104" s="1183"/>
    </row>
    <row r="105" spans="1:36" ht="15" customHeight="1" x14ac:dyDescent="0.4">
      <c r="A105" s="225"/>
      <c r="B105" s="1065" t="s">
        <v>702</v>
      </c>
      <c r="C105" s="1065"/>
      <c r="D105" s="1065"/>
      <c r="E105" s="1065"/>
      <c r="F105" s="1065"/>
      <c r="G105" s="1065"/>
      <c r="H105" s="1065"/>
      <c r="I105" s="1065"/>
      <c r="J105" s="1065"/>
      <c r="K105" s="1065"/>
      <c r="L105" s="1065"/>
      <c r="M105" s="1065"/>
      <c r="N105" s="1065"/>
      <c r="O105" s="1065"/>
      <c r="P105" t="s">
        <v>697</v>
      </c>
      <c r="Q105" s="196"/>
      <c r="R105" s="196" t="s">
        <v>696</v>
      </c>
      <c r="S105" s="225"/>
      <c r="T105" s="1065" t="s">
        <v>712</v>
      </c>
      <c r="U105" s="1065"/>
      <c r="V105" s="1065"/>
      <c r="W105" s="1065"/>
      <c r="X105" s="1065"/>
      <c r="Y105" s="1065"/>
      <c r="Z105" s="1065"/>
      <c r="AA105" s="1065"/>
      <c r="AB105" s="1065"/>
      <c r="AC105" s="1065"/>
      <c r="AD105" s="1065"/>
      <c r="AE105" s="1065"/>
      <c r="AG105" s="480" t="s">
        <v>698</v>
      </c>
      <c r="AH105" s="480"/>
      <c r="AI105" s="196"/>
      <c r="AJ105" s="190" t="s">
        <v>696</v>
      </c>
    </row>
    <row r="106" spans="1:36" ht="15" customHeight="1" x14ac:dyDescent="0.4">
      <c r="A106" s="225"/>
      <c r="B106" s="1065" t="s">
        <v>703</v>
      </c>
      <c r="C106" s="1065"/>
      <c r="D106" s="1065"/>
      <c r="E106" s="1065"/>
      <c r="F106" s="1065"/>
      <c r="G106" s="1065"/>
      <c r="H106" s="1065"/>
      <c r="I106" s="1065"/>
      <c r="J106" s="1065"/>
      <c r="K106" s="1065"/>
      <c r="L106" s="1065"/>
      <c r="M106" s="1065"/>
      <c r="N106" s="1065"/>
      <c r="O106" s="1065"/>
      <c r="P106" t="s">
        <v>697</v>
      </c>
      <c r="Q106" s="196"/>
      <c r="R106" s="196" t="s">
        <v>696</v>
      </c>
      <c r="S106" s="225"/>
      <c r="T106" s="1079" t="s">
        <v>713</v>
      </c>
      <c r="U106" s="1079"/>
      <c r="V106" s="1079"/>
      <c r="W106" s="1079"/>
      <c r="X106" s="1079"/>
      <c r="Y106" s="1079"/>
      <c r="Z106" s="1079"/>
      <c r="AA106" s="1079"/>
      <c r="AB106" s="1079"/>
      <c r="AC106" s="1079"/>
      <c r="AD106" s="1079"/>
      <c r="AE106" s="1079"/>
      <c r="AF106" s="216"/>
      <c r="AG106" s="480" t="s">
        <v>698</v>
      </c>
      <c r="AH106" s="480"/>
      <c r="AI106" s="196"/>
      <c r="AJ106" s="190" t="s">
        <v>696</v>
      </c>
    </row>
    <row r="107" spans="1:36" ht="15" customHeight="1" x14ac:dyDescent="0.4">
      <c r="A107" s="225"/>
      <c r="B107" s="1065" t="s">
        <v>699</v>
      </c>
      <c r="C107" s="1065"/>
      <c r="D107" s="1065"/>
      <c r="E107" s="1065"/>
      <c r="F107" s="1065"/>
      <c r="G107" s="1065"/>
      <c r="H107" s="1065"/>
      <c r="I107" s="1065"/>
      <c r="J107" s="1065"/>
      <c r="K107" s="1065"/>
      <c r="L107" s="1065"/>
      <c r="M107" s="1065"/>
      <c r="N107" s="1065"/>
      <c r="O107" s="1065"/>
      <c r="P107" t="s">
        <v>697</v>
      </c>
      <c r="Q107" s="196"/>
      <c r="R107" s="196" t="s">
        <v>696</v>
      </c>
      <c r="S107" s="225"/>
      <c r="T107" s="1079" t="s">
        <v>714</v>
      </c>
      <c r="U107" s="1079"/>
      <c r="V107" s="1079"/>
      <c r="W107" s="1079"/>
      <c r="X107" s="1079"/>
      <c r="Y107" s="1079"/>
      <c r="Z107" s="1079"/>
      <c r="AA107" s="1079"/>
      <c r="AB107" s="1079"/>
      <c r="AC107" s="1079"/>
      <c r="AD107" s="1079"/>
      <c r="AE107" s="1079"/>
      <c r="AF107" s="216"/>
      <c r="AG107" s="480" t="s">
        <v>697</v>
      </c>
      <c r="AH107" s="480"/>
      <c r="AI107" s="196"/>
      <c r="AJ107" s="190" t="s">
        <v>696</v>
      </c>
    </row>
    <row r="108" spans="1:36" ht="15" customHeight="1" x14ac:dyDescent="0.4">
      <c r="A108" s="225"/>
      <c r="B108" s="1065" t="s">
        <v>705</v>
      </c>
      <c r="C108" s="1065"/>
      <c r="D108" s="1065"/>
      <c r="E108" s="1065"/>
      <c r="F108" s="1065"/>
      <c r="G108" s="1065"/>
      <c r="H108" s="1065"/>
      <c r="I108" s="1065"/>
      <c r="J108" s="1065"/>
      <c r="K108" s="1065"/>
      <c r="L108" s="1065"/>
      <c r="M108" s="1065"/>
      <c r="N108" s="1065"/>
      <c r="O108" s="1065"/>
      <c r="P108" t="s">
        <v>697</v>
      </c>
      <c r="Q108" s="196"/>
      <c r="R108" s="196" t="s">
        <v>696</v>
      </c>
      <c r="S108" s="225"/>
      <c r="T108" s="1079" t="s">
        <v>715</v>
      </c>
      <c r="U108" s="1079"/>
      <c r="V108" s="1079"/>
      <c r="W108" s="1079"/>
      <c r="X108" s="1079"/>
      <c r="Y108" s="1079"/>
      <c r="Z108" s="1079"/>
      <c r="AA108" s="1079"/>
      <c r="AB108" s="1079"/>
      <c r="AC108" s="1079"/>
      <c r="AD108" s="1079"/>
      <c r="AE108" s="1079"/>
      <c r="AF108" s="216"/>
      <c r="AG108" s="480" t="s">
        <v>697</v>
      </c>
      <c r="AH108" s="480"/>
      <c r="AI108" s="196"/>
      <c r="AJ108" s="190" t="s">
        <v>696</v>
      </c>
    </row>
    <row r="109" spans="1:36" ht="15" customHeight="1" x14ac:dyDescent="0.4">
      <c r="A109" s="225"/>
      <c r="B109" s="1065" t="s">
        <v>704</v>
      </c>
      <c r="C109" s="1065"/>
      <c r="D109" s="1065"/>
      <c r="E109" s="1065"/>
      <c r="F109" s="1065"/>
      <c r="G109" s="1065"/>
      <c r="H109" s="1065"/>
      <c r="I109" s="1065"/>
      <c r="J109" s="1065"/>
      <c r="K109" s="1065"/>
      <c r="L109" s="1065"/>
      <c r="M109" s="1065"/>
      <c r="N109" s="1065"/>
      <c r="O109" s="1065"/>
      <c r="P109" t="s">
        <v>697</v>
      </c>
      <c r="Q109" s="196"/>
      <c r="R109" s="196" t="s">
        <v>696</v>
      </c>
      <c r="S109" s="225"/>
      <c r="T109" s="1079" t="s">
        <v>716</v>
      </c>
      <c r="U109" s="1079"/>
      <c r="V109" s="1079"/>
      <c r="W109" s="1079"/>
      <c r="X109" s="1079"/>
      <c r="Y109" s="1079"/>
      <c r="Z109" s="1079"/>
      <c r="AA109" s="1079"/>
      <c r="AB109" s="1079"/>
      <c r="AC109" s="1079"/>
      <c r="AD109" s="1079"/>
      <c r="AE109" s="1079"/>
      <c r="AF109" s="216"/>
      <c r="AG109" s="216"/>
      <c r="AJ109" s="184"/>
    </row>
    <row r="110" spans="1:36" ht="15" customHeight="1" x14ac:dyDescent="0.4">
      <c r="A110" s="225"/>
      <c r="B110" s="1065" t="s">
        <v>706</v>
      </c>
      <c r="C110" s="1065"/>
      <c r="D110" s="1065"/>
      <c r="E110" s="1065"/>
      <c r="F110" s="1065"/>
      <c r="G110" s="1065"/>
      <c r="H110" s="1065"/>
      <c r="I110" s="1065"/>
      <c r="J110" s="1065"/>
      <c r="K110" s="1065"/>
      <c r="L110" s="1065"/>
      <c r="M110" s="1065"/>
      <c r="N110" s="1065"/>
      <c r="O110" s="1065"/>
      <c r="P110" t="s">
        <v>697</v>
      </c>
      <c r="Q110" s="196"/>
      <c r="R110" s="196" t="s">
        <v>696</v>
      </c>
      <c r="S110" s="225"/>
      <c r="AJ110" s="184"/>
    </row>
    <row r="111" spans="1:36" ht="15" customHeight="1" x14ac:dyDescent="0.4">
      <c r="A111" s="225"/>
      <c r="B111" s="1065" t="s">
        <v>707</v>
      </c>
      <c r="C111" s="1065"/>
      <c r="D111" s="1065"/>
      <c r="E111" s="1065"/>
      <c r="F111" s="1065"/>
      <c r="G111" s="1065"/>
      <c r="H111" s="1065"/>
      <c r="I111" s="1065"/>
      <c r="J111" s="1065"/>
      <c r="K111" s="1065"/>
      <c r="L111" s="1065"/>
      <c r="M111" s="1065"/>
      <c r="N111" s="1065"/>
      <c r="O111" s="1065"/>
      <c r="P111" t="s">
        <v>697</v>
      </c>
      <c r="Q111" s="196"/>
      <c r="R111" s="196" t="s">
        <v>696</v>
      </c>
      <c r="S111" s="225"/>
      <c r="AJ111" s="184"/>
    </row>
    <row r="112" spans="1:36" ht="15" customHeight="1" x14ac:dyDescent="0.4">
      <c r="A112" s="227"/>
      <c r="B112" s="1068" t="s">
        <v>708</v>
      </c>
      <c r="C112" s="1068"/>
      <c r="D112" s="1068"/>
      <c r="E112" s="1068"/>
      <c r="F112" s="1068"/>
      <c r="G112" s="1068"/>
      <c r="H112" s="1068"/>
      <c r="I112" s="1068"/>
      <c r="J112" s="1068"/>
      <c r="K112" s="1068"/>
      <c r="L112" s="1068"/>
      <c r="M112" s="1068"/>
      <c r="N112" s="1068"/>
      <c r="O112" s="1068"/>
      <c r="P112" s="192" t="s">
        <v>697</v>
      </c>
      <c r="Q112" s="188"/>
      <c r="R112" s="188" t="s">
        <v>696</v>
      </c>
      <c r="S112" s="227"/>
      <c r="T112" s="192"/>
      <c r="U112" s="192"/>
      <c r="V112" s="192"/>
      <c r="W112" s="192"/>
      <c r="X112" s="192"/>
      <c r="Y112" s="192"/>
      <c r="Z112" s="192"/>
      <c r="AA112" s="192"/>
      <c r="AB112" s="192"/>
      <c r="AC112" s="192"/>
      <c r="AD112" s="192"/>
      <c r="AE112" s="192"/>
      <c r="AF112" s="192"/>
      <c r="AG112" s="192"/>
      <c r="AH112" s="192"/>
      <c r="AI112" s="192"/>
      <c r="AJ112" s="228"/>
    </row>
    <row r="113" spans="1:36" ht="13.5" customHeight="1" x14ac:dyDescent="0.4">
      <c r="A113" s="179"/>
      <c r="B113" s="179"/>
      <c r="C113" s="179"/>
      <c r="D113" s="179"/>
      <c r="E113" s="179"/>
      <c r="F113" s="177"/>
      <c r="G113" s="177"/>
      <c r="H113" s="177"/>
      <c r="I113" s="177"/>
      <c r="J113" s="177"/>
      <c r="K113" s="177"/>
      <c r="L113" s="177"/>
      <c r="X113" s="1104" t="s">
        <v>62</v>
      </c>
      <c r="Y113" s="1104"/>
      <c r="Z113" s="1104"/>
      <c r="AA113" s="1104"/>
      <c r="AB113" s="1104"/>
      <c r="AC113" s="1104"/>
      <c r="AD113" s="1104"/>
      <c r="AE113" s="1104"/>
      <c r="AF113" s="1104"/>
      <c r="AG113" s="1104"/>
      <c r="AH113" s="1104"/>
      <c r="AI113" s="1104"/>
      <c r="AJ113" s="1104"/>
    </row>
    <row r="114" spans="1:36" ht="15" customHeight="1" x14ac:dyDescent="0.4">
      <c r="A114" s="222"/>
      <c r="B114" s="1071" t="s">
        <v>735</v>
      </c>
      <c r="C114" s="1071"/>
      <c r="D114" s="1071"/>
      <c r="E114" s="1071"/>
      <c r="F114" s="1071"/>
      <c r="G114" s="1071"/>
      <c r="H114" s="1071"/>
      <c r="I114" s="1071"/>
      <c r="J114" s="1071"/>
      <c r="K114" s="1071"/>
      <c r="L114" s="1071"/>
      <c r="M114" s="1071"/>
      <c r="N114" s="1071"/>
      <c r="O114" s="1071"/>
      <c r="P114" s="182" t="s">
        <v>698</v>
      </c>
      <c r="Q114" s="189"/>
      <c r="R114" s="189" t="s">
        <v>696</v>
      </c>
      <c r="S114" s="222"/>
      <c r="T114" s="1071" t="s">
        <v>742</v>
      </c>
      <c r="U114" s="1071"/>
      <c r="V114" s="1071"/>
      <c r="W114" s="1071"/>
      <c r="X114" s="1071"/>
      <c r="Y114" s="1071"/>
      <c r="Z114" s="1071"/>
      <c r="AA114" s="1071"/>
      <c r="AB114" s="1071"/>
      <c r="AC114" s="1071"/>
      <c r="AD114" s="1071"/>
      <c r="AE114" s="1071"/>
      <c r="AF114" s="1071"/>
      <c r="AG114" s="506" t="s">
        <v>698</v>
      </c>
      <c r="AH114" s="506"/>
      <c r="AI114" s="402"/>
      <c r="AJ114" s="197" t="s">
        <v>696</v>
      </c>
    </row>
    <row r="115" spans="1:36" ht="15" customHeight="1" x14ac:dyDescent="0.4">
      <c r="A115" s="225"/>
      <c r="B115" s="1065" t="s">
        <v>736</v>
      </c>
      <c r="C115" s="1065"/>
      <c r="D115" s="1065"/>
      <c r="E115" s="1065"/>
      <c r="F115" s="1065"/>
      <c r="G115" s="1065"/>
      <c r="H115" s="1065"/>
      <c r="I115" s="1065"/>
      <c r="J115" s="1065"/>
      <c r="K115" s="1065"/>
      <c r="L115" s="1065"/>
      <c r="M115" s="1065"/>
      <c r="N115" s="1065"/>
      <c r="O115" s="1065"/>
      <c r="P115" t="s">
        <v>698</v>
      </c>
      <c r="Q115" s="196"/>
      <c r="R115" s="196" t="s">
        <v>696</v>
      </c>
      <c r="S115" s="225"/>
      <c r="T115" s="1079" t="s">
        <v>743</v>
      </c>
      <c r="U115" s="1079"/>
      <c r="V115" s="1079"/>
      <c r="W115" s="1079"/>
      <c r="X115" s="1079"/>
      <c r="Y115" s="1079"/>
      <c r="Z115" s="1079"/>
      <c r="AA115" s="1079"/>
      <c r="AB115" s="1079"/>
      <c r="AC115" s="1079"/>
      <c r="AD115" s="1079"/>
      <c r="AE115" s="1079"/>
      <c r="AF115" s="1079"/>
      <c r="AG115" s="480" t="s">
        <v>698</v>
      </c>
      <c r="AH115" s="480"/>
      <c r="AI115" s="177"/>
      <c r="AJ115" s="190" t="s">
        <v>696</v>
      </c>
    </row>
    <row r="116" spans="1:36" ht="15" customHeight="1" x14ac:dyDescent="0.4">
      <c r="A116" s="225"/>
      <c r="B116" s="1065" t="s">
        <v>737</v>
      </c>
      <c r="C116" s="1065"/>
      <c r="D116" s="1065"/>
      <c r="E116" s="1065"/>
      <c r="F116" s="1065"/>
      <c r="G116" s="1065"/>
      <c r="H116" s="1065"/>
      <c r="I116" s="1065"/>
      <c r="J116" s="1065"/>
      <c r="K116" s="1065"/>
      <c r="L116" s="1065"/>
      <c r="M116" s="1065"/>
      <c r="N116" s="1065"/>
      <c r="O116" s="1065"/>
      <c r="P116" t="s">
        <v>697</v>
      </c>
      <c r="Q116" s="196"/>
      <c r="R116" s="196" t="s">
        <v>696</v>
      </c>
      <c r="S116" s="225"/>
      <c r="T116" s="1079" t="s">
        <v>744</v>
      </c>
      <c r="U116" s="1079"/>
      <c r="V116" s="1079"/>
      <c r="W116" s="1079"/>
      <c r="X116" s="1079"/>
      <c r="Y116" t="s">
        <v>445</v>
      </c>
      <c r="Z116" s="487"/>
      <c r="AA116" s="487"/>
      <c r="AB116" s="487"/>
      <c r="AC116" s="487"/>
      <c r="AD116" s="487"/>
      <c r="AE116" s="487"/>
      <c r="AF116" s="487"/>
      <c r="AG116" s="487"/>
      <c r="AH116" s="487"/>
      <c r="AI116" s="487"/>
      <c r="AJ116" s="184" t="s">
        <v>426</v>
      </c>
    </row>
    <row r="117" spans="1:36" ht="15" customHeight="1" x14ac:dyDescent="0.4">
      <c r="A117" s="225"/>
      <c r="B117" s="1065" t="s">
        <v>738</v>
      </c>
      <c r="C117" s="1065"/>
      <c r="D117" s="1065"/>
      <c r="E117" s="1065"/>
      <c r="F117" s="1065"/>
      <c r="G117" s="1065"/>
      <c r="H117" s="1065"/>
      <c r="I117" s="1065"/>
      <c r="J117" s="1065"/>
      <c r="K117" s="1065"/>
      <c r="L117" s="1065"/>
      <c r="M117" s="1065"/>
      <c r="N117" s="1065"/>
      <c r="O117" s="1065"/>
      <c r="P117" t="s">
        <v>697</v>
      </c>
      <c r="Q117" s="196"/>
      <c r="R117" s="196" t="s">
        <v>696</v>
      </c>
      <c r="S117" s="225"/>
      <c r="AJ117" s="184"/>
    </row>
    <row r="118" spans="1:36" ht="15" customHeight="1" x14ac:dyDescent="0.4">
      <c r="A118" s="225"/>
      <c r="B118" s="1065" t="s">
        <v>739</v>
      </c>
      <c r="C118" s="1065"/>
      <c r="D118" s="1065"/>
      <c r="E118" s="1065"/>
      <c r="F118" s="1065"/>
      <c r="G118" s="1065"/>
      <c r="H118" s="1065"/>
      <c r="I118" s="1065"/>
      <c r="J118" s="1065"/>
      <c r="K118" s="1065"/>
      <c r="L118" s="1065"/>
      <c r="M118" s="1065"/>
      <c r="N118" s="1065"/>
      <c r="O118" s="1065"/>
      <c r="P118" t="s">
        <v>697</v>
      </c>
      <c r="Q118" s="196"/>
      <c r="R118" s="196" t="s">
        <v>696</v>
      </c>
      <c r="S118" s="225"/>
      <c r="T118" t="s">
        <v>445</v>
      </c>
      <c r="U118" s="487"/>
      <c r="V118" s="487"/>
      <c r="W118" s="487"/>
      <c r="X118" s="487"/>
      <c r="Y118" s="487"/>
      <c r="Z118" s="487"/>
      <c r="AA118" s="487"/>
      <c r="AB118" s="487"/>
      <c r="AC118" s="487"/>
      <c r="AD118" s="487"/>
      <c r="AE118" s="487"/>
      <c r="AF118" s="487"/>
      <c r="AG118" s="487"/>
      <c r="AH118" s="487"/>
      <c r="AI118" s="487"/>
      <c r="AJ118" s="184" t="s">
        <v>426</v>
      </c>
    </row>
    <row r="119" spans="1:36" ht="15" customHeight="1" x14ac:dyDescent="0.4">
      <c r="A119" s="225"/>
      <c r="B119" s="1065" t="s">
        <v>740</v>
      </c>
      <c r="C119" s="1065"/>
      <c r="D119" s="1065"/>
      <c r="E119" s="1065"/>
      <c r="F119" s="1065"/>
      <c r="G119" s="1065"/>
      <c r="H119" s="1065"/>
      <c r="I119" s="1065"/>
      <c r="J119" s="1065"/>
      <c r="K119" s="1065"/>
      <c r="L119" s="1065"/>
      <c r="M119" s="1065"/>
      <c r="N119" s="1065"/>
      <c r="O119" s="1065"/>
      <c r="P119" t="s">
        <v>697</v>
      </c>
      <c r="Q119" s="196"/>
      <c r="R119" s="196" t="s">
        <v>696</v>
      </c>
      <c r="S119" s="225"/>
      <c r="T119" t="s">
        <v>445</v>
      </c>
      <c r="U119" s="487"/>
      <c r="V119" s="487"/>
      <c r="W119" s="487"/>
      <c r="X119" s="487"/>
      <c r="Y119" s="487"/>
      <c r="Z119" s="487"/>
      <c r="AA119" s="487"/>
      <c r="AB119" s="487"/>
      <c r="AC119" s="487"/>
      <c r="AD119" s="487"/>
      <c r="AE119" s="487"/>
      <c r="AF119" s="487"/>
      <c r="AG119" s="487"/>
      <c r="AH119" s="487"/>
      <c r="AI119" s="487"/>
      <c r="AJ119" s="184" t="s">
        <v>426</v>
      </c>
    </row>
    <row r="120" spans="1:36" ht="15" customHeight="1" x14ac:dyDescent="0.4">
      <c r="A120" s="225"/>
      <c r="B120" s="1065" t="s">
        <v>741</v>
      </c>
      <c r="C120" s="1065"/>
      <c r="D120" s="1065"/>
      <c r="E120" s="1065"/>
      <c r="F120" s="1065"/>
      <c r="G120" s="1065"/>
      <c r="H120" s="1065"/>
      <c r="I120" s="1065"/>
      <c r="J120" s="1065"/>
      <c r="K120" s="1065"/>
      <c r="L120" s="1065"/>
      <c r="M120" s="1065"/>
      <c r="N120" s="1065"/>
      <c r="O120" s="1065"/>
      <c r="P120" t="s">
        <v>697</v>
      </c>
      <c r="Q120" s="196"/>
      <c r="R120" s="196" t="s">
        <v>696</v>
      </c>
      <c r="S120" s="225"/>
      <c r="AJ120" s="184"/>
    </row>
    <row r="121" spans="1:36" ht="15" customHeight="1" x14ac:dyDescent="0.4">
      <c r="A121" s="227"/>
      <c r="B121" s="1068" t="s">
        <v>745</v>
      </c>
      <c r="C121" s="1068"/>
      <c r="D121" s="1068"/>
      <c r="E121" s="1068"/>
      <c r="F121" s="1068"/>
      <c r="G121" s="1068"/>
      <c r="H121" s="1068"/>
      <c r="I121" s="1068"/>
      <c r="J121" s="230" t="s">
        <v>445</v>
      </c>
      <c r="K121" s="1068"/>
      <c r="L121" s="1068"/>
      <c r="M121" s="1068"/>
      <c r="N121" s="1068"/>
      <c r="O121" s="231" t="s">
        <v>426</v>
      </c>
      <c r="P121" s="192" t="s">
        <v>697</v>
      </c>
      <c r="Q121" s="188"/>
      <c r="R121" s="188" t="s">
        <v>696</v>
      </c>
      <c r="S121" s="227"/>
      <c r="T121" s="192"/>
      <c r="U121" s="192"/>
      <c r="V121" s="192"/>
      <c r="W121" s="192"/>
      <c r="X121" s="192"/>
      <c r="Y121" s="192"/>
      <c r="Z121" s="192"/>
      <c r="AA121" s="192"/>
      <c r="AB121" s="192"/>
      <c r="AC121" s="192"/>
      <c r="AD121" s="192"/>
      <c r="AE121" s="192"/>
      <c r="AF121" s="192"/>
      <c r="AG121" s="192"/>
      <c r="AH121" s="192"/>
      <c r="AI121" s="192"/>
      <c r="AJ121" s="228"/>
    </row>
    <row r="122" spans="1:36" ht="15" customHeight="1" x14ac:dyDescent="0.4">
      <c r="A122" s="1184" t="s">
        <v>759</v>
      </c>
      <c r="B122" s="1185"/>
      <c r="C122" s="222"/>
      <c r="D122" s="1071" t="s">
        <v>746</v>
      </c>
      <c r="E122" s="1071"/>
      <c r="F122" s="1071"/>
      <c r="G122" s="1071"/>
      <c r="H122" s="1071"/>
      <c r="I122" s="1071"/>
      <c r="J122" s="1071"/>
      <c r="K122" s="1071"/>
      <c r="L122" s="1071"/>
      <c r="M122" s="1071"/>
      <c r="N122" s="1071"/>
      <c r="O122" s="1071"/>
      <c r="P122" s="1071"/>
      <c r="Q122" s="1071"/>
      <c r="R122" s="1149"/>
      <c r="S122" s="222"/>
      <c r="T122" s="223" t="s">
        <v>751</v>
      </c>
      <c r="U122" s="223"/>
      <c r="V122" s="223"/>
      <c r="W122" s="223"/>
      <c r="X122" s="223"/>
      <c r="Y122" s="223"/>
      <c r="Z122" s="223"/>
      <c r="AA122" s="1059" t="s">
        <v>756</v>
      </c>
      <c r="AB122" s="1059"/>
      <c r="AC122" s="1059"/>
      <c r="AD122" s="1059"/>
      <c r="AE122" s="233"/>
      <c r="AF122" s="182"/>
      <c r="AG122" s="182"/>
      <c r="AH122" s="182"/>
      <c r="AI122" s="182"/>
      <c r="AJ122" s="183"/>
    </row>
    <row r="123" spans="1:36" ht="15" customHeight="1" x14ac:dyDescent="0.4">
      <c r="A123" s="1186"/>
      <c r="B123" s="1187"/>
      <c r="C123" s="225"/>
      <c r="D123" s="1079" t="s">
        <v>747</v>
      </c>
      <c r="E123" s="1079"/>
      <c r="F123" s="1079"/>
      <c r="G123" s="1079"/>
      <c r="H123" s="1079"/>
      <c r="I123" s="1079"/>
      <c r="J123" s="1079"/>
      <c r="K123" s="1079"/>
      <c r="L123" s="1079"/>
      <c r="M123" s="1079"/>
      <c r="N123" s="1079"/>
      <c r="O123" s="1079"/>
      <c r="P123" s="1079"/>
      <c r="Q123" s="1079"/>
      <c r="R123" s="1183"/>
      <c r="S123" s="225"/>
      <c r="T123" s="1079" t="s">
        <v>752</v>
      </c>
      <c r="U123" s="1079"/>
      <c r="V123" s="1079"/>
      <c r="W123" s="1079"/>
      <c r="X123" s="1079"/>
      <c r="Y123" s="1079"/>
      <c r="Z123" s="204"/>
      <c r="AA123" s="487"/>
      <c r="AB123" s="487"/>
      <c r="AC123" s="487"/>
      <c r="AD123" s="487"/>
      <c r="AE123" s="487"/>
      <c r="AF123" s="487"/>
      <c r="AG123" s="487"/>
      <c r="AH123" s="487"/>
      <c r="AI123" s="487"/>
      <c r="AJ123" s="597"/>
    </row>
    <row r="124" spans="1:36" ht="15" customHeight="1" x14ac:dyDescent="0.4">
      <c r="A124" s="1186"/>
      <c r="B124" s="1187"/>
      <c r="C124" s="225"/>
      <c r="D124" s="1079" t="s">
        <v>748</v>
      </c>
      <c r="E124" s="1079"/>
      <c r="F124" s="1079"/>
      <c r="G124" s="1079"/>
      <c r="H124" s="1079"/>
      <c r="I124" s="1079"/>
      <c r="J124" s="1079"/>
      <c r="K124" s="1079"/>
      <c r="L124" s="1079"/>
      <c r="M124" s="1079"/>
      <c r="N124" s="1079"/>
      <c r="O124" s="1079"/>
      <c r="P124" s="1079"/>
      <c r="Q124" s="1079"/>
      <c r="R124" s="1183"/>
      <c r="S124" s="225"/>
      <c r="T124" s="1079" t="s">
        <v>753</v>
      </c>
      <c r="U124" s="1079"/>
      <c r="V124" s="1079"/>
      <c r="W124" s="1079"/>
      <c r="X124" s="1079"/>
      <c r="Y124" s="1079"/>
      <c r="Z124" s="204"/>
      <c r="AA124" s="1192" t="s">
        <v>757</v>
      </c>
      <c r="AB124" s="1192"/>
      <c r="AC124" s="1192"/>
      <c r="AD124" s="1192"/>
      <c r="AJ124" s="184"/>
    </row>
    <row r="125" spans="1:36" ht="15" customHeight="1" x14ac:dyDescent="0.4">
      <c r="A125" s="1186"/>
      <c r="B125" s="1187"/>
      <c r="C125" s="225"/>
      <c r="D125" s="1079" t="s">
        <v>749</v>
      </c>
      <c r="E125" s="1079"/>
      <c r="F125" s="1079"/>
      <c r="G125" s="1079"/>
      <c r="H125" s="1079"/>
      <c r="I125" s="1079"/>
      <c r="J125" s="1079"/>
      <c r="K125" s="1079"/>
      <c r="L125" s="1079"/>
      <c r="M125" s="1079"/>
      <c r="N125" s="1079"/>
      <c r="O125" s="1079"/>
      <c r="P125" s="1079"/>
      <c r="Q125" s="1079"/>
      <c r="R125" s="1183"/>
      <c r="S125" s="225"/>
      <c r="T125" s="1079" t="s">
        <v>754</v>
      </c>
      <c r="U125" s="1079"/>
      <c r="V125" s="1079"/>
      <c r="W125" s="1079"/>
      <c r="X125" s="1079"/>
      <c r="Y125" s="1079"/>
      <c r="Z125" s="204"/>
      <c r="AA125" s="498"/>
      <c r="AB125" s="498"/>
      <c r="AC125" s="498"/>
      <c r="AD125" s="498"/>
      <c r="AE125" s="498"/>
      <c r="AF125" s="498"/>
      <c r="AG125" s="498"/>
      <c r="AH125" s="498"/>
      <c r="AI125" s="498"/>
      <c r="AJ125" s="531"/>
    </row>
    <row r="126" spans="1:36" ht="15" customHeight="1" x14ac:dyDescent="0.4">
      <c r="A126" s="1188"/>
      <c r="B126" s="1189"/>
      <c r="C126" s="227"/>
      <c r="D126" s="1147" t="s">
        <v>750</v>
      </c>
      <c r="E126" s="1147"/>
      <c r="F126" s="1147"/>
      <c r="G126" s="1147"/>
      <c r="H126" s="1147"/>
      <c r="I126" s="1147"/>
      <c r="J126" s="1147"/>
      <c r="K126" s="1147"/>
      <c r="L126" s="1147"/>
      <c r="M126" s="1147"/>
      <c r="N126" s="1147"/>
      <c r="O126" s="1147"/>
      <c r="P126" s="1147"/>
      <c r="Q126" s="1147"/>
      <c r="R126" s="1148"/>
      <c r="S126" s="227"/>
      <c r="T126" s="1147" t="s">
        <v>755</v>
      </c>
      <c r="U126" s="1147"/>
      <c r="V126" s="1147"/>
      <c r="W126" s="1147"/>
      <c r="X126" s="1147"/>
      <c r="Y126" s="1147"/>
      <c r="Z126" s="234"/>
      <c r="AA126" s="1193" t="s">
        <v>758</v>
      </c>
      <c r="AB126" s="1193"/>
      <c r="AC126" s="1193"/>
      <c r="AD126" s="192"/>
      <c r="AE126" s="510"/>
      <c r="AF126" s="510"/>
      <c r="AG126" s="510"/>
      <c r="AH126" s="510"/>
      <c r="AI126" s="510"/>
      <c r="AJ126" s="1194"/>
    </row>
    <row r="127" spans="1:36" ht="7.5" customHeight="1" x14ac:dyDescent="0.4">
      <c r="T127" s="204"/>
      <c r="U127" s="204"/>
      <c r="V127" s="204"/>
      <c r="W127" s="204"/>
      <c r="X127" s="204"/>
      <c r="Y127" s="204"/>
      <c r="Z127" s="204"/>
    </row>
    <row r="128" spans="1:36" ht="15" customHeight="1" x14ac:dyDescent="0.4">
      <c r="A128" s="1177" t="s">
        <v>787</v>
      </c>
      <c r="B128" s="1178"/>
      <c r="C128" s="1182" t="s">
        <v>760</v>
      </c>
      <c r="D128" s="182"/>
      <c r="E128" s="1071" t="s">
        <v>761</v>
      </c>
      <c r="F128" s="1071"/>
      <c r="G128" s="1071"/>
      <c r="H128" s="1071"/>
      <c r="I128" s="224" t="s">
        <v>445</v>
      </c>
      <c r="J128" s="508"/>
      <c r="K128" s="508"/>
      <c r="L128" s="508"/>
      <c r="M128" s="508"/>
      <c r="N128" s="508"/>
      <c r="O128" s="508"/>
      <c r="P128" s="508"/>
      <c r="Q128" s="508"/>
      <c r="R128" s="235" t="s">
        <v>426</v>
      </c>
      <c r="S128" s="1182" t="s">
        <v>786</v>
      </c>
      <c r="T128" s="182"/>
      <c r="U128" s="1071" t="s">
        <v>775</v>
      </c>
      <c r="V128" s="1071"/>
      <c r="W128" s="1071"/>
      <c r="X128" s="1071"/>
      <c r="Y128" s="1071"/>
      <c r="Z128" s="182"/>
      <c r="AA128" s="182"/>
      <c r="AB128" s="1071" t="s">
        <v>779</v>
      </c>
      <c r="AC128" s="1071"/>
      <c r="AD128" s="1071"/>
      <c r="AE128" s="1071"/>
      <c r="AF128" s="1071"/>
      <c r="AG128" s="1071"/>
      <c r="AH128" s="1071"/>
      <c r="AI128" s="1071"/>
      <c r="AJ128" s="1149"/>
    </row>
    <row r="129" spans="1:36" ht="15" customHeight="1" x14ac:dyDescent="0.4">
      <c r="A129" s="1190"/>
      <c r="B129" s="1191"/>
      <c r="C129" s="1181"/>
      <c r="E129" s="1079" t="s">
        <v>762</v>
      </c>
      <c r="F129" s="1079"/>
      <c r="G129" s="1079"/>
      <c r="H129" s="1079"/>
      <c r="I129" s="204" t="s">
        <v>445</v>
      </c>
      <c r="J129" s="487"/>
      <c r="K129" s="487"/>
      <c r="L129" s="487"/>
      <c r="M129" s="487"/>
      <c r="N129" s="487"/>
      <c r="O129" s="487"/>
      <c r="P129" s="487"/>
      <c r="Q129" s="487"/>
      <c r="R129" s="226" t="s">
        <v>426</v>
      </c>
      <c r="S129" s="1181"/>
      <c r="U129" s="1065" t="s">
        <v>776</v>
      </c>
      <c r="V129" s="1065"/>
      <c r="W129" s="1065"/>
      <c r="X129" s="1065"/>
      <c r="Y129" s="1065"/>
      <c r="AB129" s="1065" t="s">
        <v>780</v>
      </c>
      <c r="AC129" s="1065"/>
      <c r="AD129" s="1065"/>
      <c r="AE129" s="1065"/>
      <c r="AF129" s="1065"/>
      <c r="AG129" s="1065"/>
      <c r="AH129" s="1065"/>
      <c r="AI129" s="1065"/>
      <c r="AJ129" s="1066"/>
    </row>
    <row r="130" spans="1:36" ht="15" customHeight="1" x14ac:dyDescent="0.4">
      <c r="A130" s="1190"/>
      <c r="B130" s="1191"/>
      <c r="C130" s="1181"/>
      <c r="E130" s="1079" t="s">
        <v>763</v>
      </c>
      <c r="F130" s="1079"/>
      <c r="G130" s="1079"/>
      <c r="H130" s="1079"/>
      <c r="I130" s="204" t="s">
        <v>445</v>
      </c>
      <c r="J130" s="487"/>
      <c r="K130" s="487"/>
      <c r="L130" s="487"/>
      <c r="M130" s="487"/>
      <c r="N130" s="487"/>
      <c r="O130" s="487"/>
      <c r="P130" s="487"/>
      <c r="Q130" s="487"/>
      <c r="R130" s="226" t="s">
        <v>426</v>
      </c>
      <c r="S130" s="1181"/>
      <c r="U130" s="1065" t="s">
        <v>778</v>
      </c>
      <c r="V130" s="1065"/>
      <c r="W130" s="1065"/>
      <c r="X130" s="1065"/>
      <c r="Y130" s="1065"/>
      <c r="AB130" s="1065" t="s">
        <v>781</v>
      </c>
      <c r="AC130" s="1065"/>
      <c r="AD130" s="1065"/>
      <c r="AE130" s="1065"/>
      <c r="AF130" s="1065"/>
      <c r="AG130" s="1065"/>
      <c r="AH130" s="1065"/>
      <c r="AI130" s="1065"/>
      <c r="AJ130" s="1066"/>
    </row>
    <row r="131" spans="1:36" ht="15" customHeight="1" x14ac:dyDescent="0.4">
      <c r="A131" s="1190"/>
      <c r="B131" s="1191"/>
      <c r="C131" s="225"/>
      <c r="D131" s="1065" t="s">
        <v>764</v>
      </c>
      <c r="E131" s="1065"/>
      <c r="F131" s="1065"/>
      <c r="G131" s="1065"/>
      <c r="H131" s="1065"/>
      <c r="I131" s="1065"/>
      <c r="J131" s="1065"/>
      <c r="K131" s="1065"/>
      <c r="L131" s="1065"/>
      <c r="M131" s="1065"/>
      <c r="N131" s="1065"/>
      <c r="O131" s="1065"/>
      <c r="P131" s="1065"/>
      <c r="Q131" s="1065"/>
      <c r="R131" s="1066"/>
      <c r="S131" s="1181"/>
      <c r="U131" s="1065" t="s">
        <v>777</v>
      </c>
      <c r="V131" s="1065"/>
      <c r="W131" s="1065"/>
      <c r="X131" s="1065"/>
      <c r="Y131" s="1065"/>
      <c r="AB131" s="1065" t="s">
        <v>782</v>
      </c>
      <c r="AC131" s="1065"/>
      <c r="AD131" s="1065"/>
      <c r="AE131" s="1065"/>
      <c r="AF131" s="1065"/>
      <c r="AG131" s="1065"/>
      <c r="AH131" s="1065"/>
      <c r="AI131" s="1065"/>
      <c r="AJ131" s="1066"/>
    </row>
    <row r="132" spans="1:36" ht="15" customHeight="1" x14ac:dyDescent="0.4">
      <c r="A132" s="1190"/>
      <c r="B132" s="1191"/>
      <c r="C132" s="225"/>
      <c r="D132" s="1079" t="s">
        <v>765</v>
      </c>
      <c r="E132" s="1079"/>
      <c r="F132" s="1079"/>
      <c r="G132" s="1079"/>
      <c r="H132" s="1079"/>
      <c r="I132" s="1079"/>
      <c r="J132" s="1079"/>
      <c r="K132" s="1079"/>
      <c r="L132" s="1079"/>
      <c r="M132" s="1079"/>
      <c r="N132" s="1079"/>
      <c r="O132" s="1079"/>
      <c r="P132" s="1079"/>
      <c r="Q132" s="1079"/>
      <c r="R132" s="1183"/>
      <c r="S132" s="1181"/>
      <c r="U132" s="1065" t="s">
        <v>774</v>
      </c>
      <c r="V132" s="1065"/>
      <c r="W132" s="1065"/>
      <c r="X132" s="1065"/>
      <c r="Y132" s="1065"/>
      <c r="AJ132" s="184"/>
    </row>
    <row r="133" spans="1:36" ht="15" customHeight="1" x14ac:dyDescent="0.4">
      <c r="A133" s="1190"/>
      <c r="B133" s="1191"/>
      <c r="C133" s="225"/>
      <c r="D133" s="1079" t="s">
        <v>766</v>
      </c>
      <c r="E133" s="1079"/>
      <c r="F133" s="1079"/>
      <c r="G133" s="1079"/>
      <c r="H133" s="1079"/>
      <c r="I133" s="1079"/>
      <c r="J133" s="1079"/>
      <c r="K133" s="1079"/>
      <c r="L133" s="1079"/>
      <c r="M133" s="1079"/>
      <c r="N133" s="1079"/>
      <c r="O133" s="1079"/>
      <c r="P133" s="1079"/>
      <c r="Q133" s="1079"/>
      <c r="R133" s="1183"/>
      <c r="S133" s="225"/>
      <c r="T133" s="1065" t="s">
        <v>783</v>
      </c>
      <c r="U133" s="1065"/>
      <c r="V133" s="1065"/>
      <c r="W133" s="1065"/>
      <c r="X133" s="204" t="s">
        <v>445</v>
      </c>
      <c r="Y133" s="1079"/>
      <c r="Z133" s="1079"/>
      <c r="AA133" s="1079"/>
      <c r="AB133" s="1079"/>
      <c r="AC133" s="1079"/>
      <c r="AD133" s="1079"/>
      <c r="AE133" s="1079"/>
      <c r="AF133" s="1079"/>
      <c r="AG133" s="1079"/>
      <c r="AH133" s="1079"/>
      <c r="AI133" s="1079"/>
      <c r="AJ133" s="237" t="s">
        <v>426</v>
      </c>
    </row>
    <row r="134" spans="1:36" ht="15" customHeight="1" x14ac:dyDescent="0.4">
      <c r="A134" s="1190"/>
      <c r="B134" s="1191"/>
      <c r="C134" s="225"/>
      <c r="D134" s="1079" t="s">
        <v>767</v>
      </c>
      <c r="E134" s="1079"/>
      <c r="F134" s="1079"/>
      <c r="G134" s="1079"/>
      <c r="H134" s="1079"/>
      <c r="I134" s="1079"/>
      <c r="J134" s="1079"/>
      <c r="K134" s="1079"/>
      <c r="L134" s="1079"/>
      <c r="M134" s="1079"/>
      <c r="N134" s="1079"/>
      <c r="O134" s="1079"/>
      <c r="P134" s="1079"/>
      <c r="Q134" s="1079"/>
      <c r="R134" s="1183"/>
      <c r="S134" s="225"/>
      <c r="AJ134" s="184"/>
    </row>
    <row r="135" spans="1:36" ht="15" customHeight="1" x14ac:dyDescent="0.4">
      <c r="A135" s="1190"/>
      <c r="B135" s="1191"/>
      <c r="C135" s="225"/>
      <c r="D135" s="1079" t="s">
        <v>768</v>
      </c>
      <c r="E135" s="1079"/>
      <c r="F135" s="1079"/>
      <c r="G135" s="1079"/>
      <c r="H135" s="1079"/>
      <c r="I135" s="1079"/>
      <c r="J135" s="1079"/>
      <c r="K135" s="1079"/>
      <c r="L135" s="1079"/>
      <c r="M135" s="1079"/>
      <c r="N135" s="1079"/>
      <c r="O135" s="1079"/>
      <c r="P135" s="1079"/>
      <c r="Q135" s="1079"/>
      <c r="R135" s="1183"/>
      <c r="S135" s="1181" t="s">
        <v>785</v>
      </c>
      <c r="U135" s="216" t="s">
        <v>445</v>
      </c>
      <c r="V135" s="487"/>
      <c r="W135" s="487"/>
      <c r="X135" s="487"/>
      <c r="Y135" s="487"/>
      <c r="Z135" s="487"/>
      <c r="AA135" s="487"/>
      <c r="AB135" s="487"/>
      <c r="AC135" s="487"/>
      <c r="AD135" s="487"/>
      <c r="AE135" s="487"/>
      <c r="AF135" s="487"/>
      <c r="AG135" s="487"/>
      <c r="AH135" s="487"/>
      <c r="AI135" s="487"/>
      <c r="AJ135" s="238" t="s">
        <v>426</v>
      </c>
    </row>
    <row r="136" spans="1:36" ht="15" customHeight="1" x14ac:dyDescent="0.4">
      <c r="A136" s="1190"/>
      <c r="B136" s="1191"/>
      <c r="C136" s="225"/>
      <c r="D136" s="1079" t="s">
        <v>769</v>
      </c>
      <c r="E136" s="1079"/>
      <c r="F136" s="1079"/>
      <c r="G136" s="1079"/>
      <c r="H136" s="1079"/>
      <c r="I136" s="1079"/>
      <c r="J136" s="1079"/>
      <c r="K136" s="1079"/>
      <c r="L136" s="1079"/>
      <c r="M136" s="1079"/>
      <c r="N136" s="1079"/>
      <c r="O136" s="1079"/>
      <c r="P136" s="1079"/>
      <c r="Q136" s="1079"/>
      <c r="R136" s="1183"/>
      <c r="S136" s="1181"/>
      <c r="U136" s="204" t="s">
        <v>445</v>
      </c>
      <c r="V136" s="487"/>
      <c r="W136" s="487"/>
      <c r="X136" s="487"/>
      <c r="Y136" s="487"/>
      <c r="Z136" s="487"/>
      <c r="AA136" s="487"/>
      <c r="AB136" s="487"/>
      <c r="AC136" s="487"/>
      <c r="AD136" s="487"/>
      <c r="AE136" s="487"/>
      <c r="AF136" s="487"/>
      <c r="AG136" s="487"/>
      <c r="AH136" s="487"/>
      <c r="AI136" s="487"/>
      <c r="AJ136" s="237" t="s">
        <v>426</v>
      </c>
    </row>
    <row r="137" spans="1:36" ht="15" customHeight="1" x14ac:dyDescent="0.4">
      <c r="A137" s="1190"/>
      <c r="B137" s="1191"/>
      <c r="C137" s="225"/>
      <c r="D137" s="1079" t="s">
        <v>784</v>
      </c>
      <c r="E137" s="1079"/>
      <c r="F137" s="1079"/>
      <c r="G137" s="1079"/>
      <c r="H137" s="1079"/>
      <c r="J137" s="1065" t="s">
        <v>772</v>
      </c>
      <c r="K137" s="1079"/>
      <c r="L137" s="1079"/>
      <c r="N137" s="1065" t="s">
        <v>771</v>
      </c>
      <c r="O137" s="1079"/>
      <c r="Q137" s="1065" t="s">
        <v>770</v>
      </c>
      <c r="R137" s="1183"/>
      <c r="S137" s="1181"/>
      <c r="U137" s="204" t="s">
        <v>445</v>
      </c>
      <c r="V137" s="487"/>
      <c r="W137" s="487"/>
      <c r="X137" s="487"/>
      <c r="Y137" s="487"/>
      <c r="Z137" s="487"/>
      <c r="AA137" s="487"/>
      <c r="AB137" s="487"/>
      <c r="AC137" s="487"/>
      <c r="AD137" s="487"/>
      <c r="AE137" s="487"/>
      <c r="AF137" s="487"/>
      <c r="AG137" s="487"/>
      <c r="AH137" s="487"/>
      <c r="AI137" s="487"/>
      <c r="AJ137" s="237" t="s">
        <v>426</v>
      </c>
    </row>
    <row r="138" spans="1:36" ht="15" customHeight="1" x14ac:dyDescent="0.4">
      <c r="A138" s="1179"/>
      <c r="B138" s="1180"/>
      <c r="C138" s="227"/>
      <c r="D138" s="192"/>
      <c r="E138" s="1068" t="s">
        <v>773</v>
      </c>
      <c r="F138" s="1068"/>
      <c r="G138" s="1068"/>
      <c r="H138" s="1068"/>
      <c r="I138" s="231" t="s">
        <v>445</v>
      </c>
      <c r="J138" s="510"/>
      <c r="K138" s="510"/>
      <c r="L138" s="510"/>
      <c r="M138" s="510"/>
      <c r="N138" s="510"/>
      <c r="O138" s="510"/>
      <c r="P138" s="510"/>
      <c r="Q138" s="510"/>
      <c r="R138" s="236" t="s">
        <v>426</v>
      </c>
      <c r="S138" s="227"/>
      <c r="T138" s="192"/>
      <c r="U138" s="192"/>
      <c r="V138" s="192"/>
      <c r="W138" s="192"/>
      <c r="X138" s="192"/>
      <c r="Y138" s="192"/>
      <c r="Z138" s="192"/>
      <c r="AA138" s="192"/>
      <c r="AB138" s="192"/>
      <c r="AC138" s="192"/>
      <c r="AD138" s="192"/>
      <c r="AE138" s="192"/>
      <c r="AF138" s="192"/>
      <c r="AG138" s="192"/>
      <c r="AH138" s="192"/>
      <c r="AI138" s="192"/>
      <c r="AJ138" s="228"/>
    </row>
    <row r="139" spans="1:36" ht="7.5" customHeight="1" x14ac:dyDescent="0.4"/>
    <row r="140" spans="1:36" ht="13.5" customHeight="1" x14ac:dyDescent="0.4">
      <c r="A140" s="1140" t="s">
        <v>788</v>
      </c>
      <c r="B140" s="1140"/>
      <c r="C140" s="1140"/>
      <c r="D140" s="1140"/>
      <c r="E140" s="1140"/>
      <c r="F140" s="1140"/>
      <c r="G140" s="1140"/>
      <c r="H140" s="1140"/>
      <c r="I140" s="1140"/>
      <c r="J140" s="1140"/>
      <c r="K140" s="1140"/>
      <c r="L140" s="1140"/>
      <c r="M140" s="1140"/>
      <c r="N140" s="1140"/>
      <c r="O140" s="1140"/>
    </row>
    <row r="141" spans="1:36" ht="13.5" customHeight="1" x14ac:dyDescent="0.4">
      <c r="A141" s="1140"/>
      <c r="B141" s="1140"/>
      <c r="C141" s="1140"/>
      <c r="D141" s="1140"/>
      <c r="E141" s="1140"/>
      <c r="F141" s="1140"/>
      <c r="G141" s="1140"/>
      <c r="H141" s="1140"/>
      <c r="I141" s="1140"/>
      <c r="J141" s="1140"/>
      <c r="K141" s="1140"/>
      <c r="L141" s="1140"/>
      <c r="M141" s="1140"/>
      <c r="N141" s="1140"/>
      <c r="O141" s="1140"/>
    </row>
    <row r="142" spans="1:36" ht="15" customHeight="1" x14ac:dyDescent="0.4">
      <c r="A142" s="1141" t="s">
        <v>799</v>
      </c>
      <c r="B142" s="1142"/>
      <c r="C142" s="284" t="s">
        <v>794</v>
      </c>
      <c r="D142" s="1156" t="s">
        <v>857</v>
      </c>
      <c r="E142" s="1156"/>
      <c r="F142" s="1156"/>
      <c r="G142" s="232"/>
      <c r="H142" s="232"/>
      <c r="I142" s="1156">
        <f>'[2]（最新）アセスメントシート'!F20</f>
        <v>0</v>
      </c>
      <c r="J142" s="1156"/>
      <c r="K142" s="1156"/>
      <c r="L142" s="1156"/>
      <c r="M142" s="1156"/>
      <c r="N142" s="232"/>
      <c r="O142" s="232"/>
      <c r="P142" s="232"/>
      <c r="Q142" s="232"/>
      <c r="R142" s="232"/>
      <c r="S142" s="232"/>
      <c r="T142" s="232"/>
      <c r="U142" s="232"/>
      <c r="V142" s="232"/>
      <c r="W142" s="285"/>
      <c r="X142" s="1157" t="s">
        <v>813</v>
      </c>
      <c r="Y142" s="1158"/>
      <c r="Z142" s="1158"/>
      <c r="AA142" s="1158"/>
      <c r="AB142" s="1158"/>
      <c r="AC142" s="1158"/>
      <c r="AD142" s="1158"/>
      <c r="AE142" s="1158"/>
      <c r="AF142" s="1158"/>
      <c r="AG142" s="1158"/>
      <c r="AH142" s="1158"/>
      <c r="AI142" s="1158"/>
      <c r="AJ142" s="1159"/>
    </row>
    <row r="143" spans="1:36" ht="15" customHeight="1" x14ac:dyDescent="0.4">
      <c r="A143" s="1143"/>
      <c r="B143" s="1144"/>
      <c r="C143" s="286" t="s">
        <v>795</v>
      </c>
      <c r="D143" s="1079" t="s">
        <v>858</v>
      </c>
      <c r="E143" s="1079"/>
      <c r="F143" s="1079"/>
      <c r="G143" s="204"/>
      <c r="H143" s="204"/>
      <c r="I143" s="1079">
        <f>'[2]（最新）アセスメントシート'!F21</f>
        <v>0</v>
      </c>
      <c r="J143" s="1079"/>
      <c r="K143" s="1079"/>
      <c r="L143" s="1079"/>
      <c r="M143" s="1079">
        <f>'[2]（最新）アセスメントシート'!I21</f>
        <v>0</v>
      </c>
      <c r="N143" s="1079"/>
      <c r="O143" s="1079"/>
      <c r="P143" s="1079"/>
      <c r="Q143" s="1079"/>
      <c r="R143" s="204"/>
      <c r="S143" s="204"/>
      <c r="T143" s="204"/>
      <c r="U143" s="204"/>
      <c r="V143" s="204"/>
      <c r="W143" s="237"/>
      <c r="X143" s="1160"/>
      <c r="Y143" s="1161"/>
      <c r="Z143" s="1161"/>
      <c r="AA143" s="1161"/>
      <c r="AB143" s="1161"/>
      <c r="AC143" s="1161"/>
      <c r="AD143" s="1161"/>
      <c r="AE143" s="1161"/>
      <c r="AF143" s="1161"/>
      <c r="AG143" s="1161"/>
      <c r="AH143" s="1161"/>
      <c r="AI143" s="1161"/>
      <c r="AJ143" s="1162"/>
    </row>
    <row r="144" spans="1:36" ht="15" customHeight="1" x14ac:dyDescent="0.4">
      <c r="A144" s="1143"/>
      <c r="B144" s="1144"/>
      <c r="C144" s="286" t="s">
        <v>796</v>
      </c>
      <c r="D144" s="1079" t="s">
        <v>859</v>
      </c>
      <c r="E144" s="1079"/>
      <c r="F144" s="1079"/>
      <c r="G144" s="204"/>
      <c r="H144" s="204"/>
      <c r="I144" s="1079">
        <f>'[2]（最新）アセスメントシート'!F22</f>
        <v>0</v>
      </c>
      <c r="J144" s="1079"/>
      <c r="K144" s="1079"/>
      <c r="L144" s="1079"/>
      <c r="M144" s="1079"/>
      <c r="N144" s="204"/>
      <c r="O144" s="204"/>
      <c r="P144" s="204"/>
      <c r="Q144" s="204"/>
      <c r="R144" s="204"/>
      <c r="S144" s="204"/>
      <c r="T144" s="204"/>
      <c r="U144" s="204"/>
      <c r="V144" s="204"/>
      <c r="W144" s="237"/>
      <c r="X144" s="405"/>
      <c r="Y144" s="406"/>
      <c r="Z144" s="406"/>
      <c r="AA144" s="406"/>
      <c r="AB144" s="406"/>
      <c r="AC144" s="406"/>
      <c r="AD144" s="406"/>
      <c r="AE144" s="406"/>
      <c r="AF144" s="406"/>
      <c r="AG144" s="406"/>
      <c r="AH144" s="406"/>
      <c r="AI144" s="406"/>
      <c r="AJ144" s="453"/>
    </row>
    <row r="145" spans="1:36" ht="15" customHeight="1" x14ac:dyDescent="0.4">
      <c r="A145" s="1143"/>
      <c r="B145" s="1144"/>
      <c r="C145" s="286" t="s">
        <v>797</v>
      </c>
      <c r="D145" s="1079" t="s">
        <v>860</v>
      </c>
      <c r="E145" s="1079"/>
      <c r="F145" s="1079"/>
      <c r="G145" s="204"/>
      <c r="H145" s="204"/>
      <c r="I145" s="1079">
        <f>'[2]（最新）アセスメントシート'!F23</f>
        <v>0</v>
      </c>
      <c r="J145" s="1079"/>
      <c r="K145" s="1079"/>
      <c r="L145" s="1079"/>
      <c r="M145" s="1079"/>
      <c r="N145" s="204"/>
      <c r="O145" s="204"/>
      <c r="P145" s="204"/>
      <c r="Q145" s="204"/>
      <c r="R145" s="204"/>
      <c r="S145" s="287"/>
      <c r="T145" s="204"/>
      <c r="U145" s="287"/>
      <c r="V145" s="204"/>
      <c r="W145" s="237"/>
      <c r="X145" s="497"/>
      <c r="Y145" s="498"/>
      <c r="Z145" s="498"/>
      <c r="AA145" s="498"/>
      <c r="AB145" s="498"/>
      <c r="AC145" s="498"/>
      <c r="AD145" s="498"/>
      <c r="AE145" s="498"/>
      <c r="AF145" s="498"/>
      <c r="AG145" s="498"/>
      <c r="AH145" s="498"/>
      <c r="AI145" s="498"/>
      <c r="AJ145" s="531"/>
    </row>
    <row r="146" spans="1:36" ht="15" customHeight="1" x14ac:dyDescent="0.4">
      <c r="A146" s="1143"/>
      <c r="B146" s="1144"/>
      <c r="C146" s="286" t="s">
        <v>798</v>
      </c>
      <c r="D146" s="1079" t="s">
        <v>861</v>
      </c>
      <c r="E146" s="1079"/>
      <c r="F146" s="1079"/>
      <c r="G146" s="204"/>
      <c r="H146" s="204"/>
      <c r="I146" s="1079">
        <f>'[2]（最新）アセスメントシート'!R20</f>
        <v>0</v>
      </c>
      <c r="J146" s="1079"/>
      <c r="K146" s="1079"/>
      <c r="L146" s="1079"/>
      <c r="M146" s="1079"/>
      <c r="N146" s="204"/>
      <c r="O146" s="204"/>
      <c r="P146" s="204"/>
      <c r="Q146" s="204"/>
      <c r="R146" s="204"/>
      <c r="S146" s="204"/>
      <c r="T146" s="204"/>
      <c r="U146" s="204"/>
      <c r="V146" s="204"/>
      <c r="W146" s="237"/>
      <c r="X146" s="497"/>
      <c r="Y146" s="498"/>
      <c r="Z146" s="498"/>
      <c r="AA146" s="498"/>
      <c r="AB146" s="498"/>
      <c r="AC146" s="498"/>
      <c r="AD146" s="498"/>
      <c r="AE146" s="498"/>
      <c r="AF146" s="498"/>
      <c r="AG146" s="498"/>
      <c r="AH146" s="498"/>
      <c r="AI146" s="498"/>
      <c r="AJ146" s="531"/>
    </row>
    <row r="147" spans="1:36" ht="15" customHeight="1" x14ac:dyDescent="0.4">
      <c r="A147" s="1143"/>
      <c r="B147" s="1144"/>
      <c r="C147" s="286" t="s">
        <v>862</v>
      </c>
      <c r="D147" s="1079" t="s">
        <v>863</v>
      </c>
      <c r="E147" s="1079"/>
      <c r="F147" s="1079"/>
      <c r="G147" s="204"/>
      <c r="H147" s="204"/>
      <c r="I147" s="1079">
        <f>'[2]（最新）アセスメントシート'!R23</f>
        <v>0</v>
      </c>
      <c r="J147" s="1079"/>
      <c r="K147" s="1079"/>
      <c r="L147" s="1079"/>
      <c r="M147" s="1079"/>
      <c r="N147" s="1079"/>
      <c r="O147" s="1079"/>
      <c r="P147" s="204"/>
      <c r="Q147" s="204"/>
      <c r="R147" s="204"/>
      <c r="S147" s="204"/>
      <c r="T147" s="204"/>
      <c r="U147" s="204"/>
      <c r="V147" s="204"/>
      <c r="W147" s="237"/>
      <c r="X147" s="497"/>
      <c r="Y147" s="498"/>
      <c r="Z147" s="498"/>
      <c r="AA147" s="498"/>
      <c r="AB147" s="498"/>
      <c r="AC147" s="498"/>
      <c r="AD147" s="498"/>
      <c r="AE147" s="498"/>
      <c r="AF147" s="498"/>
      <c r="AG147" s="498"/>
      <c r="AH147" s="498"/>
      <c r="AI147" s="498"/>
      <c r="AJ147" s="531"/>
    </row>
    <row r="148" spans="1:36" ht="15" customHeight="1" x14ac:dyDescent="0.4">
      <c r="A148" s="1143"/>
      <c r="B148" s="1144"/>
      <c r="C148" s="286" t="s">
        <v>864</v>
      </c>
      <c r="D148" s="1079" t="s">
        <v>865</v>
      </c>
      <c r="E148" s="1079"/>
      <c r="F148" s="1079"/>
      <c r="G148" s="204"/>
      <c r="H148" s="204"/>
      <c r="I148" s="1079">
        <f>'[2]（最新）アセスメントシート'!AD20</f>
        <v>0</v>
      </c>
      <c r="J148" s="1079"/>
      <c r="K148" s="1079"/>
      <c r="L148" s="1079"/>
      <c r="M148" s="1079"/>
      <c r="N148" s="204"/>
      <c r="O148" s="204"/>
      <c r="P148" s="204"/>
      <c r="Q148" s="204"/>
      <c r="R148" s="204"/>
      <c r="S148" s="204"/>
      <c r="T148" s="204"/>
      <c r="U148" s="204"/>
      <c r="V148" s="204"/>
      <c r="W148" s="237"/>
      <c r="X148" s="497"/>
      <c r="Y148" s="498"/>
      <c r="Z148" s="498"/>
      <c r="AA148" s="498"/>
      <c r="AB148" s="498"/>
      <c r="AC148" s="498"/>
      <c r="AD148" s="498"/>
      <c r="AE148" s="498"/>
      <c r="AF148" s="498"/>
      <c r="AG148" s="498"/>
      <c r="AH148" s="498"/>
      <c r="AI148" s="498"/>
      <c r="AJ148" s="531"/>
    </row>
    <row r="149" spans="1:36" ht="15" customHeight="1" x14ac:dyDescent="0.4">
      <c r="A149" s="1145"/>
      <c r="B149" s="1146"/>
      <c r="C149" s="288" t="s">
        <v>866</v>
      </c>
      <c r="D149" s="1147" t="s">
        <v>711</v>
      </c>
      <c r="E149" s="1147"/>
      <c r="F149" s="1147"/>
      <c r="G149" s="234"/>
      <c r="H149" s="234"/>
      <c r="I149" s="1147">
        <f>'[2]（最新）アセスメントシート'!AD21</f>
        <v>0</v>
      </c>
      <c r="J149" s="1147"/>
      <c r="K149" s="1147"/>
      <c r="L149" s="234" t="s">
        <v>867</v>
      </c>
      <c r="M149" s="234"/>
      <c r="N149" s="234"/>
      <c r="O149" s="234"/>
      <c r="P149" s="234"/>
      <c r="Q149" s="1147">
        <f>'[2]（最新）アセスメントシート'!AE22</f>
        <v>0</v>
      </c>
      <c r="R149" s="1147"/>
      <c r="S149" s="1147"/>
      <c r="T149" s="234"/>
      <c r="U149" s="234"/>
      <c r="V149" s="234"/>
      <c r="W149" s="289"/>
      <c r="X149" s="497"/>
      <c r="Y149" s="498"/>
      <c r="Z149" s="498"/>
      <c r="AA149" s="498"/>
      <c r="AB149" s="498"/>
      <c r="AC149" s="498"/>
      <c r="AD149" s="498"/>
      <c r="AE149" s="498"/>
      <c r="AF149" s="498"/>
      <c r="AG149" s="498"/>
      <c r="AH149" s="498"/>
      <c r="AI149" s="498"/>
      <c r="AJ149" s="531"/>
    </row>
    <row r="150" spans="1:36" ht="15" customHeight="1" x14ac:dyDescent="0.4">
      <c r="A150" s="1141" t="s">
        <v>611</v>
      </c>
      <c r="B150" s="1142"/>
      <c r="C150" s="239" t="s">
        <v>868</v>
      </c>
      <c r="D150" s="1156" t="s">
        <v>869</v>
      </c>
      <c r="E150" s="1156"/>
      <c r="F150" s="1156"/>
      <c r="G150" s="232"/>
      <c r="H150" s="232"/>
      <c r="I150" s="232"/>
      <c r="J150" s="1156">
        <f>'[2]（最新）アセスメントシート'!R21</f>
        <v>0</v>
      </c>
      <c r="K150" s="1156"/>
      <c r="L150" s="1156"/>
      <c r="M150" s="232"/>
      <c r="N150" s="285"/>
      <c r="O150" s="1150" t="s">
        <v>802</v>
      </c>
      <c r="P150" s="1151"/>
      <c r="Q150" s="1071" t="s">
        <v>871</v>
      </c>
      <c r="R150" s="1071"/>
      <c r="S150" s="1071"/>
      <c r="T150" s="1071"/>
      <c r="U150" s="1071"/>
      <c r="V150" s="1071"/>
      <c r="W150" s="1149"/>
      <c r="X150" s="497"/>
      <c r="Y150" s="498"/>
      <c r="Z150" s="498"/>
      <c r="AA150" s="498"/>
      <c r="AB150" s="498"/>
      <c r="AC150" s="498"/>
      <c r="AD150" s="498"/>
      <c r="AE150" s="498"/>
      <c r="AF150" s="498"/>
      <c r="AG150" s="498"/>
      <c r="AH150" s="498"/>
      <c r="AI150" s="498"/>
      <c r="AJ150" s="531"/>
    </row>
    <row r="151" spans="1:36" ht="15" customHeight="1" x14ac:dyDescent="0.4">
      <c r="A151" s="1143"/>
      <c r="B151" s="1144"/>
      <c r="C151" s="286" t="s">
        <v>795</v>
      </c>
      <c r="D151" s="1079" t="s">
        <v>800</v>
      </c>
      <c r="E151" s="1079"/>
      <c r="F151" s="1079"/>
      <c r="G151" s="204"/>
      <c r="H151" s="204"/>
      <c r="I151" s="204"/>
      <c r="J151" s="1079">
        <f>'[2]（最新）アセスメントシート'!T21</f>
        <v>0</v>
      </c>
      <c r="K151" s="1079"/>
      <c r="L151" s="1079"/>
      <c r="M151" s="204"/>
      <c r="N151" s="237"/>
      <c r="O151" s="1152"/>
      <c r="P151" s="1153"/>
      <c r="Q151" s="498" t="s">
        <v>870</v>
      </c>
      <c r="R151" s="498"/>
      <c r="S151" s="1065">
        <f>'[2]（最新）アセスメントシート'!I77</f>
        <v>0</v>
      </c>
      <c r="T151" s="1065"/>
      <c r="U151" s="1065"/>
      <c r="V151" s="1065"/>
      <c r="W151" s="1066"/>
      <c r="X151" s="497"/>
      <c r="Y151" s="498"/>
      <c r="Z151" s="498"/>
      <c r="AA151" s="498"/>
      <c r="AB151" s="498"/>
      <c r="AC151" s="498"/>
      <c r="AD151" s="498"/>
      <c r="AE151" s="498"/>
      <c r="AF151" s="498"/>
      <c r="AG151" s="498"/>
      <c r="AH151" s="498"/>
      <c r="AI151" s="498"/>
      <c r="AJ151" s="531"/>
    </row>
    <row r="152" spans="1:36" ht="15" customHeight="1" x14ac:dyDescent="0.4">
      <c r="A152" s="1145"/>
      <c r="B152" s="1146"/>
      <c r="C152" s="288" t="s">
        <v>796</v>
      </c>
      <c r="D152" s="234" t="s">
        <v>801</v>
      </c>
      <c r="E152" s="234"/>
      <c r="F152" s="234"/>
      <c r="G152" s="234"/>
      <c r="H152" s="234"/>
      <c r="I152" s="234"/>
      <c r="J152" s="1147">
        <f>'[2]（最新）アセスメントシート'!W21</f>
        <v>0</v>
      </c>
      <c r="K152" s="1147"/>
      <c r="L152" s="1147"/>
      <c r="M152" s="234"/>
      <c r="N152" s="289"/>
      <c r="O152" s="1152"/>
      <c r="P152" s="1153"/>
      <c r="W152" s="190"/>
      <c r="X152" s="497"/>
      <c r="Y152" s="498"/>
      <c r="Z152" s="498"/>
      <c r="AA152" s="498"/>
      <c r="AB152" s="498"/>
      <c r="AC152" s="498"/>
      <c r="AD152" s="498"/>
      <c r="AE152" s="498"/>
      <c r="AF152" s="498"/>
      <c r="AG152" s="498"/>
      <c r="AH152" s="498"/>
      <c r="AI152" s="498"/>
      <c r="AJ152" s="531"/>
    </row>
    <row r="153" spans="1:36" ht="15" customHeight="1" x14ac:dyDescent="0.4">
      <c r="A153" s="1177" t="s">
        <v>804</v>
      </c>
      <c r="B153" s="1178"/>
      <c r="C153" s="290" t="s">
        <v>868</v>
      </c>
      <c r="D153" s="1071" t="s">
        <v>873</v>
      </c>
      <c r="E153" s="1071"/>
      <c r="F153" s="1071"/>
      <c r="G153" s="1071"/>
      <c r="H153" s="216"/>
      <c r="I153" s="1156">
        <f>'[2]（最新）アセスメントシート'!R22</f>
        <v>0</v>
      </c>
      <c r="J153" s="1156"/>
      <c r="K153" s="1156">
        <f>'[2]（最新）アセスメントシート'!U22</f>
        <v>0</v>
      </c>
      <c r="L153" s="1156"/>
      <c r="M153" s="1156"/>
      <c r="N153" s="1176"/>
      <c r="O153" s="1152"/>
      <c r="P153" s="1153"/>
      <c r="Q153" s="283" t="s">
        <v>872</v>
      </c>
      <c r="R153" s="283"/>
      <c r="S153" s="196"/>
      <c r="T153" s="196"/>
      <c r="U153" s="196"/>
      <c r="V153" s="196"/>
      <c r="W153" s="184"/>
      <c r="X153" s="497"/>
      <c r="Y153" s="498"/>
      <c r="Z153" s="498"/>
      <c r="AA153" s="498"/>
      <c r="AB153" s="498"/>
      <c r="AC153" s="498"/>
      <c r="AD153" s="498"/>
      <c r="AE153" s="498"/>
      <c r="AF153" s="498"/>
      <c r="AG153" s="498"/>
      <c r="AH153" s="498"/>
      <c r="AI153" s="498"/>
      <c r="AJ153" s="531"/>
    </row>
    <row r="154" spans="1:36" ht="15" customHeight="1" x14ac:dyDescent="0.4">
      <c r="A154" s="1179"/>
      <c r="B154" s="1180"/>
      <c r="C154" s="291" t="s">
        <v>795</v>
      </c>
      <c r="D154" s="231" t="s">
        <v>803</v>
      </c>
      <c r="E154" s="192"/>
      <c r="F154" s="192"/>
      <c r="G154" s="192"/>
      <c r="H154" s="192"/>
      <c r="I154" s="1147"/>
      <c r="J154" s="1147"/>
      <c r="K154" s="1147"/>
      <c r="L154" s="192"/>
      <c r="M154" s="192"/>
      <c r="N154" s="192"/>
      <c r="O154" s="1154"/>
      <c r="P154" s="1155"/>
      <c r="Q154" s="408" t="s">
        <v>870</v>
      </c>
      <c r="R154" s="408"/>
      <c r="S154" s="1147">
        <f>'[2]（最新）アセスメントシート'!I79</f>
        <v>0</v>
      </c>
      <c r="T154" s="1147"/>
      <c r="U154" s="1147"/>
      <c r="V154" s="1147"/>
      <c r="W154" s="1148"/>
      <c r="X154" s="497"/>
      <c r="Y154" s="498"/>
      <c r="Z154" s="498"/>
      <c r="AA154" s="498"/>
      <c r="AB154" s="498"/>
      <c r="AC154" s="498"/>
      <c r="AD154" s="498"/>
      <c r="AE154" s="498"/>
      <c r="AF154" s="498"/>
      <c r="AG154" s="498"/>
      <c r="AH154" s="498"/>
      <c r="AI154" s="498"/>
      <c r="AJ154" s="531"/>
    </row>
    <row r="155" spans="1:36" ht="20.25" customHeight="1" x14ac:dyDescent="0.4">
      <c r="A155" s="1172" t="s">
        <v>805</v>
      </c>
      <c r="B155" s="1173"/>
      <c r="C155" s="1174"/>
      <c r="D155" s="1175" t="s">
        <v>806</v>
      </c>
      <c r="E155" s="1072"/>
      <c r="F155" s="1136"/>
      <c r="G155" s="222"/>
      <c r="H155" s="1071" t="s">
        <v>807</v>
      </c>
      <c r="I155" s="1156"/>
      <c r="J155" s="182"/>
      <c r="K155" s="241" t="s">
        <v>808</v>
      </c>
      <c r="L155" s="1073" t="s">
        <v>809</v>
      </c>
      <c r="M155" s="1074"/>
      <c r="N155" s="1075"/>
      <c r="O155" s="222"/>
      <c r="P155" s="1071" t="s">
        <v>807</v>
      </c>
      <c r="Q155" s="1156"/>
      <c r="R155" s="182"/>
      <c r="S155" s="1071" t="s">
        <v>810</v>
      </c>
      <c r="T155" s="1071"/>
      <c r="U155" s="182"/>
      <c r="V155" s="1071" t="s">
        <v>811</v>
      </c>
      <c r="W155" s="1071"/>
      <c r="X155" s="407"/>
      <c r="Y155" s="408"/>
      <c r="Z155" s="408"/>
      <c r="AA155" s="408"/>
      <c r="AB155" s="408"/>
      <c r="AC155" s="408"/>
      <c r="AD155" s="408"/>
      <c r="AE155" s="408"/>
      <c r="AF155" s="408"/>
      <c r="AG155" s="408"/>
      <c r="AH155" s="408"/>
      <c r="AI155" s="408"/>
      <c r="AJ155" s="454"/>
    </row>
    <row r="156" spans="1:36" ht="20.25" customHeight="1" x14ac:dyDescent="0.35">
      <c r="A156" s="242" t="s">
        <v>812</v>
      </c>
      <c r="B156" s="182"/>
      <c r="C156" s="182"/>
      <c r="D156" s="182"/>
      <c r="E156" s="182"/>
      <c r="F156" s="182"/>
      <c r="G156" s="182"/>
      <c r="H156" s="182"/>
      <c r="I156" s="182"/>
      <c r="J156" s="182"/>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83"/>
    </row>
    <row r="157" spans="1:36" ht="12" customHeight="1" x14ac:dyDescent="0.4">
      <c r="A157" s="1053" t="s">
        <v>920</v>
      </c>
      <c r="B157" s="1054"/>
      <c r="C157" s="1054"/>
      <c r="D157" s="1054"/>
      <c r="E157" s="1054"/>
      <c r="F157" s="1054"/>
      <c r="G157" s="1054"/>
      <c r="H157" s="1054"/>
      <c r="I157" s="1054"/>
      <c r="J157" s="1054"/>
      <c r="K157" s="1054"/>
      <c r="L157" s="1054"/>
      <c r="M157" s="1054"/>
      <c r="N157" s="1054"/>
      <c r="O157" s="1054"/>
      <c r="P157" s="1054"/>
      <c r="Q157" s="1054"/>
      <c r="R157" s="1054"/>
      <c r="S157" s="1054"/>
      <c r="T157" s="1054"/>
      <c r="U157" s="1054"/>
      <c r="V157" s="1054"/>
      <c r="W157" s="1054"/>
      <c r="X157" s="1054"/>
      <c r="Y157" s="1054"/>
      <c r="Z157" s="1054"/>
      <c r="AA157" s="1054"/>
      <c r="AB157" s="1054"/>
      <c r="AC157" s="1054"/>
      <c r="AD157" s="1054"/>
      <c r="AE157" s="1054"/>
      <c r="AF157" s="1054"/>
      <c r="AG157" s="1054"/>
      <c r="AH157" s="1054"/>
      <c r="AI157" s="1054"/>
      <c r="AJ157" s="1055"/>
    </row>
    <row r="158" spans="1:36" ht="13.5" customHeight="1" x14ac:dyDescent="0.4">
      <c r="A158" s="1053"/>
      <c r="B158" s="1054"/>
      <c r="C158" s="1054"/>
      <c r="D158" s="1054"/>
      <c r="E158" s="1054"/>
      <c r="F158" s="1054"/>
      <c r="G158" s="1054"/>
      <c r="H158" s="1054"/>
      <c r="I158" s="1054"/>
      <c r="J158" s="1054"/>
      <c r="K158" s="1054"/>
      <c r="L158" s="1054"/>
      <c r="M158" s="1054"/>
      <c r="N158" s="1054"/>
      <c r="O158" s="1054"/>
      <c r="P158" s="1054"/>
      <c r="Q158" s="1054"/>
      <c r="R158" s="1054"/>
      <c r="S158" s="1054"/>
      <c r="T158" s="1054"/>
      <c r="U158" s="1054"/>
      <c r="V158" s="1054"/>
      <c r="W158" s="1054"/>
      <c r="X158" s="1054"/>
      <c r="Y158" s="1054"/>
      <c r="Z158" s="1054"/>
      <c r="AA158" s="1054"/>
      <c r="AB158" s="1054"/>
      <c r="AC158" s="1054"/>
      <c r="AD158" s="1054"/>
      <c r="AE158" s="1054"/>
      <c r="AF158" s="1054"/>
      <c r="AG158" s="1054"/>
      <c r="AH158" s="1054"/>
      <c r="AI158" s="1054"/>
      <c r="AJ158" s="1055"/>
    </row>
    <row r="159" spans="1:36" ht="13.5" customHeight="1" x14ac:dyDescent="0.4">
      <c r="A159" s="1053"/>
      <c r="B159" s="1054"/>
      <c r="C159" s="1054"/>
      <c r="D159" s="1054"/>
      <c r="E159" s="1054"/>
      <c r="F159" s="1054"/>
      <c r="G159" s="1054"/>
      <c r="H159" s="1054"/>
      <c r="I159" s="1054"/>
      <c r="J159" s="1054"/>
      <c r="K159" s="1054"/>
      <c r="L159" s="1054"/>
      <c r="M159" s="1054"/>
      <c r="N159" s="1054"/>
      <c r="O159" s="1054"/>
      <c r="P159" s="1054"/>
      <c r="Q159" s="1054"/>
      <c r="R159" s="1054"/>
      <c r="S159" s="1054"/>
      <c r="T159" s="1054"/>
      <c r="U159" s="1054"/>
      <c r="V159" s="1054"/>
      <c r="W159" s="1054"/>
      <c r="X159" s="1054"/>
      <c r="Y159" s="1054"/>
      <c r="Z159" s="1054"/>
      <c r="AA159" s="1054"/>
      <c r="AB159" s="1054"/>
      <c r="AC159" s="1054"/>
      <c r="AD159" s="1054"/>
      <c r="AE159" s="1054"/>
      <c r="AF159" s="1054"/>
      <c r="AG159" s="1054"/>
      <c r="AH159" s="1054"/>
      <c r="AI159" s="1054"/>
      <c r="AJ159" s="1055"/>
    </row>
    <row r="160" spans="1:36" ht="13.5" customHeight="1" x14ac:dyDescent="0.4">
      <c r="A160" s="1053"/>
      <c r="B160" s="1054"/>
      <c r="C160" s="1054"/>
      <c r="D160" s="1054"/>
      <c r="E160" s="1054"/>
      <c r="F160" s="1054"/>
      <c r="G160" s="1054"/>
      <c r="H160" s="1054"/>
      <c r="I160" s="1054"/>
      <c r="J160" s="1054"/>
      <c r="K160" s="1054"/>
      <c r="L160" s="1054"/>
      <c r="M160" s="1054"/>
      <c r="N160" s="1054"/>
      <c r="O160" s="1054"/>
      <c r="P160" s="1054"/>
      <c r="Q160" s="1054"/>
      <c r="R160" s="1054"/>
      <c r="S160" s="1054"/>
      <c r="T160" s="1054"/>
      <c r="U160" s="1054"/>
      <c r="V160" s="1054"/>
      <c r="W160" s="1054"/>
      <c r="X160" s="1054"/>
      <c r="Y160" s="1054"/>
      <c r="Z160" s="1054"/>
      <c r="AA160" s="1054"/>
      <c r="AB160" s="1054"/>
      <c r="AC160" s="1054"/>
      <c r="AD160" s="1054"/>
      <c r="AE160" s="1054"/>
      <c r="AF160" s="1054"/>
      <c r="AG160" s="1054"/>
      <c r="AH160" s="1054"/>
      <c r="AI160" s="1054"/>
      <c r="AJ160" s="1055"/>
    </row>
    <row r="161" spans="1:36" ht="13.5" customHeight="1" x14ac:dyDescent="0.4">
      <c r="A161" s="1053"/>
      <c r="B161" s="1054"/>
      <c r="C161" s="1054"/>
      <c r="D161" s="1054"/>
      <c r="E161" s="1054"/>
      <c r="F161" s="1054"/>
      <c r="G161" s="1054"/>
      <c r="H161" s="1054"/>
      <c r="I161" s="1054"/>
      <c r="J161" s="1054"/>
      <c r="K161" s="1054"/>
      <c r="L161" s="1054"/>
      <c r="M161" s="1054"/>
      <c r="N161" s="1054"/>
      <c r="O161" s="1054"/>
      <c r="P161" s="1054"/>
      <c r="Q161" s="1054"/>
      <c r="R161" s="1054"/>
      <c r="S161" s="1054"/>
      <c r="T161" s="1054"/>
      <c r="U161" s="1054"/>
      <c r="V161" s="1054"/>
      <c r="W161" s="1054"/>
      <c r="X161" s="1054"/>
      <c r="Y161" s="1054"/>
      <c r="Z161" s="1054"/>
      <c r="AA161" s="1054"/>
      <c r="AB161" s="1054"/>
      <c r="AC161" s="1054"/>
      <c r="AD161" s="1054"/>
      <c r="AE161" s="1054"/>
      <c r="AF161" s="1054"/>
      <c r="AG161" s="1054"/>
      <c r="AH161" s="1054"/>
      <c r="AI161" s="1054"/>
      <c r="AJ161" s="1055"/>
    </row>
    <row r="162" spans="1:36" ht="13.5" customHeight="1" x14ac:dyDescent="0.4">
      <c r="A162" s="1053"/>
      <c r="B162" s="1054"/>
      <c r="C162" s="1054"/>
      <c r="D162" s="1054"/>
      <c r="E162" s="1054"/>
      <c r="F162" s="1054"/>
      <c r="G162" s="1054"/>
      <c r="H162" s="1054"/>
      <c r="I162" s="1054"/>
      <c r="J162" s="1054"/>
      <c r="K162" s="1054"/>
      <c r="L162" s="1054"/>
      <c r="M162" s="1054"/>
      <c r="N162" s="1054"/>
      <c r="O162" s="1054"/>
      <c r="P162" s="1054"/>
      <c r="Q162" s="1054"/>
      <c r="R162" s="1054"/>
      <c r="S162" s="1054"/>
      <c r="T162" s="1054"/>
      <c r="U162" s="1054"/>
      <c r="V162" s="1054"/>
      <c r="W162" s="1054"/>
      <c r="X162" s="1054"/>
      <c r="Y162" s="1054"/>
      <c r="Z162" s="1054"/>
      <c r="AA162" s="1054"/>
      <c r="AB162" s="1054"/>
      <c r="AC162" s="1054"/>
      <c r="AD162" s="1054"/>
      <c r="AE162" s="1054"/>
      <c r="AF162" s="1054"/>
      <c r="AG162" s="1054"/>
      <c r="AH162" s="1054"/>
      <c r="AI162" s="1054"/>
      <c r="AJ162" s="1055"/>
    </row>
    <row r="163" spans="1:36" ht="13.5" customHeight="1" x14ac:dyDescent="0.4">
      <c r="A163" s="1053"/>
      <c r="B163" s="1054"/>
      <c r="C163" s="1054"/>
      <c r="D163" s="1054"/>
      <c r="E163" s="1054"/>
      <c r="F163" s="1054"/>
      <c r="G163" s="1054"/>
      <c r="H163" s="1054"/>
      <c r="I163" s="1054"/>
      <c r="J163" s="1054"/>
      <c r="K163" s="1054"/>
      <c r="L163" s="1054"/>
      <c r="M163" s="1054"/>
      <c r="N163" s="1054"/>
      <c r="O163" s="1054"/>
      <c r="P163" s="1054"/>
      <c r="Q163" s="1054"/>
      <c r="R163" s="1054"/>
      <c r="S163" s="1054"/>
      <c r="T163" s="1054"/>
      <c r="U163" s="1054"/>
      <c r="V163" s="1054"/>
      <c r="W163" s="1054"/>
      <c r="X163" s="1054"/>
      <c r="Y163" s="1054"/>
      <c r="Z163" s="1054"/>
      <c r="AA163" s="1054"/>
      <c r="AB163" s="1054"/>
      <c r="AC163" s="1054"/>
      <c r="AD163" s="1054"/>
      <c r="AE163" s="1054"/>
      <c r="AF163" s="1054"/>
      <c r="AG163" s="1054"/>
      <c r="AH163" s="1054"/>
      <c r="AI163" s="1054"/>
      <c r="AJ163" s="1055"/>
    </row>
    <row r="164" spans="1:36" ht="13.5" customHeight="1" x14ac:dyDescent="0.4">
      <c r="A164" s="1053"/>
      <c r="B164" s="1054"/>
      <c r="C164" s="1054"/>
      <c r="D164" s="1054"/>
      <c r="E164" s="1054"/>
      <c r="F164" s="1054"/>
      <c r="G164" s="1054"/>
      <c r="H164" s="1054"/>
      <c r="I164" s="1054"/>
      <c r="J164" s="1054"/>
      <c r="K164" s="1054"/>
      <c r="L164" s="1054"/>
      <c r="M164" s="1054"/>
      <c r="N164" s="1054"/>
      <c r="O164" s="1054"/>
      <c r="P164" s="1054"/>
      <c r="Q164" s="1054"/>
      <c r="R164" s="1054"/>
      <c r="S164" s="1054"/>
      <c r="T164" s="1054"/>
      <c r="U164" s="1054"/>
      <c r="V164" s="1054"/>
      <c r="W164" s="1054"/>
      <c r="X164" s="1054"/>
      <c r="Y164" s="1054"/>
      <c r="Z164" s="1054"/>
      <c r="AA164" s="1054"/>
      <c r="AB164" s="1054"/>
      <c r="AC164" s="1054"/>
      <c r="AD164" s="1054"/>
      <c r="AE164" s="1054"/>
      <c r="AF164" s="1054"/>
      <c r="AG164" s="1054"/>
      <c r="AH164" s="1054"/>
      <c r="AI164" s="1054"/>
      <c r="AJ164" s="1055"/>
    </row>
    <row r="165" spans="1:36" ht="13.5" customHeight="1" x14ac:dyDescent="0.4">
      <c r="A165" s="1105"/>
      <c r="B165" s="1106"/>
      <c r="C165" s="1106"/>
      <c r="D165" s="1106"/>
      <c r="E165" s="1106"/>
      <c r="F165" s="1106"/>
      <c r="G165" s="1106"/>
      <c r="H165" s="1106"/>
      <c r="I165" s="1106"/>
      <c r="J165" s="1106"/>
      <c r="K165" s="1106"/>
      <c r="L165" s="1106"/>
      <c r="M165" s="1106"/>
      <c r="N165" s="1106"/>
      <c r="O165" s="1106"/>
      <c r="P165" s="1106"/>
      <c r="Q165" s="1106"/>
      <c r="R165" s="1106"/>
      <c r="S165" s="1106"/>
      <c r="T165" s="1106"/>
      <c r="U165" s="1106"/>
      <c r="V165" s="1106"/>
      <c r="W165" s="1106"/>
      <c r="X165" s="1106"/>
      <c r="Y165" s="1106"/>
      <c r="Z165" s="1106"/>
      <c r="AA165" s="1106"/>
      <c r="AB165" s="1106"/>
      <c r="AC165" s="1106"/>
      <c r="AD165" s="1106"/>
      <c r="AE165" s="1106"/>
      <c r="AF165" s="1106"/>
      <c r="AG165" s="1106"/>
      <c r="AH165" s="1106"/>
      <c r="AI165" s="1106"/>
      <c r="AJ165" s="1107"/>
    </row>
    <row r="166" spans="1:36" ht="13.5" customHeight="1" x14ac:dyDescent="0.4">
      <c r="A166" s="179"/>
      <c r="B166" s="179"/>
      <c r="C166" s="179"/>
      <c r="D166" s="179"/>
      <c r="E166" s="179"/>
      <c r="F166" s="177"/>
      <c r="G166" s="177"/>
      <c r="H166" s="177"/>
      <c r="I166" s="177"/>
      <c r="J166" s="177"/>
      <c r="K166" s="177"/>
      <c r="L166" s="177"/>
      <c r="X166" s="1104" t="s">
        <v>62</v>
      </c>
      <c r="Y166" s="1104"/>
      <c r="Z166" s="1104"/>
      <c r="AA166" s="1104"/>
      <c r="AB166" s="1104"/>
      <c r="AC166" s="1104"/>
      <c r="AD166" s="1104"/>
      <c r="AE166" s="1104"/>
      <c r="AF166" s="1104"/>
      <c r="AG166" s="1104"/>
      <c r="AH166" s="1104"/>
      <c r="AI166" s="1104"/>
      <c r="AJ166" s="1104"/>
    </row>
    <row r="167" spans="1:36" ht="13.5" customHeight="1" x14ac:dyDescent="0.4">
      <c r="A167" s="1140" t="s">
        <v>874</v>
      </c>
      <c r="B167" s="1140"/>
      <c r="C167" s="1140"/>
      <c r="D167" s="1140"/>
      <c r="E167" s="1140"/>
      <c r="F167" s="1140"/>
      <c r="G167" s="1140"/>
      <c r="H167" s="1140"/>
      <c r="I167" s="1140"/>
      <c r="J167" s="1140"/>
      <c r="K167" s="1140"/>
      <c r="L167" s="1140"/>
      <c r="M167" s="1140"/>
      <c r="N167" s="1140"/>
      <c r="O167" s="1140"/>
      <c r="P167" s="1140"/>
      <c r="Q167" s="1140"/>
      <c r="R167" s="1140"/>
      <c r="S167" s="1140"/>
      <c r="T167" s="1140"/>
    </row>
    <row r="168" spans="1:36" ht="13.5" customHeight="1" x14ac:dyDescent="0.4">
      <c r="A168" s="1140"/>
      <c r="B168" s="1140"/>
      <c r="C168" s="1140"/>
      <c r="D168" s="1140"/>
      <c r="E168" s="1140"/>
      <c r="F168" s="1140"/>
      <c r="G168" s="1140"/>
      <c r="H168" s="1140"/>
      <c r="I168" s="1140"/>
      <c r="J168" s="1140"/>
      <c r="K168" s="1140"/>
      <c r="L168" s="1140"/>
      <c r="M168" s="1140"/>
      <c r="N168" s="1140"/>
      <c r="O168" s="1140"/>
      <c r="P168" s="1140"/>
      <c r="Q168" s="1140"/>
      <c r="R168" s="1140"/>
      <c r="S168" s="1140"/>
      <c r="T168" s="1140"/>
    </row>
    <row r="169" spans="1:36" ht="21" customHeight="1" x14ac:dyDescent="0.4">
      <c r="A169" s="1131" t="s">
        <v>875</v>
      </c>
      <c r="B169" s="1132"/>
      <c r="C169" s="1132"/>
      <c r="D169" s="1132"/>
      <c r="E169" s="1132"/>
      <c r="F169" s="1132"/>
      <c r="G169" s="1132"/>
      <c r="H169" s="1132"/>
      <c r="I169" s="1132"/>
      <c r="J169" s="1132"/>
      <c r="K169" s="1132"/>
      <c r="L169" s="1132"/>
      <c r="M169" s="1132"/>
      <c r="N169" s="1132"/>
      <c r="O169" s="1132"/>
      <c r="P169" s="1132"/>
      <c r="Q169" s="1132"/>
      <c r="R169" s="1133"/>
      <c r="S169" s="1131" t="s">
        <v>877</v>
      </c>
      <c r="T169" s="1132"/>
      <c r="U169" s="1132"/>
      <c r="V169" s="1132"/>
      <c r="W169" s="1132"/>
      <c r="X169" s="1132"/>
      <c r="Y169" s="1132"/>
      <c r="Z169" s="1132"/>
      <c r="AA169" s="1132"/>
      <c r="AB169" s="1132"/>
      <c r="AC169" s="1132"/>
      <c r="AD169" s="1132"/>
      <c r="AE169" s="1132"/>
      <c r="AF169" s="1132"/>
      <c r="AG169" s="1132"/>
      <c r="AH169" s="1132"/>
      <c r="AI169" s="1132"/>
      <c r="AJ169" s="1133"/>
    </row>
    <row r="170" spans="1:36" ht="10.5" customHeight="1" x14ac:dyDescent="0.4">
      <c r="A170" s="1056" t="s">
        <v>876</v>
      </c>
      <c r="B170" s="1057"/>
      <c r="C170" s="1057"/>
      <c r="D170" s="1057"/>
      <c r="E170" s="1057"/>
      <c r="F170" s="1057"/>
      <c r="G170" s="1057"/>
      <c r="H170" s="1057"/>
      <c r="I170" s="1057"/>
      <c r="J170" s="1057"/>
      <c r="K170" s="1057"/>
      <c r="L170" s="1057"/>
      <c r="M170" s="1057"/>
      <c r="N170" s="1057"/>
      <c r="O170" s="1057"/>
      <c r="P170" s="1057"/>
      <c r="Q170" s="1057"/>
      <c r="R170" s="1058"/>
      <c r="S170" s="222"/>
      <c r="T170" s="182"/>
      <c r="U170" s="182"/>
      <c r="V170" s="182"/>
      <c r="W170" s="182"/>
      <c r="X170" s="182"/>
      <c r="Y170" s="182"/>
      <c r="Z170" s="182"/>
      <c r="AA170" s="182"/>
      <c r="AB170" s="182"/>
      <c r="AC170" s="182"/>
      <c r="AD170" s="182"/>
      <c r="AE170" s="182"/>
      <c r="AF170" s="182"/>
      <c r="AG170" s="1059" t="s">
        <v>911</v>
      </c>
      <c r="AH170" s="1059"/>
      <c r="AI170" s="1059"/>
      <c r="AJ170" s="1060"/>
    </row>
    <row r="171" spans="1:36" ht="11.25" customHeight="1" x14ac:dyDescent="0.4">
      <c r="A171" s="1064">
        <f>'（最新）アセスメントシート'!B25</f>
        <v>0</v>
      </c>
      <c r="B171" s="1065"/>
      <c r="C171" s="1065"/>
      <c r="D171" s="1065"/>
      <c r="E171" s="1065"/>
      <c r="F171" s="1065"/>
      <c r="G171" s="1065"/>
      <c r="H171" s="1065"/>
      <c r="I171" s="1065"/>
      <c r="J171" s="1065"/>
      <c r="K171" s="1065"/>
      <c r="L171" s="1065"/>
      <c r="M171" s="1065"/>
      <c r="N171" s="1065"/>
      <c r="O171" s="1065"/>
      <c r="P171" s="1065"/>
      <c r="Q171" s="1065"/>
      <c r="R171" s="1066"/>
      <c r="S171" s="240"/>
      <c r="T171" s="216"/>
      <c r="U171" s="216"/>
      <c r="V171" s="1063" t="s">
        <v>914</v>
      </c>
      <c r="W171" s="1063"/>
      <c r="X171" s="216"/>
      <c r="Y171" s="216"/>
      <c r="Z171" s="216"/>
      <c r="AA171" s="216"/>
      <c r="AB171" s="1063" t="s">
        <v>915</v>
      </c>
      <c r="AC171" s="1063"/>
      <c r="AD171" s="216"/>
      <c r="AE171" s="216"/>
      <c r="AF171" s="216"/>
      <c r="AG171" s="1061" t="s">
        <v>912</v>
      </c>
      <c r="AH171" s="1061"/>
      <c r="AI171" s="1061"/>
      <c r="AJ171" s="1062"/>
    </row>
    <row r="172" spans="1:36" ht="11.25" customHeight="1" x14ac:dyDescent="0.4">
      <c r="A172" s="1064"/>
      <c r="B172" s="1065"/>
      <c r="C172" s="1065"/>
      <c r="D172" s="1065"/>
      <c r="E172" s="1065"/>
      <c r="F172" s="1065"/>
      <c r="G172" s="1065"/>
      <c r="H172" s="1065"/>
      <c r="I172" s="1065"/>
      <c r="J172" s="1065"/>
      <c r="K172" s="1065"/>
      <c r="L172" s="1065"/>
      <c r="M172" s="1065"/>
      <c r="N172" s="1065"/>
      <c r="O172" s="1065"/>
      <c r="P172" s="1065"/>
      <c r="Q172" s="1065"/>
      <c r="R172" s="1066"/>
      <c r="S172" s="240"/>
      <c r="T172" s="216"/>
      <c r="U172" s="216"/>
      <c r="V172" s="216"/>
      <c r="W172" s="216"/>
      <c r="X172" s="216"/>
      <c r="Y172" s="216"/>
      <c r="Z172" s="216"/>
      <c r="AA172" s="216"/>
      <c r="AB172" s="216"/>
      <c r="AC172" s="216"/>
      <c r="AD172" s="216"/>
      <c r="AE172" s="216"/>
      <c r="AF172" s="216"/>
      <c r="AG172" s="1061" t="s">
        <v>913</v>
      </c>
      <c r="AH172" s="1061"/>
      <c r="AI172" s="1061"/>
      <c r="AJ172" s="1062"/>
    </row>
    <row r="173" spans="1:36" ht="11.25" customHeight="1" x14ac:dyDescent="0.4">
      <c r="A173" s="1064">
        <f>'（最新）アセスメントシート'!B27</f>
        <v>0</v>
      </c>
      <c r="B173" s="1065"/>
      <c r="C173" s="1065"/>
      <c r="D173" s="1065"/>
      <c r="E173" s="1065"/>
      <c r="F173" s="1065"/>
      <c r="G173" s="1065"/>
      <c r="H173" s="1065"/>
      <c r="I173" s="1065"/>
      <c r="J173" s="1065"/>
      <c r="K173" s="1065"/>
      <c r="L173" s="1065"/>
      <c r="M173" s="1065"/>
      <c r="N173" s="1065"/>
      <c r="O173" s="1065"/>
      <c r="P173" s="1065"/>
      <c r="Q173" s="1065"/>
      <c r="R173" s="1066"/>
      <c r="S173" s="240"/>
      <c r="T173" s="216"/>
      <c r="U173" s="216"/>
      <c r="V173" s="216"/>
      <c r="W173" s="216"/>
      <c r="X173" s="216"/>
      <c r="Y173" s="216"/>
      <c r="Z173" s="216"/>
      <c r="AA173" s="216"/>
      <c r="AB173" s="216"/>
      <c r="AC173" s="216"/>
      <c r="AD173" s="216"/>
      <c r="AE173" s="216"/>
      <c r="AF173" s="216"/>
      <c r="AG173" s="216"/>
      <c r="AH173" s="216"/>
      <c r="AI173" s="216"/>
      <c r="AJ173" s="238"/>
    </row>
    <row r="174" spans="1:36" ht="11.25" customHeight="1" x14ac:dyDescent="0.4">
      <c r="A174" s="1064"/>
      <c r="B174" s="1065"/>
      <c r="C174" s="1065"/>
      <c r="D174" s="1065"/>
      <c r="E174" s="1065"/>
      <c r="F174" s="1065"/>
      <c r="G174" s="1065"/>
      <c r="H174" s="1065"/>
      <c r="I174" s="1065"/>
      <c r="J174" s="1065"/>
      <c r="K174" s="1065"/>
      <c r="L174" s="1065"/>
      <c r="M174" s="1065"/>
      <c r="N174" s="1065"/>
      <c r="O174" s="1065"/>
      <c r="P174" s="1065"/>
      <c r="Q174" s="1065"/>
      <c r="R174" s="1066"/>
      <c r="S174" s="240"/>
      <c r="T174" s="216"/>
      <c r="U174" s="216"/>
      <c r="V174" s="216"/>
      <c r="W174" s="216"/>
      <c r="X174" s="216"/>
      <c r="Y174" s="216"/>
      <c r="Z174" s="216"/>
      <c r="AA174" s="216"/>
      <c r="AB174" s="216"/>
      <c r="AC174" s="216"/>
      <c r="AD174" s="216"/>
      <c r="AE174" s="216"/>
      <c r="AF174" s="216"/>
      <c r="AG174" s="216"/>
      <c r="AH174" s="216"/>
      <c r="AI174" s="216"/>
      <c r="AJ174" s="238"/>
    </row>
    <row r="175" spans="1:36" ht="11.25" customHeight="1" x14ac:dyDescent="0.4">
      <c r="A175" s="1064">
        <f>'（最新）アセスメントシート'!B29</f>
        <v>0</v>
      </c>
      <c r="B175" s="1065"/>
      <c r="C175" s="1065"/>
      <c r="D175" s="1065"/>
      <c r="E175" s="1065"/>
      <c r="F175" s="1065"/>
      <c r="G175" s="1065"/>
      <c r="H175" s="1065"/>
      <c r="I175" s="1065"/>
      <c r="J175" s="1065"/>
      <c r="K175" s="1065"/>
      <c r="L175" s="1065"/>
      <c r="M175" s="1065"/>
      <c r="N175" s="1065"/>
      <c r="O175" s="1065"/>
      <c r="P175" s="1065"/>
      <c r="Q175" s="1065"/>
      <c r="R175" s="1066"/>
      <c r="S175" s="240"/>
      <c r="T175" s="216"/>
      <c r="U175" s="216"/>
      <c r="V175" s="216"/>
      <c r="W175" s="216"/>
      <c r="X175" s="216"/>
      <c r="Y175" s="216"/>
      <c r="Z175" s="216"/>
      <c r="AA175" s="216"/>
      <c r="AB175" s="216"/>
      <c r="AC175" s="216"/>
      <c r="AD175" s="216"/>
      <c r="AE175" s="216"/>
      <c r="AF175" s="216"/>
      <c r="AG175" s="216"/>
      <c r="AH175" s="216"/>
      <c r="AI175" s="216"/>
      <c r="AJ175" s="238"/>
    </row>
    <row r="176" spans="1:36" ht="11.25" customHeight="1" x14ac:dyDescent="0.4">
      <c r="A176" s="1064"/>
      <c r="B176" s="1065"/>
      <c r="C176" s="1065"/>
      <c r="D176" s="1065"/>
      <c r="E176" s="1065"/>
      <c r="F176" s="1065"/>
      <c r="G176" s="1065"/>
      <c r="H176" s="1065"/>
      <c r="I176" s="1065"/>
      <c r="J176" s="1065"/>
      <c r="K176" s="1065"/>
      <c r="L176" s="1065"/>
      <c r="M176" s="1065"/>
      <c r="N176" s="1065"/>
      <c r="O176" s="1065"/>
      <c r="P176" s="1065"/>
      <c r="Q176" s="1065"/>
      <c r="R176" s="1066"/>
      <c r="S176" s="240"/>
      <c r="T176" s="216"/>
      <c r="U176" s="216"/>
      <c r="V176" s="216"/>
      <c r="W176" s="216"/>
      <c r="X176" s="216"/>
      <c r="Y176" s="216"/>
      <c r="Z176" s="216"/>
      <c r="AA176" s="216"/>
      <c r="AB176" s="216"/>
      <c r="AC176" s="216"/>
      <c r="AD176" s="216"/>
      <c r="AE176" s="216"/>
      <c r="AF176" s="216"/>
      <c r="AG176" s="216"/>
      <c r="AH176" s="216"/>
      <c r="AI176" s="216"/>
      <c r="AJ176" s="238"/>
    </row>
    <row r="177" spans="1:36" ht="11.25" customHeight="1" x14ac:dyDescent="0.4">
      <c r="A177" s="1064">
        <f>'（最新）アセスメントシート'!B31</f>
        <v>0</v>
      </c>
      <c r="B177" s="1065"/>
      <c r="C177" s="1065"/>
      <c r="D177" s="1065"/>
      <c r="E177" s="1065"/>
      <c r="F177" s="1065"/>
      <c r="G177" s="1065"/>
      <c r="H177" s="1065"/>
      <c r="I177" s="1065"/>
      <c r="J177" s="1065"/>
      <c r="K177" s="1065"/>
      <c r="L177" s="1065"/>
      <c r="M177" s="1065"/>
      <c r="N177" s="1065"/>
      <c r="O177" s="1065"/>
      <c r="P177" s="1065"/>
      <c r="Q177" s="1065"/>
      <c r="R177" s="1066"/>
      <c r="S177" s="240"/>
      <c r="T177" s="216"/>
      <c r="U177" s="216"/>
      <c r="V177" s="216"/>
      <c r="W177" s="216"/>
      <c r="X177" s="216"/>
      <c r="Y177" s="216"/>
      <c r="Z177" s="216"/>
      <c r="AA177" s="216"/>
      <c r="AB177" s="216"/>
      <c r="AC177" s="216"/>
      <c r="AD177" s="216"/>
      <c r="AE177" s="216"/>
      <c r="AF177" s="216"/>
      <c r="AG177" s="216"/>
      <c r="AH177" s="216"/>
      <c r="AI177" s="216"/>
      <c r="AJ177" s="238"/>
    </row>
    <row r="178" spans="1:36" ht="11.25" customHeight="1" x14ac:dyDescent="0.4">
      <c r="A178" s="1064"/>
      <c r="B178" s="1065"/>
      <c r="C178" s="1065"/>
      <c r="D178" s="1065"/>
      <c r="E178" s="1065"/>
      <c r="F178" s="1065"/>
      <c r="G178" s="1065"/>
      <c r="H178" s="1065"/>
      <c r="I178" s="1065"/>
      <c r="J178" s="1065"/>
      <c r="K178" s="1065"/>
      <c r="L178" s="1065"/>
      <c r="M178" s="1065"/>
      <c r="N178" s="1065"/>
      <c r="O178" s="1065"/>
      <c r="P178" s="1065"/>
      <c r="Q178" s="1065"/>
      <c r="R178" s="1066"/>
      <c r="S178" s="240"/>
      <c r="T178" s="216"/>
      <c r="U178" s="216"/>
      <c r="V178" s="216"/>
      <c r="W178" s="216"/>
      <c r="X178" s="216"/>
      <c r="Y178" s="216"/>
      <c r="Z178" s="216"/>
      <c r="AA178" s="216"/>
      <c r="AB178" s="216"/>
      <c r="AC178" s="216"/>
      <c r="AD178" s="216"/>
      <c r="AE178" s="216"/>
      <c r="AF178" s="216"/>
      <c r="AG178" s="216"/>
      <c r="AH178" s="216"/>
      <c r="AI178" s="216"/>
      <c r="AJ178" s="238"/>
    </row>
    <row r="179" spans="1:36" ht="11.25" customHeight="1" x14ac:dyDescent="0.4">
      <c r="A179" s="1064">
        <f>'（最新）アセスメントシート'!B33</f>
        <v>0</v>
      </c>
      <c r="B179" s="1065"/>
      <c r="C179" s="1065"/>
      <c r="D179" s="1065"/>
      <c r="E179" s="1065"/>
      <c r="F179" s="1065"/>
      <c r="G179" s="1065"/>
      <c r="H179" s="1065"/>
      <c r="I179" s="1065"/>
      <c r="J179" s="1065"/>
      <c r="K179" s="1065"/>
      <c r="L179" s="1065"/>
      <c r="M179" s="1065"/>
      <c r="N179" s="1065"/>
      <c r="O179" s="1065"/>
      <c r="P179" s="1065"/>
      <c r="Q179" s="1065"/>
      <c r="R179" s="1066"/>
      <c r="S179" s="240"/>
      <c r="T179" s="216"/>
      <c r="U179" s="216"/>
      <c r="V179" s="216"/>
      <c r="W179" s="216"/>
      <c r="X179" s="216"/>
      <c r="Y179" s="216"/>
      <c r="Z179" s="216"/>
      <c r="AA179" s="216"/>
      <c r="AB179" s="216"/>
      <c r="AC179" s="216"/>
      <c r="AD179" s="216"/>
      <c r="AE179" s="216"/>
      <c r="AF179" s="216"/>
      <c r="AG179" s="216"/>
      <c r="AH179" s="216"/>
      <c r="AI179" s="216"/>
      <c r="AJ179" s="238"/>
    </row>
    <row r="180" spans="1:36" ht="11.25" customHeight="1" x14ac:dyDescent="0.4">
      <c r="A180" s="1064"/>
      <c r="B180" s="1065"/>
      <c r="C180" s="1065"/>
      <c r="D180" s="1065"/>
      <c r="E180" s="1065"/>
      <c r="F180" s="1065"/>
      <c r="G180" s="1065"/>
      <c r="H180" s="1065"/>
      <c r="I180" s="1065"/>
      <c r="J180" s="1065"/>
      <c r="K180" s="1065"/>
      <c r="L180" s="1065"/>
      <c r="M180" s="1065"/>
      <c r="N180" s="1065"/>
      <c r="O180" s="1065"/>
      <c r="P180" s="1065"/>
      <c r="Q180" s="1065"/>
      <c r="R180" s="1066"/>
      <c r="S180" s="240"/>
      <c r="T180" s="216"/>
      <c r="U180" s="216"/>
      <c r="V180" s="216"/>
      <c r="W180" s="216"/>
      <c r="X180" s="216"/>
      <c r="Y180" s="216"/>
      <c r="Z180" s="216"/>
      <c r="AA180" s="216"/>
      <c r="AB180" s="216"/>
      <c r="AC180" s="216"/>
      <c r="AD180" s="216"/>
      <c r="AE180" s="216"/>
      <c r="AF180" s="216"/>
      <c r="AG180" s="216"/>
      <c r="AH180" s="216"/>
      <c r="AI180" s="216"/>
      <c r="AJ180" s="238"/>
    </row>
    <row r="181" spans="1:36" ht="11.25" customHeight="1" x14ac:dyDescent="0.4">
      <c r="A181" s="1064">
        <f>'（最新）アセスメントシート'!B35</f>
        <v>0</v>
      </c>
      <c r="B181" s="1065"/>
      <c r="C181" s="1065"/>
      <c r="D181" s="1065"/>
      <c r="E181" s="1065"/>
      <c r="F181" s="1065"/>
      <c r="G181" s="1065"/>
      <c r="H181" s="1065"/>
      <c r="I181" s="1065"/>
      <c r="J181" s="1065"/>
      <c r="K181" s="1065"/>
      <c r="L181" s="1065"/>
      <c r="M181" s="1065"/>
      <c r="N181" s="1065"/>
      <c r="O181" s="1065"/>
      <c r="P181" s="1065"/>
      <c r="Q181" s="1065"/>
      <c r="R181" s="1066"/>
      <c r="S181" s="240"/>
      <c r="T181" s="216"/>
      <c r="U181" s="216"/>
      <c r="V181" s="216"/>
      <c r="W181" s="216"/>
      <c r="X181" s="216"/>
      <c r="Y181" s="216"/>
      <c r="Z181" s="216"/>
      <c r="AA181" s="216"/>
      <c r="AB181" s="216"/>
      <c r="AC181" s="216"/>
      <c r="AD181" s="216"/>
      <c r="AE181" s="216"/>
      <c r="AF181" s="216"/>
      <c r="AG181" s="216"/>
      <c r="AH181" s="216"/>
      <c r="AI181" s="216"/>
      <c r="AJ181" s="238"/>
    </row>
    <row r="182" spans="1:36" ht="11.25" customHeight="1" x14ac:dyDescent="0.4">
      <c r="A182" s="1067"/>
      <c r="B182" s="1068"/>
      <c r="C182" s="1068"/>
      <c r="D182" s="1068"/>
      <c r="E182" s="1068"/>
      <c r="F182" s="1068"/>
      <c r="G182" s="1068"/>
      <c r="H182" s="1068"/>
      <c r="I182" s="1068"/>
      <c r="J182" s="1068"/>
      <c r="K182" s="1068"/>
      <c r="L182" s="1068"/>
      <c r="M182" s="1068"/>
      <c r="N182" s="1068"/>
      <c r="O182" s="1068"/>
      <c r="P182" s="1068"/>
      <c r="Q182" s="1068"/>
      <c r="R182" s="1069"/>
      <c r="S182" s="240"/>
      <c r="T182" s="216"/>
      <c r="U182" s="216"/>
      <c r="V182" s="216"/>
      <c r="W182" s="216"/>
      <c r="X182" s="216"/>
      <c r="Y182" s="216"/>
      <c r="Z182" s="216"/>
      <c r="AA182" s="216"/>
      <c r="AB182" s="216"/>
      <c r="AC182" s="216"/>
      <c r="AD182" s="216"/>
      <c r="AE182" s="216"/>
      <c r="AF182" s="216"/>
      <c r="AG182" s="216"/>
      <c r="AH182" s="216"/>
      <c r="AI182" s="216"/>
      <c r="AJ182" s="238"/>
    </row>
    <row r="183" spans="1:36" ht="10.5" customHeight="1" x14ac:dyDescent="0.4">
      <c r="A183" s="1086" t="s">
        <v>878</v>
      </c>
      <c r="B183" s="1087"/>
      <c r="C183" s="1087"/>
      <c r="D183" s="1134"/>
      <c r="E183" s="1072">
        <f>'（最新）アセスメントシート'!I65</f>
        <v>0</v>
      </c>
      <c r="F183" s="1072"/>
      <c r="G183" s="1072"/>
      <c r="H183" s="1072"/>
      <c r="I183" s="1072" t="s">
        <v>881</v>
      </c>
      <c r="J183" s="1072"/>
      <c r="K183" s="1086" t="s">
        <v>880</v>
      </c>
      <c r="L183" s="1087"/>
      <c r="M183" s="1134"/>
      <c r="N183" s="1072">
        <f>'（最新）アセスメントシート'!I66</f>
        <v>0</v>
      </c>
      <c r="O183" s="1072"/>
      <c r="P183" s="1072"/>
      <c r="Q183" s="1072" t="s">
        <v>879</v>
      </c>
      <c r="R183" s="1136"/>
      <c r="S183" s="240"/>
      <c r="T183" s="216"/>
      <c r="U183" s="216"/>
      <c r="V183" s="216"/>
      <c r="W183" s="216"/>
      <c r="X183" s="216"/>
      <c r="Y183" s="216"/>
      <c r="Z183" s="216"/>
      <c r="AA183" s="216"/>
      <c r="AB183" s="216"/>
      <c r="AC183" s="216"/>
      <c r="AD183" s="216"/>
      <c r="AE183" s="216"/>
      <c r="AF183" s="216"/>
      <c r="AG183" s="216"/>
      <c r="AH183" s="216"/>
      <c r="AI183" s="216"/>
      <c r="AJ183" s="238"/>
    </row>
    <row r="184" spans="1:36" ht="10.5" customHeight="1" x14ac:dyDescent="0.4">
      <c r="A184" s="1088"/>
      <c r="B184" s="1089"/>
      <c r="C184" s="1089"/>
      <c r="D184" s="1135"/>
      <c r="E184" s="1130"/>
      <c r="F184" s="1130"/>
      <c r="G184" s="1130"/>
      <c r="H184" s="1130"/>
      <c r="I184" s="1130"/>
      <c r="J184" s="1130"/>
      <c r="K184" s="1088"/>
      <c r="L184" s="1089"/>
      <c r="M184" s="1135"/>
      <c r="N184" s="1130"/>
      <c r="O184" s="1130"/>
      <c r="P184" s="1130"/>
      <c r="Q184" s="1130"/>
      <c r="R184" s="1137"/>
      <c r="S184" s="240"/>
      <c r="T184" s="216"/>
      <c r="U184" s="216"/>
      <c r="V184" s="216"/>
      <c r="W184" s="216"/>
      <c r="X184" s="216"/>
      <c r="Y184" s="216"/>
      <c r="Z184" s="216"/>
      <c r="AA184" s="216"/>
      <c r="AB184" s="216"/>
      <c r="AC184" s="216"/>
      <c r="AD184" s="216"/>
      <c r="AE184" s="216"/>
      <c r="AF184" s="216"/>
      <c r="AG184" s="216"/>
      <c r="AH184" s="216"/>
      <c r="AI184" s="216"/>
      <c r="AJ184" s="238"/>
    </row>
    <row r="185" spans="1:36" ht="11.25" customHeight="1" x14ac:dyDescent="0.4">
      <c r="A185" s="1086" t="s">
        <v>882</v>
      </c>
      <c r="B185" s="1087"/>
      <c r="C185" s="1087"/>
      <c r="D185" s="1134"/>
      <c r="E185" s="1070" t="s">
        <v>917</v>
      </c>
      <c r="F185" s="1071"/>
      <c r="G185" s="224">
        <f>'（最新）アセスメントシート'!I90</f>
        <v>0</v>
      </c>
      <c r="H185" s="224"/>
      <c r="I185" s="1071" t="s">
        <v>918</v>
      </c>
      <c r="J185" s="1071"/>
      <c r="K185" s="224">
        <f>'（最新）アセスメントシート'!I90</f>
        <v>0</v>
      </c>
      <c r="L185" s="1072">
        <f>'（最新）アセスメントシート'!L91</f>
        <v>0</v>
      </c>
      <c r="M185" s="1072"/>
      <c r="N185" s="1072"/>
      <c r="O185" s="224"/>
      <c r="P185" s="224"/>
      <c r="Q185" s="224"/>
      <c r="R185" s="241"/>
      <c r="S185" s="240"/>
      <c r="T185" s="216"/>
      <c r="U185" s="216"/>
      <c r="V185" s="216"/>
      <c r="W185" s="216"/>
      <c r="X185" s="216"/>
      <c r="Y185" s="216"/>
      <c r="Z185" s="216"/>
      <c r="AA185" s="216"/>
      <c r="AB185" s="216"/>
      <c r="AC185" s="216"/>
      <c r="AD185" s="216"/>
      <c r="AE185" s="216"/>
      <c r="AF185" s="216"/>
      <c r="AG185" s="216"/>
      <c r="AH185" s="216"/>
      <c r="AI185" s="216"/>
      <c r="AJ185" s="238"/>
    </row>
    <row r="186" spans="1:36" ht="11.25" customHeight="1" x14ac:dyDescent="0.4">
      <c r="A186" s="1138"/>
      <c r="B186" s="1090"/>
      <c r="C186" s="1090"/>
      <c r="D186" s="1139"/>
      <c r="E186" s="216"/>
      <c r="F186" s="216"/>
      <c r="G186" s="216"/>
      <c r="H186" s="1068" t="s">
        <v>919</v>
      </c>
      <c r="I186" s="1068"/>
      <c r="J186" s="1068"/>
      <c r="K186" s="1068"/>
      <c r="L186" s="1068"/>
      <c r="M186" s="1068"/>
      <c r="N186" s="1068"/>
      <c r="O186" s="1068"/>
      <c r="P186" s="1068"/>
      <c r="Q186" s="1068"/>
      <c r="R186" s="1069"/>
      <c r="S186" s="291"/>
      <c r="T186" s="231"/>
      <c r="U186" s="231"/>
      <c r="V186" s="231"/>
      <c r="W186" s="231"/>
      <c r="X186" s="231"/>
      <c r="Y186" s="231"/>
      <c r="Z186" s="231"/>
      <c r="AA186" s="231"/>
      <c r="AB186" s="231"/>
      <c r="AC186" s="231"/>
      <c r="AD186" s="231"/>
      <c r="AE186" s="231"/>
      <c r="AF186" s="231"/>
      <c r="AG186" s="231"/>
      <c r="AH186" s="231"/>
      <c r="AI186" s="231"/>
      <c r="AJ186" s="236"/>
    </row>
    <row r="187" spans="1:36" ht="13.5" customHeight="1" x14ac:dyDescent="0.4">
      <c r="A187" s="425" t="s">
        <v>908</v>
      </c>
      <c r="B187" s="426"/>
      <c r="C187" s="426"/>
      <c r="D187" s="426"/>
      <c r="E187" s="426"/>
      <c r="F187" s="426"/>
      <c r="G187" s="426"/>
      <c r="H187" s="426"/>
      <c r="I187" s="426"/>
      <c r="J187" s="426"/>
      <c r="K187" s="426"/>
      <c r="L187" s="426"/>
      <c r="M187" s="426"/>
      <c r="N187" s="426"/>
      <c r="O187" s="426"/>
      <c r="P187" s="426"/>
      <c r="Q187" s="426"/>
      <c r="R187" s="426"/>
      <c r="S187" s="426"/>
      <c r="T187" s="426"/>
      <c r="U187" s="426"/>
      <c r="V187" s="426"/>
      <c r="W187" s="426"/>
      <c r="X187" s="426"/>
      <c r="Y187" s="426"/>
      <c r="Z187" s="426"/>
      <c r="AA187" s="426"/>
      <c r="AB187" s="426"/>
      <c r="AC187" s="426"/>
      <c r="AD187" s="426"/>
      <c r="AE187" s="426"/>
      <c r="AF187" s="426"/>
      <c r="AG187" s="426"/>
      <c r="AH187" s="426"/>
      <c r="AI187" s="426"/>
      <c r="AJ187" s="1046"/>
    </row>
    <row r="188" spans="1:36" ht="13.5" customHeight="1" x14ac:dyDescent="0.4">
      <c r="A188" s="1053"/>
      <c r="B188" s="1054"/>
      <c r="C188" s="1054"/>
      <c r="D188" s="1054"/>
      <c r="E188" s="1054"/>
      <c r="F188" s="1054"/>
      <c r="G188" s="1054"/>
      <c r="H188" s="1054"/>
      <c r="I188" s="1054"/>
      <c r="J188" s="1054"/>
      <c r="K188" s="1054"/>
      <c r="L188" s="1054"/>
      <c r="M188" s="1054"/>
      <c r="N188" s="1054"/>
      <c r="O188" s="1054"/>
      <c r="P188" s="1054"/>
      <c r="Q188" s="1054"/>
      <c r="R188" s="1054"/>
      <c r="S188" s="1054"/>
      <c r="T188" s="1054"/>
      <c r="U188" s="1054"/>
      <c r="V188" s="1054"/>
      <c r="W188" s="1054"/>
      <c r="X188" s="1054"/>
      <c r="Y188" s="1054"/>
      <c r="Z188" s="1054"/>
      <c r="AA188" s="1054"/>
      <c r="AB188" s="1054"/>
      <c r="AC188" s="1054"/>
      <c r="AD188" s="1054"/>
      <c r="AE188" s="1054"/>
      <c r="AF188" s="1054"/>
      <c r="AG188" s="1054"/>
      <c r="AH188" s="1054"/>
      <c r="AI188" s="1054"/>
      <c r="AJ188" s="1055"/>
    </row>
    <row r="189" spans="1:36" ht="13.5" customHeight="1" x14ac:dyDescent="0.4">
      <c r="A189" s="1053"/>
      <c r="B189" s="1054"/>
      <c r="C189" s="1054"/>
      <c r="D189" s="1054"/>
      <c r="E189" s="1054"/>
      <c r="F189" s="1054"/>
      <c r="G189" s="1054"/>
      <c r="H189" s="1054"/>
      <c r="I189" s="1054"/>
      <c r="J189" s="1054"/>
      <c r="K189" s="1054"/>
      <c r="L189" s="1054"/>
      <c r="M189" s="1054"/>
      <c r="N189" s="1054"/>
      <c r="O189" s="1054"/>
      <c r="P189" s="1054"/>
      <c r="Q189" s="1054"/>
      <c r="R189" s="1054"/>
      <c r="S189" s="1054"/>
      <c r="T189" s="1054"/>
      <c r="U189" s="1054"/>
      <c r="V189" s="1054"/>
      <c r="W189" s="1054"/>
      <c r="X189" s="1054"/>
      <c r="Y189" s="1054"/>
      <c r="Z189" s="1054"/>
      <c r="AA189" s="1054"/>
      <c r="AB189" s="1054"/>
      <c r="AC189" s="1054"/>
      <c r="AD189" s="1054"/>
      <c r="AE189" s="1054"/>
      <c r="AF189" s="1054"/>
      <c r="AG189" s="1054"/>
      <c r="AH189" s="1054"/>
      <c r="AI189" s="1054"/>
      <c r="AJ189" s="1055"/>
    </row>
    <row r="190" spans="1:36" ht="13.5" customHeight="1" x14ac:dyDescent="0.4">
      <c r="A190" s="1053"/>
      <c r="B190" s="1054"/>
      <c r="C190" s="1054"/>
      <c r="D190" s="1054"/>
      <c r="E190" s="1054"/>
      <c r="F190" s="1054"/>
      <c r="G190" s="1054"/>
      <c r="H190" s="1054"/>
      <c r="I190" s="1054"/>
      <c r="J190" s="1054"/>
      <c r="K190" s="1054"/>
      <c r="L190" s="1054"/>
      <c r="M190" s="1054"/>
      <c r="N190" s="1054"/>
      <c r="O190" s="1054"/>
      <c r="P190" s="1054"/>
      <c r="Q190" s="1054"/>
      <c r="R190" s="1054"/>
      <c r="S190" s="1054"/>
      <c r="T190" s="1054"/>
      <c r="U190" s="1054"/>
      <c r="V190" s="1054"/>
      <c r="W190" s="1054"/>
      <c r="X190" s="1054"/>
      <c r="Y190" s="1054"/>
      <c r="Z190" s="1054"/>
      <c r="AA190" s="1054"/>
      <c r="AB190" s="1054"/>
      <c r="AC190" s="1054"/>
      <c r="AD190" s="1054"/>
      <c r="AE190" s="1054"/>
      <c r="AF190" s="1054"/>
      <c r="AG190" s="1054"/>
      <c r="AH190" s="1054"/>
      <c r="AI190" s="1054"/>
      <c r="AJ190" s="1055"/>
    </row>
    <row r="191" spans="1:36" ht="13.5" customHeight="1" x14ac:dyDescent="0.4">
      <c r="A191" s="1053"/>
      <c r="B191" s="1054"/>
      <c r="C191" s="1054"/>
      <c r="D191" s="1054"/>
      <c r="E191" s="1054"/>
      <c r="F191" s="1054"/>
      <c r="G191" s="1054"/>
      <c r="H191" s="1054"/>
      <c r="I191" s="1054"/>
      <c r="J191" s="1054"/>
      <c r="K191" s="1054"/>
      <c r="L191" s="1054"/>
      <c r="M191" s="1054"/>
      <c r="N191" s="1054"/>
      <c r="O191" s="1054"/>
      <c r="P191" s="1054"/>
      <c r="Q191" s="1054"/>
      <c r="R191" s="1054"/>
      <c r="S191" s="1054"/>
      <c r="T191" s="1054"/>
      <c r="U191" s="1054"/>
      <c r="V191" s="1054"/>
      <c r="W191" s="1054"/>
      <c r="X191" s="1054"/>
      <c r="Y191" s="1054"/>
      <c r="Z191" s="1054"/>
      <c r="AA191" s="1054"/>
      <c r="AB191" s="1054"/>
      <c r="AC191" s="1054"/>
      <c r="AD191" s="1054"/>
      <c r="AE191" s="1054"/>
      <c r="AF191" s="1054"/>
      <c r="AG191" s="1054"/>
      <c r="AH191" s="1054"/>
      <c r="AI191" s="1054"/>
      <c r="AJ191" s="1055"/>
    </row>
    <row r="192" spans="1:36" ht="13.5" customHeight="1" x14ac:dyDescent="0.4">
      <c r="A192" s="1053"/>
      <c r="B192" s="1054"/>
      <c r="C192" s="1054"/>
      <c r="D192" s="1054"/>
      <c r="E192" s="1054"/>
      <c r="F192" s="1054"/>
      <c r="G192" s="1054"/>
      <c r="H192" s="1054"/>
      <c r="I192" s="1054"/>
      <c r="J192" s="1054"/>
      <c r="K192" s="1054"/>
      <c r="L192" s="1054"/>
      <c r="M192" s="1054"/>
      <c r="N192" s="1054"/>
      <c r="O192" s="1054"/>
      <c r="P192" s="1054"/>
      <c r="Q192" s="1054"/>
      <c r="R192" s="1054"/>
      <c r="S192" s="1054"/>
      <c r="T192" s="1054"/>
      <c r="U192" s="1054"/>
      <c r="V192" s="1054"/>
      <c r="W192" s="1054"/>
      <c r="X192" s="1054"/>
      <c r="Y192" s="1054"/>
      <c r="Z192" s="1054"/>
      <c r="AA192" s="1054"/>
      <c r="AB192" s="1054"/>
      <c r="AC192" s="1054"/>
      <c r="AD192" s="1054"/>
      <c r="AE192" s="1054"/>
      <c r="AF192" s="1054"/>
      <c r="AG192" s="1054"/>
      <c r="AH192" s="1054"/>
      <c r="AI192" s="1054"/>
      <c r="AJ192" s="1055"/>
    </row>
    <row r="193" spans="1:36" ht="13.5" customHeight="1" x14ac:dyDescent="0.4">
      <c r="A193" s="1053"/>
      <c r="B193" s="1054"/>
      <c r="C193" s="1054"/>
      <c r="D193" s="1054"/>
      <c r="E193" s="1054"/>
      <c r="F193" s="1054"/>
      <c r="G193" s="1054"/>
      <c r="H193" s="1054"/>
      <c r="I193" s="1054"/>
      <c r="J193" s="1054"/>
      <c r="K193" s="1054"/>
      <c r="L193" s="1054"/>
      <c r="M193" s="1054"/>
      <c r="N193" s="1054"/>
      <c r="O193" s="1054"/>
      <c r="P193" s="1054"/>
      <c r="Q193" s="1054"/>
      <c r="R193" s="1054"/>
      <c r="S193" s="1054"/>
      <c r="T193" s="1054"/>
      <c r="U193" s="1054"/>
      <c r="V193" s="1054"/>
      <c r="W193" s="1054"/>
      <c r="X193" s="1054"/>
      <c r="Y193" s="1054"/>
      <c r="Z193" s="1054"/>
      <c r="AA193" s="1054"/>
      <c r="AB193" s="1054"/>
      <c r="AC193" s="1054"/>
      <c r="AD193" s="1054"/>
      <c r="AE193" s="1054"/>
      <c r="AF193" s="1054"/>
      <c r="AG193" s="1054"/>
      <c r="AH193" s="1054"/>
      <c r="AI193" s="1054"/>
      <c r="AJ193" s="1055"/>
    </row>
    <row r="194" spans="1:36" ht="21.75" customHeight="1" x14ac:dyDescent="0.4">
      <c r="A194" s="1050" t="s">
        <v>910</v>
      </c>
      <c r="B194" s="1051"/>
      <c r="C194" s="1051"/>
      <c r="D194" s="1051"/>
      <c r="E194" s="1051"/>
      <c r="F194" s="1051"/>
      <c r="G194" s="1051"/>
      <c r="H194" s="1051"/>
      <c r="I194" s="1051"/>
      <c r="J194" s="1051"/>
      <c r="K194" s="1051"/>
      <c r="L194" s="1051"/>
      <c r="M194" s="1051"/>
      <c r="N194" s="1051"/>
      <c r="O194" s="1051"/>
      <c r="P194" s="1051"/>
      <c r="Q194" s="1051"/>
      <c r="R194" s="1051"/>
      <c r="S194" s="1051"/>
      <c r="T194" s="1051"/>
      <c r="U194" s="1051"/>
      <c r="V194" s="1051"/>
      <c r="W194" s="1051"/>
      <c r="X194" s="1051"/>
      <c r="Y194" s="1051"/>
      <c r="Z194" s="1051"/>
      <c r="AA194" s="1051"/>
      <c r="AB194" s="1051"/>
      <c r="AC194" s="1051"/>
      <c r="AD194" s="1051"/>
      <c r="AE194" s="1051"/>
      <c r="AF194" s="1051"/>
      <c r="AG194" s="1051"/>
      <c r="AH194" s="1051"/>
      <c r="AI194" s="1051"/>
      <c r="AJ194" s="1052"/>
    </row>
    <row r="195" spans="1:36" ht="13.5" customHeight="1" x14ac:dyDescent="0.4">
      <c r="A195" s="1047" t="s">
        <v>909</v>
      </c>
      <c r="B195" s="1048"/>
      <c r="C195" s="1048"/>
      <c r="D195" s="1048"/>
      <c r="E195" s="1048"/>
      <c r="F195" s="1048"/>
      <c r="G195" s="1048"/>
      <c r="H195" s="1048"/>
      <c r="I195" s="1048"/>
      <c r="J195" s="1048"/>
      <c r="K195" s="1048"/>
      <c r="L195" s="1048"/>
      <c r="M195" s="1048"/>
      <c r="N195" s="1048"/>
      <c r="O195" s="1048"/>
      <c r="P195" s="1048"/>
      <c r="Q195" s="1048"/>
      <c r="R195" s="1048"/>
      <c r="S195" s="1048"/>
      <c r="T195" s="1048"/>
      <c r="U195" s="1048"/>
      <c r="V195" s="1048"/>
      <c r="W195" s="1048"/>
      <c r="X195" s="1048"/>
      <c r="Y195" s="1048"/>
      <c r="Z195" s="1048"/>
      <c r="AA195" s="1048"/>
      <c r="AB195" s="1048"/>
      <c r="AC195" s="1048"/>
      <c r="AD195" s="1048"/>
      <c r="AE195" s="1048"/>
      <c r="AF195" s="1048"/>
      <c r="AG195" s="1048"/>
      <c r="AH195" s="1048"/>
      <c r="AI195" s="1048"/>
      <c r="AJ195" s="1049"/>
    </row>
    <row r="196" spans="1:36" ht="11.25" customHeight="1" x14ac:dyDescent="0.4">
      <c r="A196" s="1086" t="s">
        <v>899</v>
      </c>
      <c r="B196" s="1087"/>
      <c r="C196" s="1087"/>
      <c r="D196" s="1087"/>
      <c r="E196" s="1087"/>
      <c r="F196" s="1087"/>
      <c r="G196" s="1087"/>
      <c r="H196" s="1087"/>
      <c r="I196" s="1073">
        <f>'（最新）アセスメントシート'!B25</f>
        <v>0</v>
      </c>
      <c r="J196" s="1074"/>
      <c r="K196" s="1074"/>
      <c r="L196" s="1074"/>
      <c r="M196" s="1074"/>
      <c r="N196" s="1074"/>
      <c r="O196" s="1075"/>
      <c r="P196" s="1074">
        <f>'（最新）アセスメントシート'!B27</f>
        <v>0</v>
      </c>
      <c r="Q196" s="1074"/>
      <c r="R196" s="1074"/>
      <c r="S196" s="1074"/>
      <c r="T196" s="1074"/>
      <c r="U196" s="1074"/>
      <c r="V196" s="1074"/>
      <c r="W196" s="1074">
        <f>'（最新）アセスメントシート'!B29</f>
        <v>0</v>
      </c>
      <c r="X196" s="1074"/>
      <c r="Y196" s="1074"/>
      <c r="Z196" s="1074"/>
      <c r="AA196" s="1074"/>
      <c r="AB196" s="1074"/>
      <c r="AC196" s="1074"/>
      <c r="AD196" s="1073">
        <f>'（最新）アセスメントシート'!B31</f>
        <v>0</v>
      </c>
      <c r="AE196" s="1074"/>
      <c r="AF196" s="1074"/>
      <c r="AG196" s="1074"/>
      <c r="AH196" s="1074"/>
      <c r="AI196" s="1074"/>
      <c r="AJ196" s="1075"/>
    </row>
    <row r="197" spans="1:36" ht="11.25" customHeight="1" x14ac:dyDescent="0.4">
      <c r="A197" s="1088"/>
      <c r="B197" s="1089"/>
      <c r="C197" s="1089"/>
      <c r="D197" s="1089"/>
      <c r="E197" s="1089"/>
      <c r="F197" s="1089"/>
      <c r="G197" s="1089"/>
      <c r="H197" s="1089"/>
      <c r="I197" s="1076"/>
      <c r="J197" s="1077"/>
      <c r="K197" s="1077"/>
      <c r="L197" s="1077"/>
      <c r="M197" s="1077"/>
      <c r="N197" s="1077"/>
      <c r="O197" s="1078"/>
      <c r="P197" s="1077"/>
      <c r="Q197" s="1077"/>
      <c r="R197" s="1077"/>
      <c r="S197" s="1077"/>
      <c r="T197" s="1077"/>
      <c r="U197" s="1077"/>
      <c r="V197" s="1077"/>
      <c r="W197" s="1077"/>
      <c r="X197" s="1077"/>
      <c r="Y197" s="1077"/>
      <c r="Z197" s="1077"/>
      <c r="AA197" s="1077"/>
      <c r="AB197" s="1077"/>
      <c r="AC197" s="1077"/>
      <c r="AD197" s="1076"/>
      <c r="AE197" s="1077"/>
      <c r="AF197" s="1077"/>
      <c r="AG197" s="1077"/>
      <c r="AH197" s="1077"/>
      <c r="AI197" s="1077"/>
      <c r="AJ197" s="1078"/>
    </row>
    <row r="198" spans="1:36" ht="11.25" customHeight="1" x14ac:dyDescent="0.4">
      <c r="A198" s="1086" t="s">
        <v>898</v>
      </c>
      <c r="B198" s="1087"/>
      <c r="C198" s="1087"/>
      <c r="D198" s="1087"/>
      <c r="E198" s="1087"/>
      <c r="F198" s="1087"/>
      <c r="G198" s="1087"/>
      <c r="H198" s="1087"/>
      <c r="I198" s="1073"/>
      <c r="J198" s="1074"/>
      <c r="K198" s="1074"/>
      <c r="L198" s="1074"/>
      <c r="M198" s="1074"/>
      <c r="N198" s="1074"/>
      <c r="O198" s="1075"/>
      <c r="P198" s="1074"/>
      <c r="Q198" s="1074"/>
      <c r="R198" s="1074"/>
      <c r="S198" s="1074"/>
      <c r="T198" s="1074"/>
      <c r="U198" s="1074"/>
      <c r="V198" s="1074"/>
      <c r="W198" s="1073"/>
      <c r="X198" s="1074"/>
      <c r="Y198" s="1074"/>
      <c r="Z198" s="1074"/>
      <c r="AA198" s="1074"/>
      <c r="AB198" s="1074"/>
      <c r="AC198" s="1074"/>
      <c r="AD198" s="1073"/>
      <c r="AE198" s="1074"/>
      <c r="AF198" s="1074"/>
      <c r="AG198" s="1074"/>
      <c r="AH198" s="1074"/>
      <c r="AI198" s="1074"/>
      <c r="AJ198" s="1075"/>
    </row>
    <row r="199" spans="1:36" ht="11.25" customHeight="1" x14ac:dyDescent="0.4">
      <c r="A199" s="1088"/>
      <c r="B199" s="1089"/>
      <c r="C199" s="1089"/>
      <c r="D199" s="1089"/>
      <c r="E199" s="1089"/>
      <c r="F199" s="1089"/>
      <c r="G199" s="1089"/>
      <c r="H199" s="1089"/>
      <c r="I199" s="1076"/>
      <c r="J199" s="1077"/>
      <c r="K199" s="1077"/>
      <c r="L199" s="1077"/>
      <c r="M199" s="1077"/>
      <c r="N199" s="1077"/>
      <c r="O199" s="1078"/>
      <c r="P199" s="1077"/>
      <c r="Q199" s="1077"/>
      <c r="R199" s="1077"/>
      <c r="S199" s="1077"/>
      <c r="T199" s="1077"/>
      <c r="U199" s="1077"/>
      <c r="V199" s="1077"/>
      <c r="W199" s="1076"/>
      <c r="X199" s="1077"/>
      <c r="Y199" s="1077"/>
      <c r="Z199" s="1077"/>
      <c r="AA199" s="1077"/>
      <c r="AB199" s="1077"/>
      <c r="AC199" s="1077"/>
      <c r="AD199" s="1076"/>
      <c r="AE199" s="1077"/>
      <c r="AF199" s="1077"/>
      <c r="AG199" s="1077"/>
      <c r="AH199" s="1077"/>
      <c r="AI199" s="1077"/>
      <c r="AJ199" s="1078"/>
    </row>
    <row r="200" spans="1:36" ht="11.25" customHeight="1" x14ac:dyDescent="0.4">
      <c r="A200" s="1091" t="s">
        <v>896</v>
      </c>
      <c r="B200" s="1092"/>
      <c r="C200" s="1097" t="s">
        <v>907</v>
      </c>
      <c r="D200" s="1087"/>
      <c r="E200" s="1087"/>
      <c r="F200" s="1087"/>
      <c r="G200" s="1087"/>
      <c r="H200" s="1087"/>
      <c r="I200" s="1080">
        <f>'（最新）アセスメントシート'!N25</f>
        <v>0</v>
      </c>
      <c r="J200" s="1074"/>
      <c r="K200" s="1074"/>
      <c r="L200" s="1074"/>
      <c r="M200" s="1074"/>
      <c r="N200" s="1074"/>
      <c r="O200" s="1074"/>
      <c r="P200" s="1073">
        <f>'（最新）アセスメントシート'!N27</f>
        <v>0</v>
      </c>
      <c r="Q200" s="1074"/>
      <c r="R200" s="1074"/>
      <c r="S200" s="1074"/>
      <c r="T200" s="1074"/>
      <c r="U200" s="1074"/>
      <c r="V200" s="1075"/>
      <c r="W200" s="1074">
        <f>'（最新）アセスメントシート'!N29</f>
        <v>0</v>
      </c>
      <c r="X200" s="1074"/>
      <c r="Y200" s="1074"/>
      <c r="Z200" s="1074"/>
      <c r="AA200" s="1074"/>
      <c r="AB200" s="1074"/>
      <c r="AC200" s="1074"/>
      <c r="AD200" s="1073">
        <f>'（最新）アセスメントシート'!N31</f>
        <v>0</v>
      </c>
      <c r="AE200" s="1074"/>
      <c r="AF200" s="1074"/>
      <c r="AG200" s="1074"/>
      <c r="AH200" s="1074"/>
      <c r="AI200" s="1074"/>
      <c r="AJ200" s="1075"/>
    </row>
    <row r="201" spans="1:36" ht="11.25" customHeight="1" x14ac:dyDescent="0.4">
      <c r="A201" s="1093"/>
      <c r="B201" s="1094"/>
      <c r="C201" s="1088"/>
      <c r="D201" s="1089"/>
      <c r="E201" s="1089"/>
      <c r="F201" s="1089"/>
      <c r="G201" s="1089"/>
      <c r="H201" s="1089"/>
      <c r="I201" s="1076"/>
      <c r="J201" s="1077"/>
      <c r="K201" s="1077"/>
      <c r="L201" s="1077"/>
      <c r="M201" s="1077"/>
      <c r="N201" s="1077"/>
      <c r="O201" s="1077"/>
      <c r="P201" s="1076"/>
      <c r="Q201" s="1077"/>
      <c r="R201" s="1077"/>
      <c r="S201" s="1077"/>
      <c r="T201" s="1077"/>
      <c r="U201" s="1077"/>
      <c r="V201" s="1078"/>
      <c r="W201" s="1077"/>
      <c r="X201" s="1077"/>
      <c r="Y201" s="1077"/>
      <c r="Z201" s="1077"/>
      <c r="AA201" s="1077"/>
      <c r="AB201" s="1077"/>
      <c r="AC201" s="1077"/>
      <c r="AD201" s="1076"/>
      <c r="AE201" s="1077"/>
      <c r="AF201" s="1077"/>
      <c r="AG201" s="1077"/>
      <c r="AH201" s="1077"/>
      <c r="AI201" s="1077"/>
      <c r="AJ201" s="1078"/>
    </row>
    <row r="202" spans="1:36" ht="11.25" customHeight="1" x14ac:dyDescent="0.4">
      <c r="A202" s="1093"/>
      <c r="B202" s="1094"/>
      <c r="C202" s="1090" t="s">
        <v>897</v>
      </c>
      <c r="D202" s="1090"/>
      <c r="E202" s="1090"/>
      <c r="F202" s="1090"/>
      <c r="G202" s="1090"/>
      <c r="H202" s="1090"/>
      <c r="I202" s="286"/>
      <c r="J202" s="1079" t="s">
        <v>902</v>
      </c>
      <c r="K202" s="1079"/>
      <c r="L202" s="204"/>
      <c r="M202" s="287"/>
      <c r="N202" s="204" t="s">
        <v>905</v>
      </c>
      <c r="O202" s="204"/>
      <c r="P202" s="286"/>
      <c r="Q202" s="1079" t="s">
        <v>902</v>
      </c>
      <c r="R202" s="1079"/>
      <c r="S202" s="204"/>
      <c r="T202" s="287"/>
      <c r="U202" s="204" t="s">
        <v>905</v>
      </c>
      <c r="V202" s="237"/>
      <c r="W202" s="204"/>
      <c r="X202" s="1079" t="s">
        <v>902</v>
      </c>
      <c r="Y202" s="1079"/>
      <c r="Z202" s="204"/>
      <c r="AA202" s="287"/>
      <c r="AB202" s="204" t="s">
        <v>905</v>
      </c>
      <c r="AC202" s="204"/>
      <c r="AD202" s="286"/>
      <c r="AE202" s="1079" t="s">
        <v>902</v>
      </c>
      <c r="AF202" s="1079"/>
      <c r="AG202" s="204"/>
      <c r="AH202" s="287"/>
      <c r="AI202" s="204" t="s">
        <v>905</v>
      </c>
      <c r="AJ202" s="237"/>
    </row>
    <row r="203" spans="1:36" ht="11.25" customHeight="1" x14ac:dyDescent="0.4">
      <c r="A203" s="1093"/>
      <c r="B203" s="1094"/>
      <c r="C203" s="1090"/>
      <c r="D203" s="1090"/>
      <c r="E203" s="1090"/>
      <c r="F203" s="1090"/>
      <c r="G203" s="1090"/>
      <c r="H203" s="1090"/>
      <c r="I203" s="286"/>
      <c r="J203" s="1079" t="s">
        <v>906</v>
      </c>
      <c r="K203" s="1079"/>
      <c r="L203" s="1079"/>
      <c r="M203" s="204"/>
      <c r="N203" s="204"/>
      <c r="O203" s="204"/>
      <c r="P203" s="286"/>
      <c r="Q203" s="1079" t="s">
        <v>906</v>
      </c>
      <c r="R203" s="1079"/>
      <c r="S203" s="1079"/>
      <c r="T203" s="204"/>
      <c r="U203" s="204"/>
      <c r="V203" s="237"/>
      <c r="W203" s="204"/>
      <c r="X203" s="1079" t="s">
        <v>906</v>
      </c>
      <c r="Y203" s="1079"/>
      <c r="Z203" s="1079"/>
      <c r="AA203" s="204"/>
      <c r="AB203" s="204"/>
      <c r="AC203" s="204"/>
      <c r="AD203" s="286"/>
      <c r="AE203" s="1079" t="s">
        <v>906</v>
      </c>
      <c r="AF203" s="1079"/>
      <c r="AG203" s="1079"/>
      <c r="AH203" s="204"/>
      <c r="AI203" s="204"/>
      <c r="AJ203" s="237"/>
    </row>
    <row r="204" spans="1:36" ht="11.25" customHeight="1" x14ac:dyDescent="0.4">
      <c r="A204" s="1093"/>
      <c r="B204" s="1094"/>
      <c r="C204" s="1086" t="s">
        <v>896</v>
      </c>
      <c r="D204" s="1087"/>
      <c r="E204" s="1087"/>
      <c r="F204" s="1087"/>
      <c r="G204" s="1087"/>
      <c r="H204" s="1087"/>
      <c r="I204" s="1073"/>
      <c r="J204" s="1074"/>
      <c r="K204" s="1074"/>
      <c r="L204" s="1074"/>
      <c r="M204" s="1074"/>
      <c r="N204" s="1074"/>
      <c r="O204" s="1074"/>
      <c r="P204" s="1073"/>
      <c r="Q204" s="1074"/>
      <c r="R204" s="1074"/>
      <c r="S204" s="1074"/>
      <c r="T204" s="1074"/>
      <c r="U204" s="1074"/>
      <c r="V204" s="1075"/>
      <c r="W204" s="1074"/>
      <c r="X204" s="1074"/>
      <c r="Y204" s="1074"/>
      <c r="Z204" s="1074"/>
      <c r="AA204" s="1074"/>
      <c r="AB204" s="1074"/>
      <c r="AC204" s="1074"/>
      <c r="AD204" s="1073"/>
      <c r="AE204" s="1074"/>
      <c r="AF204" s="1074"/>
      <c r="AG204" s="1074"/>
      <c r="AH204" s="1074"/>
      <c r="AI204" s="1074"/>
      <c r="AJ204" s="1075"/>
    </row>
    <row r="205" spans="1:36" ht="11.25" customHeight="1" x14ac:dyDescent="0.4">
      <c r="A205" s="1095"/>
      <c r="B205" s="1096"/>
      <c r="C205" s="1088"/>
      <c r="D205" s="1089"/>
      <c r="E205" s="1089"/>
      <c r="F205" s="1089"/>
      <c r="G205" s="1089"/>
      <c r="H205" s="1089"/>
      <c r="I205" s="1076"/>
      <c r="J205" s="1077"/>
      <c r="K205" s="1077"/>
      <c r="L205" s="1077"/>
      <c r="M205" s="1077"/>
      <c r="N205" s="1077"/>
      <c r="O205" s="1077"/>
      <c r="P205" s="1076"/>
      <c r="Q205" s="1077"/>
      <c r="R205" s="1077"/>
      <c r="S205" s="1077"/>
      <c r="T205" s="1077"/>
      <c r="U205" s="1077"/>
      <c r="V205" s="1078"/>
      <c r="W205" s="1077"/>
      <c r="X205" s="1077"/>
      <c r="Y205" s="1077"/>
      <c r="Z205" s="1077"/>
      <c r="AA205" s="1077"/>
      <c r="AB205" s="1077"/>
      <c r="AC205" s="1077"/>
      <c r="AD205" s="1076"/>
      <c r="AE205" s="1077"/>
      <c r="AF205" s="1077"/>
      <c r="AG205" s="1077"/>
      <c r="AH205" s="1077"/>
      <c r="AI205" s="1077"/>
      <c r="AJ205" s="1078"/>
    </row>
    <row r="206" spans="1:36" ht="11.25" customHeight="1" x14ac:dyDescent="0.4">
      <c r="A206" s="1091" t="s">
        <v>895</v>
      </c>
      <c r="B206" s="1092"/>
      <c r="C206" s="1090" t="s">
        <v>892</v>
      </c>
      <c r="D206" s="1090"/>
      <c r="E206" s="1090"/>
      <c r="F206" s="1090"/>
      <c r="G206" s="1090"/>
      <c r="H206" s="1090"/>
      <c r="I206" s="1081"/>
      <c r="J206" s="1082"/>
      <c r="K206" s="1082"/>
      <c r="L206" s="1082"/>
      <c r="M206" s="1082"/>
      <c r="N206" s="1082"/>
      <c r="O206" s="1082"/>
      <c r="P206" s="1083"/>
      <c r="Q206" s="1084"/>
      <c r="R206" s="1084"/>
      <c r="S206" s="1084"/>
      <c r="T206" s="1084"/>
      <c r="U206" s="1084"/>
      <c r="V206" s="1085"/>
      <c r="W206" s="1084"/>
      <c r="X206" s="1084"/>
      <c r="Y206" s="1084"/>
      <c r="Z206" s="1084"/>
      <c r="AA206" s="1084"/>
      <c r="AB206" s="1084"/>
      <c r="AC206" s="1084"/>
      <c r="AD206" s="1083"/>
      <c r="AE206" s="1084"/>
      <c r="AF206" s="1084"/>
      <c r="AG206" s="1084"/>
      <c r="AH206" s="1084"/>
      <c r="AI206" s="1084"/>
      <c r="AJ206" s="1085"/>
    </row>
    <row r="207" spans="1:36" ht="11.25" customHeight="1" x14ac:dyDescent="0.4">
      <c r="A207" s="1093"/>
      <c r="B207" s="1094"/>
      <c r="C207" s="1090"/>
      <c r="D207" s="1090"/>
      <c r="E207" s="1090"/>
      <c r="F207" s="1090"/>
      <c r="G207" s="1090"/>
      <c r="H207" s="1090"/>
      <c r="I207" s="1081"/>
      <c r="J207" s="1082"/>
      <c r="K207" s="1082"/>
      <c r="L207" s="1082"/>
      <c r="M207" s="1082"/>
      <c r="N207" s="1082"/>
      <c r="O207" s="1082"/>
      <c r="P207" s="1083"/>
      <c r="Q207" s="1084"/>
      <c r="R207" s="1084"/>
      <c r="S207" s="1084"/>
      <c r="T207" s="1084"/>
      <c r="U207" s="1084"/>
      <c r="V207" s="1085"/>
      <c r="W207" s="1084"/>
      <c r="X207" s="1084"/>
      <c r="Y207" s="1084"/>
      <c r="Z207" s="1084"/>
      <c r="AA207" s="1084"/>
      <c r="AB207" s="1084"/>
      <c r="AC207" s="1084"/>
      <c r="AD207" s="1083"/>
      <c r="AE207" s="1084"/>
      <c r="AF207" s="1084"/>
      <c r="AG207" s="1084"/>
      <c r="AH207" s="1084"/>
      <c r="AI207" s="1084"/>
      <c r="AJ207" s="1085"/>
    </row>
    <row r="208" spans="1:36" ht="11.25" customHeight="1" x14ac:dyDescent="0.4">
      <c r="A208" s="1093"/>
      <c r="B208" s="1094"/>
      <c r="C208" s="1086" t="s">
        <v>893</v>
      </c>
      <c r="D208" s="1087"/>
      <c r="E208" s="1087"/>
      <c r="F208" s="1087"/>
      <c r="G208" s="1087"/>
      <c r="H208" s="1087"/>
      <c r="I208" s="1073"/>
      <c r="J208" s="1074"/>
      <c r="K208" s="1074"/>
      <c r="L208" s="1074"/>
      <c r="M208" s="1074"/>
      <c r="N208" s="1074"/>
      <c r="O208" s="1074"/>
      <c r="P208" s="1073"/>
      <c r="Q208" s="1074"/>
      <c r="R208" s="1074"/>
      <c r="S208" s="1074"/>
      <c r="T208" s="1074"/>
      <c r="U208" s="1074"/>
      <c r="V208" s="1075"/>
      <c r="W208" s="1074"/>
      <c r="X208" s="1074"/>
      <c r="Y208" s="1074"/>
      <c r="Z208" s="1074"/>
      <c r="AA208" s="1074"/>
      <c r="AB208" s="1074"/>
      <c r="AC208" s="1074"/>
      <c r="AD208" s="1073"/>
      <c r="AE208" s="1074"/>
      <c r="AF208" s="1074"/>
      <c r="AG208" s="1074"/>
      <c r="AH208" s="1074"/>
      <c r="AI208" s="1074"/>
      <c r="AJ208" s="1075"/>
    </row>
    <row r="209" spans="1:36" ht="11.25" customHeight="1" x14ac:dyDescent="0.4">
      <c r="A209" s="1093"/>
      <c r="B209" s="1094"/>
      <c r="C209" s="1088"/>
      <c r="D209" s="1089"/>
      <c r="E209" s="1089"/>
      <c r="F209" s="1089"/>
      <c r="G209" s="1089"/>
      <c r="H209" s="1089"/>
      <c r="I209" s="1076"/>
      <c r="J209" s="1077"/>
      <c r="K209" s="1077"/>
      <c r="L209" s="1077"/>
      <c r="M209" s="1077"/>
      <c r="N209" s="1077"/>
      <c r="O209" s="1077"/>
      <c r="P209" s="1076"/>
      <c r="Q209" s="1077"/>
      <c r="R209" s="1077"/>
      <c r="S209" s="1077"/>
      <c r="T209" s="1077"/>
      <c r="U209" s="1077"/>
      <c r="V209" s="1078"/>
      <c r="W209" s="1077"/>
      <c r="X209" s="1077"/>
      <c r="Y209" s="1077"/>
      <c r="Z209" s="1077"/>
      <c r="AA209" s="1077"/>
      <c r="AB209" s="1077"/>
      <c r="AC209" s="1077"/>
      <c r="AD209" s="1076"/>
      <c r="AE209" s="1077"/>
      <c r="AF209" s="1077"/>
      <c r="AG209" s="1077"/>
      <c r="AH209" s="1077"/>
      <c r="AI209" s="1077"/>
      <c r="AJ209" s="1078"/>
    </row>
    <row r="210" spans="1:36" ht="11.25" customHeight="1" x14ac:dyDescent="0.4">
      <c r="A210" s="1093"/>
      <c r="B210" s="1094"/>
      <c r="C210" s="1090" t="s">
        <v>894</v>
      </c>
      <c r="D210" s="1090"/>
      <c r="E210" s="1090"/>
      <c r="F210" s="1090"/>
      <c r="G210" s="1090"/>
      <c r="H210" s="1090"/>
      <c r="I210" s="1083"/>
      <c r="J210" s="1084"/>
      <c r="K210" s="1084"/>
      <c r="L210" s="1084"/>
      <c r="M210" s="1084"/>
      <c r="N210" s="1084"/>
      <c r="O210" s="1084"/>
      <c r="P210" s="1083"/>
      <c r="Q210" s="1084"/>
      <c r="R210" s="1084"/>
      <c r="S210" s="1084"/>
      <c r="T210" s="1084"/>
      <c r="U210" s="1084"/>
      <c r="V210" s="1085"/>
      <c r="W210" s="1084"/>
      <c r="X210" s="1084"/>
      <c r="Y210" s="1084"/>
      <c r="Z210" s="1084"/>
      <c r="AA210" s="1084"/>
      <c r="AB210" s="1084"/>
      <c r="AC210" s="1084"/>
      <c r="AD210" s="1083"/>
      <c r="AE210" s="1084"/>
      <c r="AF210" s="1084"/>
      <c r="AG210" s="1084"/>
      <c r="AH210" s="1084"/>
      <c r="AI210" s="1084"/>
      <c r="AJ210" s="1085"/>
    </row>
    <row r="211" spans="1:36" ht="11.25" customHeight="1" x14ac:dyDescent="0.4">
      <c r="A211" s="1093"/>
      <c r="B211" s="1094"/>
      <c r="C211" s="1090"/>
      <c r="D211" s="1090"/>
      <c r="E211" s="1090"/>
      <c r="F211" s="1090"/>
      <c r="G211" s="1090"/>
      <c r="H211" s="1090"/>
      <c r="I211" s="1083"/>
      <c r="J211" s="1084"/>
      <c r="K211" s="1084"/>
      <c r="L211" s="1084"/>
      <c r="M211" s="1084"/>
      <c r="N211" s="1084"/>
      <c r="O211" s="1084"/>
      <c r="P211" s="1083"/>
      <c r="Q211" s="1084"/>
      <c r="R211" s="1084"/>
      <c r="S211" s="1084"/>
      <c r="T211" s="1084"/>
      <c r="U211" s="1084"/>
      <c r="V211" s="1085"/>
      <c r="W211" s="1084"/>
      <c r="X211" s="1084"/>
      <c r="Y211" s="1084"/>
      <c r="Z211" s="1084"/>
      <c r="AA211" s="1084"/>
      <c r="AB211" s="1084"/>
      <c r="AC211" s="1084"/>
      <c r="AD211" s="1083"/>
      <c r="AE211" s="1084"/>
      <c r="AF211" s="1084"/>
      <c r="AG211" s="1084"/>
      <c r="AH211" s="1084"/>
      <c r="AI211" s="1084"/>
      <c r="AJ211" s="1085"/>
    </row>
    <row r="212" spans="1:36" ht="11.25" customHeight="1" x14ac:dyDescent="0.4">
      <c r="A212" s="1093"/>
      <c r="B212" s="1094"/>
      <c r="C212" s="1086" t="s">
        <v>448</v>
      </c>
      <c r="D212" s="1087"/>
      <c r="E212" s="1087"/>
      <c r="F212" s="1087"/>
      <c r="G212" s="1087"/>
      <c r="H212" s="1087"/>
      <c r="I212" s="1098"/>
      <c r="J212" s="1099"/>
      <c r="K212" s="1099"/>
      <c r="L212" s="1099"/>
      <c r="M212" s="1099"/>
      <c r="N212" s="1099"/>
      <c r="O212" s="1099"/>
      <c r="P212" s="1098"/>
      <c r="Q212" s="1099"/>
      <c r="R212" s="1099"/>
      <c r="S212" s="1099"/>
      <c r="T212" s="1099"/>
      <c r="U212" s="1099"/>
      <c r="V212" s="1102"/>
      <c r="W212" s="1099"/>
      <c r="X212" s="1099"/>
      <c r="Y212" s="1099"/>
      <c r="Z212" s="1099"/>
      <c r="AA212" s="1099"/>
      <c r="AB212" s="1099"/>
      <c r="AC212" s="1099"/>
      <c r="AD212" s="1098"/>
      <c r="AE212" s="1099"/>
      <c r="AF212" s="1099"/>
      <c r="AG212" s="1099"/>
      <c r="AH212" s="1099"/>
      <c r="AI212" s="1099"/>
      <c r="AJ212" s="1102"/>
    </row>
    <row r="213" spans="1:36" ht="11.25" customHeight="1" x14ac:dyDescent="0.4">
      <c r="A213" s="1095"/>
      <c r="B213" s="1096"/>
      <c r="C213" s="1088"/>
      <c r="D213" s="1089"/>
      <c r="E213" s="1089"/>
      <c r="F213" s="1089"/>
      <c r="G213" s="1089"/>
      <c r="H213" s="1089"/>
      <c r="I213" s="1100"/>
      <c r="J213" s="1101"/>
      <c r="K213" s="1101"/>
      <c r="L213" s="1101"/>
      <c r="M213" s="1101"/>
      <c r="N213" s="1101"/>
      <c r="O213" s="1101"/>
      <c r="P213" s="1100"/>
      <c r="Q213" s="1101"/>
      <c r="R213" s="1101"/>
      <c r="S213" s="1101"/>
      <c r="T213" s="1101"/>
      <c r="U213" s="1101"/>
      <c r="V213" s="1103"/>
      <c r="W213" s="1101"/>
      <c r="X213" s="1101"/>
      <c r="Y213" s="1101"/>
      <c r="Z213" s="1101"/>
      <c r="AA213" s="1101"/>
      <c r="AB213" s="1101"/>
      <c r="AC213" s="1101"/>
      <c r="AD213" s="1100"/>
      <c r="AE213" s="1101"/>
      <c r="AF213" s="1101"/>
      <c r="AG213" s="1101"/>
      <c r="AH213" s="1101"/>
      <c r="AI213" s="1101"/>
      <c r="AJ213" s="1103"/>
    </row>
    <row r="214" spans="1:36" ht="11.25" customHeight="1" x14ac:dyDescent="0.4">
      <c r="A214" s="1086" t="s">
        <v>891</v>
      </c>
      <c r="B214" s="1087"/>
      <c r="C214" s="1087"/>
      <c r="D214" s="1087"/>
      <c r="E214" s="1087"/>
      <c r="F214" s="1087"/>
      <c r="G214" s="1087"/>
      <c r="H214" s="1087"/>
      <c r="I214" s="1073"/>
      <c r="J214" s="1074"/>
      <c r="K214" s="1074"/>
      <c r="L214" s="1074"/>
      <c r="M214" s="1074"/>
      <c r="N214" s="1074"/>
      <c r="O214" s="1075"/>
      <c r="P214" s="1074"/>
      <c r="Q214" s="1074"/>
      <c r="R214" s="1074"/>
      <c r="S214" s="1074"/>
      <c r="T214" s="1074"/>
      <c r="U214" s="1074"/>
      <c r="V214" s="1074"/>
      <c r="W214" s="1073"/>
      <c r="X214" s="1074"/>
      <c r="Y214" s="1074"/>
      <c r="Z214" s="1074"/>
      <c r="AA214" s="1074"/>
      <c r="AB214" s="1074"/>
      <c r="AC214" s="1075"/>
      <c r="AD214" s="1083"/>
      <c r="AE214" s="1084"/>
      <c r="AF214" s="1084"/>
      <c r="AG214" s="1084"/>
      <c r="AH214" s="1084"/>
      <c r="AI214" s="1084"/>
      <c r="AJ214" s="1085"/>
    </row>
    <row r="215" spans="1:36" ht="11.25" customHeight="1" x14ac:dyDescent="0.4">
      <c r="A215" s="1088"/>
      <c r="B215" s="1089"/>
      <c r="C215" s="1089"/>
      <c r="D215" s="1089"/>
      <c r="E215" s="1089"/>
      <c r="F215" s="1089"/>
      <c r="G215" s="1089"/>
      <c r="H215" s="1089"/>
      <c r="I215" s="1076"/>
      <c r="J215" s="1077"/>
      <c r="K215" s="1077"/>
      <c r="L215" s="1077"/>
      <c r="M215" s="1077"/>
      <c r="N215" s="1077"/>
      <c r="O215" s="1078"/>
      <c r="P215" s="1077"/>
      <c r="Q215" s="1077"/>
      <c r="R215" s="1077"/>
      <c r="S215" s="1077"/>
      <c r="T215" s="1077"/>
      <c r="U215" s="1077"/>
      <c r="V215" s="1077"/>
      <c r="W215" s="1076"/>
      <c r="X215" s="1077"/>
      <c r="Y215" s="1077"/>
      <c r="Z215" s="1077"/>
      <c r="AA215" s="1077"/>
      <c r="AB215" s="1077"/>
      <c r="AC215" s="1078"/>
      <c r="AD215" s="1076"/>
      <c r="AE215" s="1077"/>
      <c r="AF215" s="1077"/>
      <c r="AG215" s="1077"/>
      <c r="AH215" s="1077"/>
      <c r="AI215" s="1077"/>
      <c r="AJ215" s="1078"/>
    </row>
    <row r="216" spans="1:36" ht="12.75" customHeight="1" x14ac:dyDescent="0.4">
      <c r="A216" s="1114" t="s">
        <v>886</v>
      </c>
      <c r="B216" s="1115"/>
      <c r="C216" s="1115"/>
      <c r="D216" s="1115"/>
      <c r="E216" s="1115"/>
      <c r="F216" s="1115"/>
      <c r="G216" s="1115"/>
      <c r="H216" s="1115"/>
      <c r="I216" s="1115"/>
      <c r="J216" s="1116"/>
      <c r="K216" s="405" t="s">
        <v>510</v>
      </c>
      <c r="L216" s="406"/>
      <c r="M216" s="453"/>
      <c r="N216" s="405" t="s">
        <v>445</v>
      </c>
      <c r="O216" s="1072" t="s">
        <v>887</v>
      </c>
      <c r="P216" s="1072"/>
      <c r="Q216" s="1072"/>
      <c r="R216" s="1072"/>
      <c r="S216" s="1072"/>
      <c r="T216" s="1072"/>
      <c r="U216" s="1072"/>
      <c r="V216" s="1072"/>
      <c r="W216" s="1072"/>
      <c r="X216" s="1072"/>
      <c r="Y216" s="1072"/>
      <c r="Z216" s="453" t="s">
        <v>426</v>
      </c>
      <c r="AA216" s="1120" t="s">
        <v>448</v>
      </c>
      <c r="AB216" s="1121"/>
      <c r="AC216" s="1121"/>
      <c r="AD216" s="406" t="str">
        <f>_xlfn.IFS(O216="加藤医院","059-221-5001",O216="津生協病院","059-225-2848",O216="やまもと総合診療クリニック","059-253-6311",NOT(AND(O216="加藤医院",O216="やまもと診療クリニック",O216="津生協病院")),"")</f>
        <v>059-221-5001</v>
      </c>
      <c r="AE216" s="406"/>
      <c r="AF216" s="406"/>
      <c r="AG216" s="406"/>
      <c r="AH216" s="406"/>
      <c r="AI216" s="406"/>
      <c r="AJ216" s="453"/>
    </row>
    <row r="217" spans="1:36" ht="12.75" customHeight="1" x14ac:dyDescent="0.4">
      <c r="A217" s="1117"/>
      <c r="B217" s="1118"/>
      <c r="C217" s="1118"/>
      <c r="D217" s="1118"/>
      <c r="E217" s="1118"/>
      <c r="F217" s="1118"/>
      <c r="G217" s="1118"/>
      <c r="H217" s="1118"/>
      <c r="I217" s="1118"/>
      <c r="J217" s="1119"/>
      <c r="K217" s="407"/>
      <c r="L217" s="408"/>
      <c r="M217" s="454"/>
      <c r="N217" s="407"/>
      <c r="O217" s="1130"/>
      <c r="P217" s="1130"/>
      <c r="Q217" s="1130"/>
      <c r="R217" s="1130"/>
      <c r="S217" s="1130"/>
      <c r="T217" s="1130"/>
      <c r="U217" s="1130"/>
      <c r="V217" s="1130"/>
      <c r="W217" s="1130"/>
      <c r="X217" s="1130"/>
      <c r="Y217" s="1130"/>
      <c r="Z217" s="454"/>
      <c r="AA217" s="1122"/>
      <c r="AB217" s="1123"/>
      <c r="AC217" s="1123"/>
      <c r="AD217" s="498"/>
      <c r="AE217" s="498"/>
      <c r="AF217" s="498"/>
      <c r="AG217" s="498"/>
      <c r="AH217" s="498"/>
      <c r="AI217" s="498"/>
      <c r="AJ217" s="531"/>
    </row>
    <row r="218" spans="1:36" ht="12.75" customHeight="1" x14ac:dyDescent="0.4">
      <c r="A218" s="1114" t="s">
        <v>885</v>
      </c>
      <c r="B218" s="1115"/>
      <c r="C218" s="1115"/>
      <c r="D218" s="1115"/>
      <c r="E218" s="1115"/>
      <c r="F218" s="1115"/>
      <c r="G218" s="1115"/>
      <c r="H218" s="1115"/>
      <c r="I218" s="1115"/>
      <c r="J218" s="1116"/>
      <c r="K218" s="405" t="s">
        <v>509</v>
      </c>
      <c r="L218" s="406"/>
      <c r="M218" s="453"/>
      <c r="N218" s="405" t="s">
        <v>445</v>
      </c>
      <c r="O218" s="1072"/>
      <c r="P218" s="1072"/>
      <c r="Q218" s="1072"/>
      <c r="R218" s="1072"/>
      <c r="S218" s="1072"/>
      <c r="T218" s="1072"/>
      <c r="U218" s="1072"/>
      <c r="V218" s="1072"/>
      <c r="W218" s="1072"/>
      <c r="X218" s="1072"/>
      <c r="Y218" s="1072"/>
      <c r="Z218" s="453" t="s">
        <v>426</v>
      </c>
      <c r="AA218" s="1120" t="s">
        <v>448</v>
      </c>
      <c r="AB218" s="1121"/>
      <c r="AC218" s="1121"/>
      <c r="AD218" s="406"/>
      <c r="AE218" s="406"/>
      <c r="AF218" s="406"/>
      <c r="AG218" s="406"/>
      <c r="AH218" s="406"/>
      <c r="AI218" s="406"/>
      <c r="AJ218" s="453"/>
    </row>
    <row r="219" spans="1:36" ht="12.75" customHeight="1" x14ac:dyDescent="0.4">
      <c r="A219" s="1117"/>
      <c r="B219" s="1118"/>
      <c r="C219" s="1118"/>
      <c r="D219" s="1118"/>
      <c r="E219" s="1118"/>
      <c r="F219" s="1118"/>
      <c r="G219" s="1118"/>
      <c r="H219" s="1118"/>
      <c r="I219" s="1118"/>
      <c r="J219" s="1119"/>
      <c r="K219" s="407"/>
      <c r="L219" s="408"/>
      <c r="M219" s="454"/>
      <c r="N219" s="407"/>
      <c r="O219" s="1130"/>
      <c r="P219" s="1130"/>
      <c r="Q219" s="1130"/>
      <c r="R219" s="1130"/>
      <c r="S219" s="1130"/>
      <c r="T219" s="1130"/>
      <c r="U219" s="1130"/>
      <c r="V219" s="1130"/>
      <c r="W219" s="1130"/>
      <c r="X219" s="1130"/>
      <c r="Y219" s="1130"/>
      <c r="Z219" s="454"/>
      <c r="AA219" s="1124"/>
      <c r="AB219" s="1125"/>
      <c r="AC219" s="1125"/>
      <c r="AD219" s="408"/>
      <c r="AE219" s="408"/>
      <c r="AF219" s="408"/>
      <c r="AG219" s="408"/>
      <c r="AH219" s="408"/>
      <c r="AI219" s="408"/>
      <c r="AJ219" s="454"/>
    </row>
    <row r="220" spans="1:36" ht="12.75" customHeight="1" x14ac:dyDescent="0.4">
      <c r="A220" s="1108" t="s">
        <v>884</v>
      </c>
      <c r="B220" s="1109"/>
      <c r="C220" s="1109"/>
      <c r="D220" s="1109"/>
      <c r="E220" s="1109"/>
      <c r="F220" s="1109"/>
      <c r="G220" s="1109"/>
      <c r="H220" s="1109"/>
      <c r="I220" s="1109"/>
      <c r="J220" s="1110"/>
      <c r="K220" s="405" t="s">
        <v>510</v>
      </c>
      <c r="L220" s="406"/>
      <c r="M220" s="453"/>
      <c r="N220" s="405" t="s">
        <v>445</v>
      </c>
      <c r="O220" s="1072" t="s">
        <v>890</v>
      </c>
      <c r="P220" s="1072"/>
      <c r="Q220" s="1072"/>
      <c r="R220" s="1072"/>
      <c r="S220" s="1072"/>
      <c r="T220" s="1072"/>
      <c r="U220" s="1072"/>
      <c r="V220" s="1072"/>
      <c r="W220" s="1072"/>
      <c r="X220" s="1072"/>
      <c r="Y220" s="1072"/>
      <c r="Z220" s="453" t="s">
        <v>426</v>
      </c>
      <c r="AA220" s="1122" t="s">
        <v>448</v>
      </c>
      <c r="AB220" s="1123"/>
      <c r="AC220" s="1123"/>
      <c r="AD220" s="1126" t="str">
        <f>_xlfn.IFS(O220="ローレル薬局","059-253-7799",NOT(O220="ローレル薬局"),"")</f>
        <v>059-253-7799</v>
      </c>
      <c r="AE220" s="1126"/>
      <c r="AF220" s="1126"/>
      <c r="AG220" s="1126"/>
      <c r="AH220" s="1126"/>
      <c r="AI220" s="1126"/>
      <c r="AJ220" s="1127"/>
    </row>
    <row r="221" spans="1:36" ht="12.75" customHeight="1" x14ac:dyDescent="0.4">
      <c r="A221" s="1111"/>
      <c r="B221" s="1112"/>
      <c r="C221" s="1112"/>
      <c r="D221" s="1112"/>
      <c r="E221" s="1112"/>
      <c r="F221" s="1112"/>
      <c r="G221" s="1112"/>
      <c r="H221" s="1112"/>
      <c r="I221" s="1112"/>
      <c r="J221" s="1113"/>
      <c r="K221" s="407"/>
      <c r="L221" s="408"/>
      <c r="M221" s="454"/>
      <c r="N221" s="407"/>
      <c r="O221" s="1130"/>
      <c r="P221" s="1130"/>
      <c r="Q221" s="1130"/>
      <c r="R221" s="1130"/>
      <c r="S221" s="1130"/>
      <c r="T221" s="1130"/>
      <c r="U221" s="1130"/>
      <c r="V221" s="1130"/>
      <c r="W221" s="1130"/>
      <c r="X221" s="1130"/>
      <c r="Y221" s="1130"/>
      <c r="Z221" s="454"/>
      <c r="AA221" s="1124"/>
      <c r="AB221" s="1125"/>
      <c r="AC221" s="1125"/>
      <c r="AD221" s="1128"/>
      <c r="AE221" s="1128"/>
      <c r="AF221" s="1128"/>
      <c r="AG221" s="1128"/>
      <c r="AH221" s="1128"/>
      <c r="AI221" s="1128"/>
      <c r="AJ221" s="1129"/>
    </row>
    <row r="222" spans="1:36" ht="13.5" customHeight="1" x14ac:dyDescent="0.4">
      <c r="A222" s="425" t="s">
        <v>883</v>
      </c>
      <c r="B222" s="426"/>
      <c r="C222" s="426"/>
      <c r="D222" s="426"/>
      <c r="E222" s="426"/>
      <c r="F222" s="426"/>
      <c r="G222" s="426"/>
      <c r="H222" s="426"/>
      <c r="I222" s="426"/>
      <c r="J222" s="426"/>
      <c r="K222" s="426"/>
      <c r="L222" s="426"/>
      <c r="M222" s="426"/>
      <c r="N222" s="426"/>
      <c r="O222" s="426"/>
      <c r="P222" s="426"/>
      <c r="Q222" s="426"/>
      <c r="R222" s="426"/>
      <c r="S222" s="426"/>
      <c r="T222" s="426"/>
      <c r="U222" s="426"/>
      <c r="V222" s="426"/>
      <c r="W222" s="426"/>
      <c r="X222" s="426"/>
      <c r="Y222" s="426"/>
      <c r="Z222" s="426"/>
      <c r="AA222" s="426"/>
      <c r="AB222" s="426"/>
      <c r="AC222" s="426"/>
      <c r="AD222" s="426"/>
      <c r="AE222" s="426"/>
      <c r="AF222" s="426"/>
      <c r="AG222" s="426"/>
      <c r="AH222" s="426"/>
      <c r="AI222" s="426"/>
      <c r="AJ222" s="1046"/>
    </row>
    <row r="223" spans="1:36" ht="11.25" customHeight="1" x14ac:dyDescent="0.4">
      <c r="A223" s="1053"/>
      <c r="B223" s="1054"/>
      <c r="C223" s="1054"/>
      <c r="D223" s="1054"/>
      <c r="E223" s="1054"/>
      <c r="F223" s="1054"/>
      <c r="G223" s="1054"/>
      <c r="H223" s="1054"/>
      <c r="I223" s="1054"/>
      <c r="J223" s="1054"/>
      <c r="K223" s="1054"/>
      <c r="L223" s="1054"/>
      <c r="M223" s="1054"/>
      <c r="N223" s="1054"/>
      <c r="O223" s="1054"/>
      <c r="P223" s="1054"/>
      <c r="Q223" s="1054"/>
      <c r="R223" s="1054"/>
      <c r="S223" s="1054"/>
      <c r="T223" s="1054"/>
      <c r="U223" s="1054"/>
      <c r="V223" s="1054"/>
      <c r="W223" s="1054"/>
      <c r="X223" s="1054"/>
      <c r="Y223" s="1054"/>
      <c r="Z223" s="1054"/>
      <c r="AA223" s="1054"/>
      <c r="AB223" s="1054"/>
      <c r="AC223" s="1054"/>
      <c r="AD223" s="1054"/>
      <c r="AE223" s="1054"/>
      <c r="AF223" s="1054"/>
      <c r="AG223" s="1054"/>
      <c r="AH223" s="1054"/>
      <c r="AI223" s="1054"/>
      <c r="AJ223" s="1055"/>
    </row>
    <row r="224" spans="1:36" ht="13.5" customHeight="1" x14ac:dyDescent="0.4">
      <c r="A224" s="1053"/>
      <c r="B224" s="1054"/>
      <c r="C224" s="1054"/>
      <c r="D224" s="1054"/>
      <c r="E224" s="1054"/>
      <c r="F224" s="1054"/>
      <c r="G224" s="1054"/>
      <c r="H224" s="1054"/>
      <c r="I224" s="1054"/>
      <c r="J224" s="1054"/>
      <c r="K224" s="1054"/>
      <c r="L224" s="1054"/>
      <c r="M224" s="1054"/>
      <c r="N224" s="1054"/>
      <c r="O224" s="1054"/>
      <c r="P224" s="1054"/>
      <c r="Q224" s="1054"/>
      <c r="R224" s="1054"/>
      <c r="S224" s="1054"/>
      <c r="T224" s="1054"/>
      <c r="U224" s="1054"/>
      <c r="V224" s="1054"/>
      <c r="W224" s="1054"/>
      <c r="X224" s="1054"/>
      <c r="Y224" s="1054"/>
      <c r="Z224" s="1054"/>
      <c r="AA224" s="1054"/>
      <c r="AB224" s="1054"/>
      <c r="AC224" s="1054"/>
      <c r="AD224" s="1054"/>
      <c r="AE224" s="1054"/>
      <c r="AF224" s="1054"/>
      <c r="AG224" s="1054"/>
      <c r="AH224" s="1054"/>
      <c r="AI224" s="1054"/>
      <c r="AJ224" s="1055"/>
    </row>
    <row r="225" spans="1:36" ht="13.5" customHeight="1" x14ac:dyDescent="0.4">
      <c r="A225" s="1053"/>
      <c r="B225" s="1054"/>
      <c r="C225" s="1054"/>
      <c r="D225" s="1054"/>
      <c r="E225" s="1054"/>
      <c r="F225" s="1054"/>
      <c r="G225" s="1054"/>
      <c r="H225" s="1054"/>
      <c r="I225" s="1054"/>
      <c r="J225" s="1054"/>
      <c r="K225" s="1054"/>
      <c r="L225" s="1054"/>
      <c r="M225" s="1054"/>
      <c r="N225" s="1054"/>
      <c r="O225" s="1054"/>
      <c r="P225" s="1054"/>
      <c r="Q225" s="1054"/>
      <c r="R225" s="1054"/>
      <c r="S225" s="1054"/>
      <c r="T225" s="1054"/>
      <c r="U225" s="1054"/>
      <c r="V225" s="1054"/>
      <c r="W225" s="1054"/>
      <c r="X225" s="1054"/>
      <c r="Y225" s="1054"/>
      <c r="Z225" s="1054"/>
      <c r="AA225" s="1054"/>
      <c r="AB225" s="1054"/>
      <c r="AC225" s="1054"/>
      <c r="AD225" s="1054"/>
      <c r="AE225" s="1054"/>
      <c r="AF225" s="1054"/>
      <c r="AG225" s="1054"/>
      <c r="AH225" s="1054"/>
      <c r="AI225" s="1054"/>
      <c r="AJ225" s="1055"/>
    </row>
    <row r="226" spans="1:36" ht="13.5" customHeight="1" x14ac:dyDescent="0.4">
      <c r="A226" s="1053"/>
      <c r="B226" s="1054"/>
      <c r="C226" s="1054"/>
      <c r="D226" s="1054"/>
      <c r="E226" s="1054"/>
      <c r="F226" s="1054"/>
      <c r="G226" s="1054"/>
      <c r="H226" s="1054"/>
      <c r="I226" s="1054"/>
      <c r="J226" s="1054"/>
      <c r="K226" s="1054"/>
      <c r="L226" s="1054"/>
      <c r="M226" s="1054"/>
      <c r="N226" s="1054"/>
      <c r="O226" s="1054"/>
      <c r="P226" s="1054"/>
      <c r="Q226" s="1054"/>
      <c r="R226" s="1054"/>
      <c r="S226" s="1054"/>
      <c r="T226" s="1054"/>
      <c r="U226" s="1054"/>
      <c r="V226" s="1054"/>
      <c r="W226" s="1054"/>
      <c r="X226" s="1054"/>
      <c r="Y226" s="1054"/>
      <c r="Z226" s="1054"/>
      <c r="AA226" s="1054"/>
      <c r="AB226" s="1054"/>
      <c r="AC226" s="1054"/>
      <c r="AD226" s="1054"/>
      <c r="AE226" s="1054"/>
      <c r="AF226" s="1054"/>
      <c r="AG226" s="1054"/>
      <c r="AH226" s="1054"/>
      <c r="AI226" s="1054"/>
      <c r="AJ226" s="1055"/>
    </row>
    <row r="227" spans="1:36" ht="13.5" customHeight="1" x14ac:dyDescent="0.4">
      <c r="A227" s="1053"/>
      <c r="B227" s="1054"/>
      <c r="C227" s="1054"/>
      <c r="D227" s="1054"/>
      <c r="E227" s="1054"/>
      <c r="F227" s="1054"/>
      <c r="G227" s="1054"/>
      <c r="H227" s="1054"/>
      <c r="I227" s="1054"/>
      <c r="J227" s="1054"/>
      <c r="K227" s="1054"/>
      <c r="L227" s="1054"/>
      <c r="M227" s="1054"/>
      <c r="N227" s="1054"/>
      <c r="O227" s="1054"/>
      <c r="P227" s="1054"/>
      <c r="Q227" s="1054"/>
      <c r="R227" s="1054"/>
      <c r="S227" s="1054"/>
      <c r="T227" s="1054"/>
      <c r="U227" s="1054"/>
      <c r="V227" s="1054"/>
      <c r="W227" s="1054"/>
      <c r="X227" s="1054"/>
      <c r="Y227" s="1054"/>
      <c r="Z227" s="1054"/>
      <c r="AA227" s="1054"/>
      <c r="AB227" s="1054"/>
      <c r="AC227" s="1054"/>
      <c r="AD227" s="1054"/>
      <c r="AE227" s="1054"/>
      <c r="AF227" s="1054"/>
      <c r="AG227" s="1054"/>
      <c r="AH227" s="1054"/>
      <c r="AI227" s="1054"/>
      <c r="AJ227" s="1055"/>
    </row>
    <row r="228" spans="1:36" ht="13.5" customHeight="1" x14ac:dyDescent="0.4">
      <c r="A228" s="1105"/>
      <c r="B228" s="1106"/>
      <c r="C228" s="1106"/>
      <c r="D228" s="1106"/>
      <c r="E228" s="1106"/>
      <c r="F228" s="1106"/>
      <c r="G228" s="1106"/>
      <c r="H228" s="1106"/>
      <c r="I228" s="1106"/>
      <c r="J228" s="1106"/>
      <c r="K228" s="1106"/>
      <c r="L228" s="1106"/>
      <c r="M228" s="1106"/>
      <c r="N228" s="1106"/>
      <c r="O228" s="1106"/>
      <c r="P228" s="1106"/>
      <c r="Q228" s="1106"/>
      <c r="R228" s="1106"/>
      <c r="S228" s="1106"/>
      <c r="T228" s="1106"/>
      <c r="U228" s="1106"/>
      <c r="V228" s="1106"/>
      <c r="W228" s="1106"/>
      <c r="X228" s="1106"/>
      <c r="Y228" s="1106"/>
      <c r="Z228" s="1106"/>
      <c r="AA228" s="1106"/>
      <c r="AB228" s="1106"/>
      <c r="AC228" s="1106"/>
      <c r="AD228" s="1106"/>
      <c r="AE228" s="1106"/>
      <c r="AF228" s="1106"/>
      <c r="AG228" s="1106"/>
      <c r="AH228" s="1106"/>
      <c r="AI228" s="1106"/>
      <c r="AJ228" s="1107"/>
    </row>
    <row r="229" spans="1:36" ht="13.5" customHeight="1" x14ac:dyDescent="0.4">
      <c r="A229" s="179"/>
      <c r="B229" s="179"/>
      <c r="C229" s="179"/>
      <c r="D229" s="179"/>
      <c r="E229" s="179"/>
      <c r="F229" s="177"/>
      <c r="G229" s="177"/>
      <c r="H229" s="177"/>
      <c r="I229" s="177"/>
      <c r="J229" s="177"/>
      <c r="K229" s="177"/>
      <c r="L229" s="177"/>
      <c r="X229" s="1104" t="s">
        <v>62</v>
      </c>
      <c r="Y229" s="1104"/>
      <c r="Z229" s="1104"/>
      <c r="AA229" s="1104"/>
      <c r="AB229" s="1104"/>
      <c r="AC229" s="1104"/>
      <c r="AD229" s="1104"/>
      <c r="AE229" s="1104"/>
      <c r="AF229" s="1104"/>
      <c r="AG229" s="1104"/>
      <c r="AH229" s="1104"/>
      <c r="AI229" s="1104"/>
      <c r="AJ229" s="1104"/>
    </row>
  </sheetData>
  <mergeCells count="423">
    <mergeCell ref="A60:P61"/>
    <mergeCell ref="Q60:AJ61"/>
    <mergeCell ref="Q62:AJ73"/>
    <mergeCell ref="K74:N75"/>
    <mergeCell ref="O74:Q75"/>
    <mergeCell ref="A76:B77"/>
    <mergeCell ref="C76:J77"/>
    <mergeCell ref="R76:T77"/>
    <mergeCell ref="U76:X77"/>
    <mergeCell ref="R78:T79"/>
    <mergeCell ref="U78:X79"/>
    <mergeCell ref="C78:J79"/>
    <mergeCell ref="A78:B79"/>
    <mergeCell ref="R74:T75"/>
    <mergeCell ref="U74:X75"/>
    <mergeCell ref="A74:J75"/>
    <mergeCell ref="Y82:AJ83"/>
    <mergeCell ref="Y80:AJ81"/>
    <mergeCell ref="Y78:AJ79"/>
    <mergeCell ref="Y76:AJ77"/>
    <mergeCell ref="Y74:AJ75"/>
    <mergeCell ref="K82:N83"/>
    <mergeCell ref="O82:Q83"/>
    <mergeCell ref="K80:N81"/>
    <mergeCell ref="O80:Q81"/>
    <mergeCell ref="K78:N79"/>
    <mergeCell ref="O78:Q79"/>
    <mergeCell ref="K76:N77"/>
    <mergeCell ref="O76:Q77"/>
    <mergeCell ref="A84:L85"/>
    <mergeCell ref="M84:M85"/>
    <mergeCell ref="N84:AH85"/>
    <mergeCell ref="AI84:AI85"/>
    <mergeCell ref="R80:T81"/>
    <mergeCell ref="U80:X81"/>
    <mergeCell ref="R82:T83"/>
    <mergeCell ref="U82:X83"/>
    <mergeCell ref="C80:J81"/>
    <mergeCell ref="A80:B81"/>
    <mergeCell ref="A82:B83"/>
    <mergeCell ref="C82:J83"/>
    <mergeCell ref="A92:O92"/>
    <mergeCell ref="P92:Y92"/>
    <mergeCell ref="Z92:AJ92"/>
    <mergeCell ref="Z86:AJ86"/>
    <mergeCell ref="Z87:AJ90"/>
    <mergeCell ref="A86:J86"/>
    <mergeCell ref="A87:J90"/>
    <mergeCell ref="K86:Y86"/>
    <mergeCell ref="K87:Y90"/>
    <mergeCell ref="T107:AE107"/>
    <mergeCell ref="T108:AE108"/>
    <mergeCell ref="T109:AE109"/>
    <mergeCell ref="A101:AJ101"/>
    <mergeCell ref="A98:O99"/>
    <mergeCell ref="AH99:AJ99"/>
    <mergeCell ref="Z99:AG99"/>
    <mergeCell ref="A93:O96"/>
    <mergeCell ref="P93:Y96"/>
    <mergeCell ref="Z93:AJ96"/>
    <mergeCell ref="AI102:AJ102"/>
    <mergeCell ref="AI103:AJ103"/>
    <mergeCell ref="T102:AE102"/>
    <mergeCell ref="A56:Y57"/>
    <mergeCell ref="A58:J59"/>
    <mergeCell ref="X113:AJ113"/>
    <mergeCell ref="B102:O102"/>
    <mergeCell ref="B103:O103"/>
    <mergeCell ref="B104:O104"/>
    <mergeCell ref="B105:O105"/>
    <mergeCell ref="B106:O106"/>
    <mergeCell ref="B107:O107"/>
    <mergeCell ref="B108:O108"/>
    <mergeCell ref="B109:O109"/>
    <mergeCell ref="B110:O110"/>
    <mergeCell ref="AI104:AJ104"/>
    <mergeCell ref="T103:AE103"/>
    <mergeCell ref="AF104:AG104"/>
    <mergeCell ref="AG105:AH105"/>
    <mergeCell ref="AG106:AH106"/>
    <mergeCell ref="AG107:AH107"/>
    <mergeCell ref="AG108:AH108"/>
    <mergeCell ref="B111:O111"/>
    <mergeCell ref="B112:O112"/>
    <mergeCell ref="T104:AE104"/>
    <mergeCell ref="T105:AE105"/>
    <mergeCell ref="T106:AE106"/>
    <mergeCell ref="AE45:AJ45"/>
    <mergeCell ref="M45:R45"/>
    <mergeCell ref="S45:W46"/>
    <mergeCell ref="Z45:AA46"/>
    <mergeCell ref="M46:R46"/>
    <mergeCell ref="X45:Y46"/>
    <mergeCell ref="AB45:AD46"/>
    <mergeCell ref="AE46:AJ46"/>
    <mergeCell ref="AB54:AJ54"/>
    <mergeCell ref="S54:AA54"/>
    <mergeCell ref="S53:Y53"/>
    <mergeCell ref="P51:R51"/>
    <mergeCell ref="S51:Y51"/>
    <mergeCell ref="P52:Z52"/>
    <mergeCell ref="K50:M51"/>
    <mergeCell ref="K52:M53"/>
    <mergeCell ref="P50:Z50"/>
    <mergeCell ref="W47:AJ48"/>
    <mergeCell ref="AA41:AC42"/>
    <mergeCell ref="AD41:AJ42"/>
    <mergeCell ref="A43:E44"/>
    <mergeCell ref="H43:I44"/>
    <mergeCell ref="R43:V44"/>
    <mergeCell ref="W43:Y44"/>
    <mergeCell ref="Z43:AA44"/>
    <mergeCell ref="AB43:AC44"/>
    <mergeCell ref="AD43:AI44"/>
    <mergeCell ref="F47:H48"/>
    <mergeCell ref="I47:M48"/>
    <mergeCell ref="M43:Q44"/>
    <mergeCell ref="H45:I46"/>
    <mergeCell ref="J45:L46"/>
    <mergeCell ref="A47:E48"/>
    <mergeCell ref="A45:E46"/>
    <mergeCell ref="F41:K42"/>
    <mergeCell ref="L41:P42"/>
    <mergeCell ref="Q41:U42"/>
    <mergeCell ref="F43:G44"/>
    <mergeCell ref="J43:L44"/>
    <mergeCell ref="N47:P48"/>
    <mergeCell ref="Q47:V48"/>
    <mergeCell ref="V41:Z42"/>
    <mergeCell ref="X55:AJ55"/>
    <mergeCell ref="A50:E53"/>
    <mergeCell ref="AC50:AJ51"/>
    <mergeCell ref="AC52:AJ53"/>
    <mergeCell ref="AA50:AB53"/>
    <mergeCell ref="P53:R53"/>
    <mergeCell ref="A19:E20"/>
    <mergeCell ref="F19:J20"/>
    <mergeCell ref="K19:AJ20"/>
    <mergeCell ref="AJ43:AJ44"/>
    <mergeCell ref="A24:C24"/>
    <mergeCell ref="A32:C32"/>
    <mergeCell ref="A21:D22"/>
    <mergeCell ref="A23:N23"/>
    <mergeCell ref="A25:N31"/>
    <mergeCell ref="A33:N39"/>
    <mergeCell ref="P21:Y22"/>
    <mergeCell ref="P23:T23"/>
    <mergeCell ref="P24:AJ39"/>
    <mergeCell ref="F50:J51"/>
    <mergeCell ref="A41:E42"/>
    <mergeCell ref="F45:G46"/>
    <mergeCell ref="F52:J53"/>
    <mergeCell ref="N50:O53"/>
    <mergeCell ref="A17:E18"/>
    <mergeCell ref="F17:AJ18"/>
    <mergeCell ref="AD11:AJ13"/>
    <mergeCell ref="W11:Y11"/>
    <mergeCell ref="T11:U11"/>
    <mergeCell ref="I11:S11"/>
    <mergeCell ref="A11:E13"/>
    <mergeCell ref="AA11:AC13"/>
    <mergeCell ref="F11:H11"/>
    <mergeCell ref="F12:H13"/>
    <mergeCell ref="I12:Z13"/>
    <mergeCell ref="A14:E16"/>
    <mergeCell ref="F14:H14"/>
    <mergeCell ref="I14:S14"/>
    <mergeCell ref="T14:U14"/>
    <mergeCell ref="W14:Y14"/>
    <mergeCell ref="AA14:AC16"/>
    <mergeCell ref="AD14:AJ16"/>
    <mergeCell ref="F15:H16"/>
    <mergeCell ref="I15:Z16"/>
    <mergeCell ref="F9:Z10"/>
    <mergeCell ref="AA8:AC10"/>
    <mergeCell ref="A8:E10"/>
    <mergeCell ref="Q6:R7"/>
    <mergeCell ref="A6:E7"/>
    <mergeCell ref="A1:M2"/>
    <mergeCell ref="W3:AJ3"/>
    <mergeCell ref="L4:M4"/>
    <mergeCell ref="O4:P4"/>
    <mergeCell ref="R4:S4"/>
    <mergeCell ref="AE4:AJ4"/>
    <mergeCell ref="AB4:AD4"/>
    <mergeCell ref="A4:F4"/>
    <mergeCell ref="AI6:AJ7"/>
    <mergeCell ref="AF6:AF7"/>
    <mergeCell ref="AG6:AH7"/>
    <mergeCell ref="X6:AE7"/>
    <mergeCell ref="G4:I4"/>
    <mergeCell ref="U4:W4"/>
    <mergeCell ref="X4:Z4"/>
    <mergeCell ref="F6:P7"/>
    <mergeCell ref="S6:W7"/>
    <mergeCell ref="AA124:AD124"/>
    <mergeCell ref="AA126:AC126"/>
    <mergeCell ref="AE126:AJ126"/>
    <mergeCell ref="B114:O114"/>
    <mergeCell ref="B115:O115"/>
    <mergeCell ref="B116:O116"/>
    <mergeCell ref="B117:O117"/>
    <mergeCell ref="B118:O118"/>
    <mergeCell ref="B119:O119"/>
    <mergeCell ref="B120:O120"/>
    <mergeCell ref="AG114:AH114"/>
    <mergeCell ref="AG115:AH115"/>
    <mergeCell ref="T114:AF114"/>
    <mergeCell ref="T115:AF115"/>
    <mergeCell ref="T116:X116"/>
    <mergeCell ref="Z116:AI116"/>
    <mergeCell ref="U118:AI118"/>
    <mergeCell ref="U119:AI119"/>
    <mergeCell ref="B121:I121"/>
    <mergeCell ref="K121:N121"/>
    <mergeCell ref="Q137:R137"/>
    <mergeCell ref="N137:O137"/>
    <mergeCell ref="J137:L137"/>
    <mergeCell ref="AA125:AJ125"/>
    <mergeCell ref="AA123:AJ123"/>
    <mergeCell ref="A122:B126"/>
    <mergeCell ref="C128:C130"/>
    <mergeCell ref="E128:H128"/>
    <mergeCell ref="E129:H129"/>
    <mergeCell ref="E130:H130"/>
    <mergeCell ref="J128:Q128"/>
    <mergeCell ref="J129:Q129"/>
    <mergeCell ref="J130:Q130"/>
    <mergeCell ref="A128:B138"/>
    <mergeCell ref="D122:R122"/>
    <mergeCell ref="D123:R123"/>
    <mergeCell ref="D124:R124"/>
    <mergeCell ref="D125:R125"/>
    <mergeCell ref="D126:R126"/>
    <mergeCell ref="T123:Y123"/>
    <mergeCell ref="T124:Y124"/>
    <mergeCell ref="T125:Y125"/>
    <mergeCell ref="T126:Y126"/>
    <mergeCell ref="AA122:AD122"/>
    <mergeCell ref="J138:Q138"/>
    <mergeCell ref="U132:Y132"/>
    <mergeCell ref="U131:Y131"/>
    <mergeCell ref="U130:Y130"/>
    <mergeCell ref="U129:Y129"/>
    <mergeCell ref="U128:Y128"/>
    <mergeCell ref="AB128:AJ128"/>
    <mergeCell ref="AB129:AJ129"/>
    <mergeCell ref="AB130:AJ130"/>
    <mergeCell ref="AB131:AJ131"/>
    <mergeCell ref="T133:W133"/>
    <mergeCell ref="Y133:AI133"/>
    <mergeCell ref="V135:AI135"/>
    <mergeCell ref="V136:AI136"/>
    <mergeCell ref="V137:AI137"/>
    <mergeCell ref="S135:S137"/>
    <mergeCell ref="S128:S132"/>
    <mergeCell ref="D131:R131"/>
    <mergeCell ref="D132:R132"/>
    <mergeCell ref="D133:R133"/>
    <mergeCell ref="D134:R134"/>
    <mergeCell ref="D135:R135"/>
    <mergeCell ref="D136:R136"/>
    <mergeCell ref="D137:H137"/>
    <mergeCell ref="X166:AJ166"/>
    <mergeCell ref="A155:C155"/>
    <mergeCell ref="D155:F155"/>
    <mergeCell ref="H155:I155"/>
    <mergeCell ref="L155:N155"/>
    <mergeCell ref="P155:Q155"/>
    <mergeCell ref="V155:W155"/>
    <mergeCell ref="S155:T155"/>
    <mergeCell ref="D150:F150"/>
    <mergeCell ref="D151:F151"/>
    <mergeCell ref="J150:L150"/>
    <mergeCell ref="J151:L151"/>
    <mergeCell ref="J152:L152"/>
    <mergeCell ref="D153:G153"/>
    <mergeCell ref="K153:N153"/>
    <mergeCell ref="I154:K154"/>
    <mergeCell ref="A153:B154"/>
    <mergeCell ref="X142:AJ143"/>
    <mergeCell ref="A157:AJ165"/>
    <mergeCell ref="A62:P73"/>
    <mergeCell ref="A142:B149"/>
    <mergeCell ref="D142:F142"/>
    <mergeCell ref="D143:F143"/>
    <mergeCell ref="D144:F144"/>
    <mergeCell ref="D145:F145"/>
    <mergeCell ref="D146:F146"/>
    <mergeCell ref="D147:F147"/>
    <mergeCell ref="D148:F148"/>
    <mergeCell ref="D149:F149"/>
    <mergeCell ref="I142:M142"/>
    <mergeCell ref="I143:L143"/>
    <mergeCell ref="M143:Q143"/>
    <mergeCell ref="I144:M144"/>
    <mergeCell ref="I145:M145"/>
    <mergeCell ref="I146:M146"/>
    <mergeCell ref="I147:O147"/>
    <mergeCell ref="I148:M148"/>
    <mergeCell ref="I149:K149"/>
    <mergeCell ref="Q149:S149"/>
    <mergeCell ref="A140:O141"/>
    <mergeCell ref="E138:H138"/>
    <mergeCell ref="S169:AJ169"/>
    <mergeCell ref="A183:D184"/>
    <mergeCell ref="Q183:R184"/>
    <mergeCell ref="N183:P184"/>
    <mergeCell ref="K183:M184"/>
    <mergeCell ref="I183:J184"/>
    <mergeCell ref="E183:H184"/>
    <mergeCell ref="A185:D186"/>
    <mergeCell ref="X144:AJ155"/>
    <mergeCell ref="A167:T168"/>
    <mergeCell ref="A169:R169"/>
    <mergeCell ref="A171:R172"/>
    <mergeCell ref="A173:R174"/>
    <mergeCell ref="A175:R176"/>
    <mergeCell ref="A177:R178"/>
    <mergeCell ref="A179:R180"/>
    <mergeCell ref="A150:B152"/>
    <mergeCell ref="Q151:R151"/>
    <mergeCell ref="S151:W151"/>
    <mergeCell ref="Q154:R154"/>
    <mergeCell ref="S154:W154"/>
    <mergeCell ref="Q150:W150"/>
    <mergeCell ref="O150:P154"/>
    <mergeCell ref="I153:J153"/>
    <mergeCell ref="X229:AJ229"/>
    <mergeCell ref="A223:AJ228"/>
    <mergeCell ref="A222:AJ222"/>
    <mergeCell ref="A220:J221"/>
    <mergeCell ref="A218:J219"/>
    <mergeCell ref="A216:J217"/>
    <mergeCell ref="K216:M217"/>
    <mergeCell ref="K218:M219"/>
    <mergeCell ref="K220:M221"/>
    <mergeCell ref="N216:N217"/>
    <mergeCell ref="N218:N219"/>
    <mergeCell ref="N220:N221"/>
    <mergeCell ref="AD216:AJ217"/>
    <mergeCell ref="AA216:AC217"/>
    <mergeCell ref="AA218:AC219"/>
    <mergeCell ref="AD218:AJ219"/>
    <mergeCell ref="AA220:AC221"/>
    <mergeCell ref="AD220:AJ221"/>
    <mergeCell ref="Z216:Z217"/>
    <mergeCell ref="Z218:Z219"/>
    <mergeCell ref="Z220:Z221"/>
    <mergeCell ref="O216:Y217"/>
    <mergeCell ref="O218:Y219"/>
    <mergeCell ref="O220:Y221"/>
    <mergeCell ref="AD214:AJ215"/>
    <mergeCell ref="W214:AC215"/>
    <mergeCell ref="P214:V215"/>
    <mergeCell ref="I214:O215"/>
    <mergeCell ref="A214:H215"/>
    <mergeCell ref="C212:H213"/>
    <mergeCell ref="C210:H211"/>
    <mergeCell ref="I212:O213"/>
    <mergeCell ref="P212:V213"/>
    <mergeCell ref="W212:AC213"/>
    <mergeCell ref="AD212:AJ213"/>
    <mergeCell ref="I210:O211"/>
    <mergeCell ref="P210:V211"/>
    <mergeCell ref="W210:AC211"/>
    <mergeCell ref="AD210:AJ211"/>
    <mergeCell ref="C208:H209"/>
    <mergeCell ref="C206:H207"/>
    <mergeCell ref="A206:B213"/>
    <mergeCell ref="C204:H205"/>
    <mergeCell ref="C202:H203"/>
    <mergeCell ref="C200:H201"/>
    <mergeCell ref="A200:B205"/>
    <mergeCell ref="A198:H199"/>
    <mergeCell ref="A196:H197"/>
    <mergeCell ref="I208:O209"/>
    <mergeCell ref="P208:V209"/>
    <mergeCell ref="W208:AC209"/>
    <mergeCell ref="AD208:AJ209"/>
    <mergeCell ref="I206:O207"/>
    <mergeCell ref="P206:V207"/>
    <mergeCell ref="W206:AC207"/>
    <mergeCell ref="AD206:AJ207"/>
    <mergeCell ref="I204:O205"/>
    <mergeCell ref="P204:V205"/>
    <mergeCell ref="W204:AC205"/>
    <mergeCell ref="AD204:AJ205"/>
    <mergeCell ref="I196:O197"/>
    <mergeCell ref="P196:V197"/>
    <mergeCell ref="W196:AC197"/>
    <mergeCell ref="AD196:AJ197"/>
    <mergeCell ref="J202:K202"/>
    <mergeCell ref="J203:L203"/>
    <mergeCell ref="Q202:R202"/>
    <mergeCell ref="Q203:S203"/>
    <mergeCell ref="X202:Y202"/>
    <mergeCell ref="X203:Z203"/>
    <mergeCell ref="AE202:AF202"/>
    <mergeCell ref="AE203:AG203"/>
    <mergeCell ref="I200:O201"/>
    <mergeCell ref="P200:V201"/>
    <mergeCell ref="W200:AC201"/>
    <mergeCell ref="AD200:AJ201"/>
    <mergeCell ref="I198:O199"/>
    <mergeCell ref="P198:V199"/>
    <mergeCell ref="W198:AC199"/>
    <mergeCell ref="AD198:AJ199"/>
    <mergeCell ref="A187:AJ187"/>
    <mergeCell ref="A195:AJ195"/>
    <mergeCell ref="A194:AJ194"/>
    <mergeCell ref="A188:AJ193"/>
    <mergeCell ref="A170:R170"/>
    <mergeCell ref="AG170:AJ170"/>
    <mergeCell ref="AG171:AJ171"/>
    <mergeCell ref="AG172:AJ172"/>
    <mergeCell ref="V171:W171"/>
    <mergeCell ref="AB171:AC171"/>
    <mergeCell ref="A181:R182"/>
    <mergeCell ref="E185:F185"/>
    <mergeCell ref="I185:J185"/>
    <mergeCell ref="L185:N185"/>
    <mergeCell ref="H186:R186"/>
  </mergeCells>
  <phoneticPr fontId="1"/>
  <pageMargins left="0.23622047244094491" right="0.23622047244094491" top="0.55118110236220474" bottom="0.55118110236220474"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13</xdr:col>
                    <xdr:colOff>0</xdr:colOff>
                    <xdr:row>2</xdr:row>
                    <xdr:rowOff>161925</xdr:rowOff>
                  </from>
                  <to>
                    <xdr:col>13</xdr:col>
                    <xdr:colOff>180975</xdr:colOff>
                    <xdr:row>4</xdr:row>
                    <xdr:rowOff>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16</xdr:col>
                    <xdr:colOff>9525</xdr:colOff>
                    <xdr:row>2</xdr:row>
                    <xdr:rowOff>161925</xdr:rowOff>
                  </from>
                  <to>
                    <xdr:col>17</xdr:col>
                    <xdr:colOff>0</xdr:colOff>
                    <xdr:row>4</xdr:row>
                    <xdr:rowOff>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19</xdr:col>
                    <xdr:colOff>9525</xdr:colOff>
                    <xdr:row>2</xdr:row>
                    <xdr:rowOff>161925</xdr:rowOff>
                  </from>
                  <to>
                    <xdr:col>20</xdr:col>
                    <xdr:colOff>0</xdr:colOff>
                    <xdr:row>4</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10</xdr:col>
                    <xdr:colOff>0</xdr:colOff>
                    <xdr:row>2</xdr:row>
                    <xdr:rowOff>161925</xdr:rowOff>
                  </from>
                  <to>
                    <xdr:col>10</xdr:col>
                    <xdr:colOff>180975</xdr:colOff>
                    <xdr:row>4</xdr:row>
                    <xdr:rowOff>0</xdr:rowOff>
                  </to>
                </anchor>
              </controlPr>
            </control>
          </mc:Choice>
        </mc:AlternateContent>
        <mc:AlternateContent xmlns:mc="http://schemas.openxmlformats.org/markup-compatibility/2006">
          <mc:Choice Requires="x14">
            <control shapeId="9223" r:id="rId8" name="Check Box 7">
              <controlPr defaultSize="0" autoFill="0" autoLine="0" autoPict="0">
                <anchor moveWithCells="1">
                  <from>
                    <xdr:col>0</xdr:col>
                    <xdr:colOff>0</xdr:colOff>
                    <xdr:row>111</xdr:row>
                    <xdr:rowOff>0</xdr:rowOff>
                  </from>
                  <to>
                    <xdr:col>0</xdr:col>
                    <xdr:colOff>180975</xdr:colOff>
                    <xdr:row>111</xdr:row>
                    <xdr:rowOff>180975</xdr:rowOff>
                  </to>
                </anchor>
              </controlPr>
            </control>
          </mc:Choice>
        </mc:AlternateContent>
        <mc:AlternateContent xmlns:mc="http://schemas.openxmlformats.org/markup-compatibility/2006">
          <mc:Choice Requires="x14">
            <control shapeId="9224" r:id="rId9" name="Check Box 8">
              <controlPr defaultSize="0" autoFill="0" autoLine="0" autoPict="0">
                <anchor moveWithCells="1">
                  <from>
                    <xdr:col>0</xdr:col>
                    <xdr:colOff>0</xdr:colOff>
                    <xdr:row>110</xdr:row>
                    <xdr:rowOff>0</xdr:rowOff>
                  </from>
                  <to>
                    <xdr:col>0</xdr:col>
                    <xdr:colOff>180975</xdr:colOff>
                    <xdr:row>110</xdr:row>
                    <xdr:rowOff>180975</xdr:rowOff>
                  </to>
                </anchor>
              </controlPr>
            </control>
          </mc:Choice>
        </mc:AlternateContent>
        <mc:AlternateContent xmlns:mc="http://schemas.openxmlformats.org/markup-compatibility/2006">
          <mc:Choice Requires="x14">
            <control shapeId="9225" r:id="rId10" name="Check Box 9">
              <controlPr defaultSize="0" autoFill="0" autoLine="0" autoPict="0">
                <anchor moveWithCells="1">
                  <from>
                    <xdr:col>0</xdr:col>
                    <xdr:colOff>0</xdr:colOff>
                    <xdr:row>109</xdr:row>
                    <xdr:rowOff>0</xdr:rowOff>
                  </from>
                  <to>
                    <xdr:col>0</xdr:col>
                    <xdr:colOff>180975</xdr:colOff>
                    <xdr:row>109</xdr:row>
                    <xdr:rowOff>180975</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0</xdr:col>
                    <xdr:colOff>0</xdr:colOff>
                    <xdr:row>108</xdr:row>
                    <xdr:rowOff>0</xdr:rowOff>
                  </from>
                  <to>
                    <xdr:col>0</xdr:col>
                    <xdr:colOff>180975</xdr:colOff>
                    <xdr:row>108</xdr:row>
                    <xdr:rowOff>180975</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0</xdr:col>
                    <xdr:colOff>0</xdr:colOff>
                    <xdr:row>107</xdr:row>
                    <xdr:rowOff>0</xdr:rowOff>
                  </from>
                  <to>
                    <xdr:col>0</xdr:col>
                    <xdr:colOff>180975</xdr:colOff>
                    <xdr:row>107</xdr:row>
                    <xdr:rowOff>180975</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0</xdr:col>
                    <xdr:colOff>0</xdr:colOff>
                    <xdr:row>106</xdr:row>
                    <xdr:rowOff>0</xdr:rowOff>
                  </from>
                  <to>
                    <xdr:col>0</xdr:col>
                    <xdr:colOff>180975</xdr:colOff>
                    <xdr:row>106</xdr:row>
                    <xdr:rowOff>180975</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0</xdr:col>
                    <xdr:colOff>0</xdr:colOff>
                    <xdr:row>105</xdr:row>
                    <xdr:rowOff>0</xdr:rowOff>
                  </from>
                  <to>
                    <xdr:col>0</xdr:col>
                    <xdr:colOff>180975</xdr:colOff>
                    <xdr:row>105</xdr:row>
                    <xdr:rowOff>180975</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0</xdr:col>
                    <xdr:colOff>0</xdr:colOff>
                    <xdr:row>104</xdr:row>
                    <xdr:rowOff>0</xdr:rowOff>
                  </from>
                  <to>
                    <xdr:col>0</xdr:col>
                    <xdr:colOff>180975</xdr:colOff>
                    <xdr:row>104</xdr:row>
                    <xdr:rowOff>180975</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0</xdr:col>
                    <xdr:colOff>0</xdr:colOff>
                    <xdr:row>103</xdr:row>
                    <xdr:rowOff>0</xdr:rowOff>
                  </from>
                  <to>
                    <xdr:col>0</xdr:col>
                    <xdr:colOff>180975</xdr:colOff>
                    <xdr:row>103</xdr:row>
                    <xdr:rowOff>180975</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0</xdr:col>
                    <xdr:colOff>0</xdr:colOff>
                    <xdr:row>102</xdr:row>
                    <xdr:rowOff>0</xdr:rowOff>
                  </from>
                  <to>
                    <xdr:col>0</xdr:col>
                    <xdr:colOff>180975</xdr:colOff>
                    <xdr:row>102</xdr:row>
                    <xdr:rowOff>180975</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0</xdr:col>
                    <xdr:colOff>0</xdr:colOff>
                    <xdr:row>101</xdr:row>
                    <xdr:rowOff>0</xdr:rowOff>
                  </from>
                  <to>
                    <xdr:col>0</xdr:col>
                    <xdr:colOff>180975</xdr:colOff>
                    <xdr:row>101</xdr:row>
                    <xdr:rowOff>180975</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18</xdr:col>
                    <xdr:colOff>38100</xdr:colOff>
                    <xdr:row>101</xdr:row>
                    <xdr:rowOff>0</xdr:rowOff>
                  </from>
                  <to>
                    <xdr:col>19</xdr:col>
                    <xdr:colOff>0</xdr:colOff>
                    <xdr:row>101</xdr:row>
                    <xdr:rowOff>180975</xdr:rowOff>
                  </to>
                </anchor>
              </controlPr>
            </control>
          </mc:Choice>
        </mc:AlternateContent>
        <mc:AlternateContent xmlns:mc="http://schemas.openxmlformats.org/markup-compatibility/2006">
          <mc:Choice Requires="x14">
            <control shapeId="9235" r:id="rId20" name="Check Box 19">
              <controlPr defaultSize="0" autoFill="0" autoLine="0" autoPict="0">
                <anchor moveWithCells="1">
                  <from>
                    <xdr:col>18</xdr:col>
                    <xdr:colOff>38100</xdr:colOff>
                    <xdr:row>102</xdr:row>
                    <xdr:rowOff>0</xdr:rowOff>
                  </from>
                  <to>
                    <xdr:col>19</xdr:col>
                    <xdr:colOff>0</xdr:colOff>
                    <xdr:row>102</xdr:row>
                    <xdr:rowOff>180975</xdr:rowOff>
                  </to>
                </anchor>
              </controlPr>
            </control>
          </mc:Choice>
        </mc:AlternateContent>
        <mc:AlternateContent xmlns:mc="http://schemas.openxmlformats.org/markup-compatibility/2006">
          <mc:Choice Requires="x14">
            <control shapeId="9236" r:id="rId21" name="Check Box 20">
              <controlPr defaultSize="0" autoFill="0" autoLine="0" autoPict="0">
                <anchor moveWithCells="1">
                  <from>
                    <xdr:col>18</xdr:col>
                    <xdr:colOff>38100</xdr:colOff>
                    <xdr:row>103</xdr:row>
                    <xdr:rowOff>0</xdr:rowOff>
                  </from>
                  <to>
                    <xdr:col>19</xdr:col>
                    <xdr:colOff>0</xdr:colOff>
                    <xdr:row>103</xdr:row>
                    <xdr:rowOff>180975</xdr:rowOff>
                  </to>
                </anchor>
              </controlPr>
            </control>
          </mc:Choice>
        </mc:AlternateContent>
        <mc:AlternateContent xmlns:mc="http://schemas.openxmlformats.org/markup-compatibility/2006">
          <mc:Choice Requires="x14">
            <control shapeId="9237" r:id="rId22" name="Check Box 21">
              <controlPr defaultSize="0" autoFill="0" autoLine="0" autoPict="0">
                <anchor moveWithCells="1">
                  <from>
                    <xdr:col>18</xdr:col>
                    <xdr:colOff>38100</xdr:colOff>
                    <xdr:row>104</xdr:row>
                    <xdr:rowOff>0</xdr:rowOff>
                  </from>
                  <to>
                    <xdr:col>19</xdr:col>
                    <xdr:colOff>0</xdr:colOff>
                    <xdr:row>104</xdr:row>
                    <xdr:rowOff>180975</xdr:rowOff>
                  </to>
                </anchor>
              </controlPr>
            </control>
          </mc:Choice>
        </mc:AlternateContent>
        <mc:AlternateContent xmlns:mc="http://schemas.openxmlformats.org/markup-compatibility/2006">
          <mc:Choice Requires="x14">
            <control shapeId="9238" r:id="rId23" name="Check Box 22">
              <controlPr defaultSize="0" autoFill="0" autoLine="0" autoPict="0">
                <anchor moveWithCells="1">
                  <from>
                    <xdr:col>18</xdr:col>
                    <xdr:colOff>38100</xdr:colOff>
                    <xdr:row>105</xdr:row>
                    <xdr:rowOff>0</xdr:rowOff>
                  </from>
                  <to>
                    <xdr:col>19</xdr:col>
                    <xdr:colOff>0</xdr:colOff>
                    <xdr:row>105</xdr:row>
                    <xdr:rowOff>180975</xdr:rowOff>
                  </to>
                </anchor>
              </controlPr>
            </control>
          </mc:Choice>
        </mc:AlternateContent>
        <mc:AlternateContent xmlns:mc="http://schemas.openxmlformats.org/markup-compatibility/2006">
          <mc:Choice Requires="x14">
            <control shapeId="9239" r:id="rId24" name="Check Box 23">
              <controlPr defaultSize="0" autoFill="0" autoLine="0" autoPict="0">
                <anchor moveWithCells="1">
                  <from>
                    <xdr:col>18</xdr:col>
                    <xdr:colOff>38100</xdr:colOff>
                    <xdr:row>106</xdr:row>
                    <xdr:rowOff>0</xdr:rowOff>
                  </from>
                  <to>
                    <xdr:col>19</xdr:col>
                    <xdr:colOff>0</xdr:colOff>
                    <xdr:row>106</xdr:row>
                    <xdr:rowOff>180975</xdr:rowOff>
                  </to>
                </anchor>
              </controlPr>
            </control>
          </mc:Choice>
        </mc:AlternateContent>
        <mc:AlternateContent xmlns:mc="http://schemas.openxmlformats.org/markup-compatibility/2006">
          <mc:Choice Requires="x14">
            <control shapeId="9240" r:id="rId25" name="Check Box 24">
              <controlPr defaultSize="0" autoFill="0" autoLine="0" autoPict="0">
                <anchor moveWithCells="1">
                  <from>
                    <xdr:col>18</xdr:col>
                    <xdr:colOff>38100</xdr:colOff>
                    <xdr:row>107</xdr:row>
                    <xdr:rowOff>0</xdr:rowOff>
                  </from>
                  <to>
                    <xdr:col>19</xdr:col>
                    <xdr:colOff>0</xdr:colOff>
                    <xdr:row>107</xdr:row>
                    <xdr:rowOff>180975</xdr:rowOff>
                  </to>
                </anchor>
              </controlPr>
            </control>
          </mc:Choice>
        </mc:AlternateContent>
        <mc:AlternateContent xmlns:mc="http://schemas.openxmlformats.org/markup-compatibility/2006">
          <mc:Choice Requires="x14">
            <control shapeId="9241" r:id="rId26" name="Check Box 25">
              <controlPr defaultSize="0" autoFill="0" autoLine="0" autoPict="0">
                <anchor moveWithCells="1">
                  <from>
                    <xdr:col>18</xdr:col>
                    <xdr:colOff>38100</xdr:colOff>
                    <xdr:row>108</xdr:row>
                    <xdr:rowOff>0</xdr:rowOff>
                  </from>
                  <to>
                    <xdr:col>19</xdr:col>
                    <xdr:colOff>0</xdr:colOff>
                    <xdr:row>108</xdr:row>
                    <xdr:rowOff>180975</xdr:rowOff>
                  </to>
                </anchor>
              </controlPr>
            </control>
          </mc:Choice>
        </mc:AlternateContent>
        <mc:AlternateContent xmlns:mc="http://schemas.openxmlformats.org/markup-compatibility/2006">
          <mc:Choice Requires="x14">
            <control shapeId="9242" r:id="rId27" name="Check Box 26">
              <controlPr defaultSize="0" autoFill="0" autoLine="0" autoPict="0">
                <anchor moveWithCells="1">
                  <from>
                    <xdr:col>32</xdr:col>
                    <xdr:colOff>142875</xdr:colOff>
                    <xdr:row>103</xdr:row>
                    <xdr:rowOff>0</xdr:rowOff>
                  </from>
                  <to>
                    <xdr:col>33</xdr:col>
                    <xdr:colOff>133350</xdr:colOff>
                    <xdr:row>103</xdr:row>
                    <xdr:rowOff>180975</xdr:rowOff>
                  </to>
                </anchor>
              </controlPr>
            </control>
          </mc:Choice>
        </mc:AlternateContent>
        <mc:AlternateContent xmlns:mc="http://schemas.openxmlformats.org/markup-compatibility/2006">
          <mc:Choice Requires="x14">
            <control shapeId="9243" r:id="rId28" name="Check Box 27">
              <controlPr defaultSize="0" autoFill="0" autoLine="0" autoPict="0">
                <anchor moveWithCells="1">
                  <from>
                    <xdr:col>29</xdr:col>
                    <xdr:colOff>161925</xdr:colOff>
                    <xdr:row>103</xdr:row>
                    <xdr:rowOff>0</xdr:rowOff>
                  </from>
                  <to>
                    <xdr:col>30</xdr:col>
                    <xdr:colOff>152400</xdr:colOff>
                    <xdr:row>103</xdr:row>
                    <xdr:rowOff>180975</xdr:rowOff>
                  </to>
                </anchor>
              </controlPr>
            </control>
          </mc:Choice>
        </mc:AlternateContent>
        <mc:AlternateContent xmlns:mc="http://schemas.openxmlformats.org/markup-compatibility/2006">
          <mc:Choice Requires="x14">
            <control shapeId="9252" r:id="rId29" name="Check Box 36">
              <controlPr defaultSize="0" autoFill="0" autoLine="0" autoPict="0">
                <anchor moveWithCells="1">
                  <from>
                    <xdr:col>0</xdr:col>
                    <xdr:colOff>0</xdr:colOff>
                    <xdr:row>113</xdr:row>
                    <xdr:rowOff>0</xdr:rowOff>
                  </from>
                  <to>
                    <xdr:col>0</xdr:col>
                    <xdr:colOff>180975</xdr:colOff>
                    <xdr:row>113</xdr:row>
                    <xdr:rowOff>180975</xdr:rowOff>
                  </to>
                </anchor>
              </controlPr>
            </control>
          </mc:Choice>
        </mc:AlternateContent>
        <mc:AlternateContent xmlns:mc="http://schemas.openxmlformats.org/markup-compatibility/2006">
          <mc:Choice Requires="x14">
            <control shapeId="9253" r:id="rId30" name="Check Box 37">
              <controlPr defaultSize="0" autoFill="0" autoLine="0" autoPict="0">
                <anchor moveWithCells="1">
                  <from>
                    <xdr:col>0</xdr:col>
                    <xdr:colOff>0</xdr:colOff>
                    <xdr:row>114</xdr:row>
                    <xdr:rowOff>0</xdr:rowOff>
                  </from>
                  <to>
                    <xdr:col>0</xdr:col>
                    <xdr:colOff>180975</xdr:colOff>
                    <xdr:row>114</xdr:row>
                    <xdr:rowOff>180975</xdr:rowOff>
                  </to>
                </anchor>
              </controlPr>
            </control>
          </mc:Choice>
        </mc:AlternateContent>
        <mc:AlternateContent xmlns:mc="http://schemas.openxmlformats.org/markup-compatibility/2006">
          <mc:Choice Requires="x14">
            <control shapeId="9254" r:id="rId31" name="Check Box 38">
              <controlPr defaultSize="0" autoFill="0" autoLine="0" autoPict="0">
                <anchor moveWithCells="1">
                  <from>
                    <xdr:col>0</xdr:col>
                    <xdr:colOff>0</xdr:colOff>
                    <xdr:row>115</xdr:row>
                    <xdr:rowOff>0</xdr:rowOff>
                  </from>
                  <to>
                    <xdr:col>0</xdr:col>
                    <xdr:colOff>180975</xdr:colOff>
                    <xdr:row>115</xdr:row>
                    <xdr:rowOff>180975</xdr:rowOff>
                  </to>
                </anchor>
              </controlPr>
            </control>
          </mc:Choice>
        </mc:AlternateContent>
        <mc:AlternateContent xmlns:mc="http://schemas.openxmlformats.org/markup-compatibility/2006">
          <mc:Choice Requires="x14">
            <control shapeId="9255" r:id="rId32" name="Check Box 39">
              <controlPr defaultSize="0" autoFill="0" autoLine="0" autoPict="0">
                <anchor moveWithCells="1">
                  <from>
                    <xdr:col>0</xdr:col>
                    <xdr:colOff>0</xdr:colOff>
                    <xdr:row>116</xdr:row>
                    <xdr:rowOff>0</xdr:rowOff>
                  </from>
                  <to>
                    <xdr:col>0</xdr:col>
                    <xdr:colOff>180975</xdr:colOff>
                    <xdr:row>116</xdr:row>
                    <xdr:rowOff>180975</xdr:rowOff>
                  </to>
                </anchor>
              </controlPr>
            </control>
          </mc:Choice>
        </mc:AlternateContent>
        <mc:AlternateContent xmlns:mc="http://schemas.openxmlformats.org/markup-compatibility/2006">
          <mc:Choice Requires="x14">
            <control shapeId="9256" r:id="rId33" name="Check Box 40">
              <controlPr defaultSize="0" autoFill="0" autoLine="0" autoPict="0">
                <anchor moveWithCells="1">
                  <from>
                    <xdr:col>0</xdr:col>
                    <xdr:colOff>0</xdr:colOff>
                    <xdr:row>117</xdr:row>
                    <xdr:rowOff>0</xdr:rowOff>
                  </from>
                  <to>
                    <xdr:col>0</xdr:col>
                    <xdr:colOff>180975</xdr:colOff>
                    <xdr:row>117</xdr:row>
                    <xdr:rowOff>180975</xdr:rowOff>
                  </to>
                </anchor>
              </controlPr>
            </control>
          </mc:Choice>
        </mc:AlternateContent>
        <mc:AlternateContent xmlns:mc="http://schemas.openxmlformats.org/markup-compatibility/2006">
          <mc:Choice Requires="x14">
            <control shapeId="9257" r:id="rId34" name="Check Box 41">
              <controlPr defaultSize="0" autoFill="0" autoLine="0" autoPict="0">
                <anchor moveWithCells="1">
                  <from>
                    <xdr:col>0</xdr:col>
                    <xdr:colOff>0</xdr:colOff>
                    <xdr:row>118</xdr:row>
                    <xdr:rowOff>0</xdr:rowOff>
                  </from>
                  <to>
                    <xdr:col>0</xdr:col>
                    <xdr:colOff>180975</xdr:colOff>
                    <xdr:row>118</xdr:row>
                    <xdr:rowOff>180975</xdr:rowOff>
                  </to>
                </anchor>
              </controlPr>
            </control>
          </mc:Choice>
        </mc:AlternateContent>
        <mc:AlternateContent xmlns:mc="http://schemas.openxmlformats.org/markup-compatibility/2006">
          <mc:Choice Requires="x14">
            <control shapeId="9258" r:id="rId35" name="Check Box 42">
              <controlPr defaultSize="0" autoFill="0" autoLine="0" autoPict="0">
                <anchor moveWithCells="1">
                  <from>
                    <xdr:col>0</xdr:col>
                    <xdr:colOff>0</xdr:colOff>
                    <xdr:row>119</xdr:row>
                    <xdr:rowOff>0</xdr:rowOff>
                  </from>
                  <to>
                    <xdr:col>0</xdr:col>
                    <xdr:colOff>180975</xdr:colOff>
                    <xdr:row>119</xdr:row>
                    <xdr:rowOff>180975</xdr:rowOff>
                  </to>
                </anchor>
              </controlPr>
            </control>
          </mc:Choice>
        </mc:AlternateContent>
        <mc:AlternateContent xmlns:mc="http://schemas.openxmlformats.org/markup-compatibility/2006">
          <mc:Choice Requires="x14">
            <control shapeId="9259" r:id="rId36" name="Check Box 43">
              <controlPr defaultSize="0" autoFill="0" autoLine="0" autoPict="0">
                <anchor moveWithCells="1">
                  <from>
                    <xdr:col>0</xdr:col>
                    <xdr:colOff>0</xdr:colOff>
                    <xdr:row>120</xdr:row>
                    <xdr:rowOff>0</xdr:rowOff>
                  </from>
                  <to>
                    <xdr:col>0</xdr:col>
                    <xdr:colOff>180975</xdr:colOff>
                    <xdr:row>120</xdr:row>
                    <xdr:rowOff>180975</xdr:rowOff>
                  </to>
                </anchor>
              </controlPr>
            </control>
          </mc:Choice>
        </mc:AlternateContent>
        <mc:AlternateContent xmlns:mc="http://schemas.openxmlformats.org/markup-compatibility/2006">
          <mc:Choice Requires="x14">
            <control shapeId="9260" r:id="rId37" name="Check Box 44">
              <controlPr defaultSize="0" autoFill="0" autoLine="0" autoPict="0">
                <anchor moveWithCells="1">
                  <from>
                    <xdr:col>18</xdr:col>
                    <xdr:colOff>28575</xdr:colOff>
                    <xdr:row>113</xdr:row>
                    <xdr:rowOff>0</xdr:rowOff>
                  </from>
                  <to>
                    <xdr:col>18</xdr:col>
                    <xdr:colOff>209550</xdr:colOff>
                    <xdr:row>113</xdr:row>
                    <xdr:rowOff>180975</xdr:rowOff>
                  </to>
                </anchor>
              </controlPr>
            </control>
          </mc:Choice>
        </mc:AlternateContent>
        <mc:AlternateContent xmlns:mc="http://schemas.openxmlformats.org/markup-compatibility/2006">
          <mc:Choice Requires="x14">
            <control shapeId="9261" r:id="rId38" name="Check Box 45">
              <controlPr defaultSize="0" autoFill="0" autoLine="0" autoPict="0">
                <anchor moveWithCells="1">
                  <from>
                    <xdr:col>18</xdr:col>
                    <xdr:colOff>28575</xdr:colOff>
                    <xdr:row>114</xdr:row>
                    <xdr:rowOff>0</xdr:rowOff>
                  </from>
                  <to>
                    <xdr:col>18</xdr:col>
                    <xdr:colOff>209550</xdr:colOff>
                    <xdr:row>114</xdr:row>
                    <xdr:rowOff>180975</xdr:rowOff>
                  </to>
                </anchor>
              </controlPr>
            </control>
          </mc:Choice>
        </mc:AlternateContent>
        <mc:AlternateContent xmlns:mc="http://schemas.openxmlformats.org/markup-compatibility/2006">
          <mc:Choice Requires="x14">
            <control shapeId="9262" r:id="rId39" name="Check Box 46">
              <controlPr defaultSize="0" autoFill="0" autoLine="0" autoPict="0">
                <anchor moveWithCells="1">
                  <from>
                    <xdr:col>18</xdr:col>
                    <xdr:colOff>28575</xdr:colOff>
                    <xdr:row>115</xdr:row>
                    <xdr:rowOff>0</xdr:rowOff>
                  </from>
                  <to>
                    <xdr:col>18</xdr:col>
                    <xdr:colOff>209550</xdr:colOff>
                    <xdr:row>115</xdr:row>
                    <xdr:rowOff>180975</xdr:rowOff>
                  </to>
                </anchor>
              </controlPr>
            </control>
          </mc:Choice>
        </mc:AlternateContent>
        <mc:AlternateContent xmlns:mc="http://schemas.openxmlformats.org/markup-compatibility/2006">
          <mc:Choice Requires="x14">
            <control shapeId="9263" r:id="rId40" name="Check Box 47">
              <controlPr defaultSize="0" autoFill="0" autoLine="0" autoPict="0">
                <anchor moveWithCells="1">
                  <from>
                    <xdr:col>18</xdr:col>
                    <xdr:colOff>28575</xdr:colOff>
                    <xdr:row>117</xdr:row>
                    <xdr:rowOff>0</xdr:rowOff>
                  </from>
                  <to>
                    <xdr:col>18</xdr:col>
                    <xdr:colOff>209550</xdr:colOff>
                    <xdr:row>117</xdr:row>
                    <xdr:rowOff>180975</xdr:rowOff>
                  </to>
                </anchor>
              </controlPr>
            </control>
          </mc:Choice>
        </mc:AlternateContent>
        <mc:AlternateContent xmlns:mc="http://schemas.openxmlformats.org/markup-compatibility/2006">
          <mc:Choice Requires="x14">
            <control shapeId="9264" r:id="rId41" name="Check Box 48">
              <controlPr defaultSize="0" autoFill="0" autoLine="0" autoPict="0">
                <anchor moveWithCells="1">
                  <from>
                    <xdr:col>18</xdr:col>
                    <xdr:colOff>28575</xdr:colOff>
                    <xdr:row>118</xdr:row>
                    <xdr:rowOff>0</xdr:rowOff>
                  </from>
                  <to>
                    <xdr:col>18</xdr:col>
                    <xdr:colOff>209550</xdr:colOff>
                    <xdr:row>118</xdr:row>
                    <xdr:rowOff>180975</xdr:rowOff>
                  </to>
                </anchor>
              </controlPr>
            </control>
          </mc:Choice>
        </mc:AlternateContent>
        <mc:AlternateContent xmlns:mc="http://schemas.openxmlformats.org/markup-compatibility/2006">
          <mc:Choice Requires="x14">
            <control shapeId="9265" r:id="rId42" name="Check Box 49">
              <controlPr defaultSize="0" autoFill="0" autoLine="0" autoPict="0">
                <anchor moveWithCells="1">
                  <from>
                    <xdr:col>2</xdr:col>
                    <xdr:colOff>9525</xdr:colOff>
                    <xdr:row>120</xdr:row>
                    <xdr:rowOff>180975</xdr:rowOff>
                  </from>
                  <to>
                    <xdr:col>3</xdr:col>
                    <xdr:colOff>0</xdr:colOff>
                    <xdr:row>121</xdr:row>
                    <xdr:rowOff>171450</xdr:rowOff>
                  </to>
                </anchor>
              </controlPr>
            </control>
          </mc:Choice>
        </mc:AlternateContent>
        <mc:AlternateContent xmlns:mc="http://schemas.openxmlformats.org/markup-compatibility/2006">
          <mc:Choice Requires="x14">
            <control shapeId="9266" r:id="rId43" name="Check Box 50">
              <controlPr defaultSize="0" autoFill="0" autoLine="0" autoPict="0">
                <anchor moveWithCells="1">
                  <from>
                    <xdr:col>2</xdr:col>
                    <xdr:colOff>9525</xdr:colOff>
                    <xdr:row>121</xdr:row>
                    <xdr:rowOff>180975</xdr:rowOff>
                  </from>
                  <to>
                    <xdr:col>3</xdr:col>
                    <xdr:colOff>0</xdr:colOff>
                    <xdr:row>122</xdr:row>
                    <xdr:rowOff>171450</xdr:rowOff>
                  </to>
                </anchor>
              </controlPr>
            </control>
          </mc:Choice>
        </mc:AlternateContent>
        <mc:AlternateContent xmlns:mc="http://schemas.openxmlformats.org/markup-compatibility/2006">
          <mc:Choice Requires="x14">
            <control shapeId="9267" r:id="rId44" name="Check Box 51">
              <controlPr defaultSize="0" autoFill="0" autoLine="0" autoPict="0">
                <anchor moveWithCells="1">
                  <from>
                    <xdr:col>2</xdr:col>
                    <xdr:colOff>9525</xdr:colOff>
                    <xdr:row>122</xdr:row>
                    <xdr:rowOff>180975</xdr:rowOff>
                  </from>
                  <to>
                    <xdr:col>3</xdr:col>
                    <xdr:colOff>0</xdr:colOff>
                    <xdr:row>123</xdr:row>
                    <xdr:rowOff>171450</xdr:rowOff>
                  </to>
                </anchor>
              </controlPr>
            </control>
          </mc:Choice>
        </mc:AlternateContent>
        <mc:AlternateContent xmlns:mc="http://schemas.openxmlformats.org/markup-compatibility/2006">
          <mc:Choice Requires="x14">
            <control shapeId="9268" r:id="rId45" name="Check Box 52">
              <controlPr defaultSize="0" autoFill="0" autoLine="0" autoPict="0">
                <anchor moveWithCells="1">
                  <from>
                    <xdr:col>2</xdr:col>
                    <xdr:colOff>9525</xdr:colOff>
                    <xdr:row>123</xdr:row>
                    <xdr:rowOff>180975</xdr:rowOff>
                  </from>
                  <to>
                    <xdr:col>3</xdr:col>
                    <xdr:colOff>0</xdr:colOff>
                    <xdr:row>124</xdr:row>
                    <xdr:rowOff>171450</xdr:rowOff>
                  </to>
                </anchor>
              </controlPr>
            </control>
          </mc:Choice>
        </mc:AlternateContent>
        <mc:AlternateContent xmlns:mc="http://schemas.openxmlformats.org/markup-compatibility/2006">
          <mc:Choice Requires="x14">
            <control shapeId="9269" r:id="rId46" name="Check Box 53">
              <controlPr defaultSize="0" autoFill="0" autoLine="0" autoPict="0">
                <anchor moveWithCells="1">
                  <from>
                    <xdr:col>2</xdr:col>
                    <xdr:colOff>9525</xdr:colOff>
                    <xdr:row>124</xdr:row>
                    <xdr:rowOff>180975</xdr:rowOff>
                  </from>
                  <to>
                    <xdr:col>3</xdr:col>
                    <xdr:colOff>0</xdr:colOff>
                    <xdr:row>125</xdr:row>
                    <xdr:rowOff>171450</xdr:rowOff>
                  </to>
                </anchor>
              </controlPr>
            </control>
          </mc:Choice>
        </mc:AlternateContent>
        <mc:AlternateContent xmlns:mc="http://schemas.openxmlformats.org/markup-compatibility/2006">
          <mc:Choice Requires="x14">
            <control shapeId="9270" r:id="rId47" name="Check Box 54">
              <controlPr defaultSize="0" autoFill="0" autoLine="0" autoPict="0">
                <anchor moveWithCells="1">
                  <from>
                    <xdr:col>18</xdr:col>
                    <xdr:colOff>0</xdr:colOff>
                    <xdr:row>121</xdr:row>
                    <xdr:rowOff>0</xdr:rowOff>
                  </from>
                  <to>
                    <xdr:col>18</xdr:col>
                    <xdr:colOff>180975</xdr:colOff>
                    <xdr:row>121</xdr:row>
                    <xdr:rowOff>180975</xdr:rowOff>
                  </to>
                </anchor>
              </controlPr>
            </control>
          </mc:Choice>
        </mc:AlternateContent>
        <mc:AlternateContent xmlns:mc="http://schemas.openxmlformats.org/markup-compatibility/2006">
          <mc:Choice Requires="x14">
            <control shapeId="9272" r:id="rId48" name="Check Box 56">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274" r:id="rId49" name="Check Box 58">
              <controlPr defaultSize="0" autoFill="0" autoLine="0" autoPict="0">
                <anchor moveWithCells="1">
                  <from>
                    <xdr:col>18</xdr:col>
                    <xdr:colOff>0</xdr:colOff>
                    <xdr:row>125</xdr:row>
                    <xdr:rowOff>0</xdr:rowOff>
                  </from>
                  <to>
                    <xdr:col>18</xdr:col>
                    <xdr:colOff>180975</xdr:colOff>
                    <xdr:row>125</xdr:row>
                    <xdr:rowOff>180975</xdr:rowOff>
                  </to>
                </anchor>
              </controlPr>
            </control>
          </mc:Choice>
        </mc:AlternateContent>
        <mc:AlternateContent xmlns:mc="http://schemas.openxmlformats.org/markup-compatibility/2006">
          <mc:Choice Requires="x14">
            <control shapeId="9275" r:id="rId50" name="Check Box 59">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276" r:id="rId51" name="Check Box 60">
              <controlPr defaultSize="0" autoFill="0" autoLine="0" autoPict="0">
                <anchor moveWithCells="1">
                  <from>
                    <xdr:col>3</xdr:col>
                    <xdr:colOff>0</xdr:colOff>
                    <xdr:row>127</xdr:row>
                    <xdr:rowOff>0</xdr:rowOff>
                  </from>
                  <to>
                    <xdr:col>3</xdr:col>
                    <xdr:colOff>180975</xdr:colOff>
                    <xdr:row>127</xdr:row>
                    <xdr:rowOff>180975</xdr:rowOff>
                  </to>
                </anchor>
              </controlPr>
            </control>
          </mc:Choice>
        </mc:AlternateContent>
        <mc:AlternateContent xmlns:mc="http://schemas.openxmlformats.org/markup-compatibility/2006">
          <mc:Choice Requires="x14">
            <control shapeId="9277" r:id="rId52" name="Check Box 61">
              <controlPr defaultSize="0" autoFill="0" autoLine="0" autoPict="0">
                <anchor moveWithCells="1">
                  <from>
                    <xdr:col>3</xdr:col>
                    <xdr:colOff>0</xdr:colOff>
                    <xdr:row>128</xdr:row>
                    <xdr:rowOff>0</xdr:rowOff>
                  </from>
                  <to>
                    <xdr:col>3</xdr:col>
                    <xdr:colOff>180975</xdr:colOff>
                    <xdr:row>128</xdr:row>
                    <xdr:rowOff>180975</xdr:rowOff>
                  </to>
                </anchor>
              </controlPr>
            </control>
          </mc:Choice>
        </mc:AlternateContent>
        <mc:AlternateContent xmlns:mc="http://schemas.openxmlformats.org/markup-compatibility/2006">
          <mc:Choice Requires="x14">
            <control shapeId="9278" r:id="rId53" name="Check Box 62">
              <controlPr defaultSize="0" autoFill="0" autoLine="0" autoPict="0">
                <anchor moveWithCells="1">
                  <from>
                    <xdr:col>3</xdr:col>
                    <xdr:colOff>0</xdr:colOff>
                    <xdr:row>129</xdr:row>
                    <xdr:rowOff>0</xdr:rowOff>
                  </from>
                  <to>
                    <xdr:col>3</xdr:col>
                    <xdr:colOff>180975</xdr:colOff>
                    <xdr:row>129</xdr:row>
                    <xdr:rowOff>180975</xdr:rowOff>
                  </to>
                </anchor>
              </controlPr>
            </control>
          </mc:Choice>
        </mc:AlternateContent>
        <mc:AlternateContent xmlns:mc="http://schemas.openxmlformats.org/markup-compatibility/2006">
          <mc:Choice Requires="x14">
            <control shapeId="9279" r:id="rId54" name="Check Box 63">
              <controlPr defaultSize="0" autoFill="0" autoLine="0" autoPict="0">
                <anchor moveWithCells="1">
                  <from>
                    <xdr:col>2</xdr:col>
                    <xdr:colOff>9525</xdr:colOff>
                    <xdr:row>129</xdr:row>
                    <xdr:rowOff>180975</xdr:rowOff>
                  </from>
                  <to>
                    <xdr:col>3</xdr:col>
                    <xdr:colOff>0</xdr:colOff>
                    <xdr:row>130</xdr:row>
                    <xdr:rowOff>171450</xdr:rowOff>
                  </to>
                </anchor>
              </controlPr>
            </control>
          </mc:Choice>
        </mc:AlternateContent>
        <mc:AlternateContent xmlns:mc="http://schemas.openxmlformats.org/markup-compatibility/2006">
          <mc:Choice Requires="x14">
            <control shapeId="9280" r:id="rId55" name="Check Box 64">
              <controlPr defaultSize="0" autoFill="0" autoLine="0" autoPict="0">
                <anchor moveWithCells="1">
                  <from>
                    <xdr:col>2</xdr:col>
                    <xdr:colOff>9525</xdr:colOff>
                    <xdr:row>130</xdr:row>
                    <xdr:rowOff>180975</xdr:rowOff>
                  </from>
                  <to>
                    <xdr:col>3</xdr:col>
                    <xdr:colOff>0</xdr:colOff>
                    <xdr:row>131</xdr:row>
                    <xdr:rowOff>171450</xdr:rowOff>
                  </to>
                </anchor>
              </controlPr>
            </control>
          </mc:Choice>
        </mc:AlternateContent>
        <mc:AlternateContent xmlns:mc="http://schemas.openxmlformats.org/markup-compatibility/2006">
          <mc:Choice Requires="x14">
            <control shapeId="9281" r:id="rId56" name="Check Box 65">
              <controlPr defaultSize="0" autoFill="0" autoLine="0" autoPict="0">
                <anchor moveWithCells="1">
                  <from>
                    <xdr:col>2</xdr:col>
                    <xdr:colOff>9525</xdr:colOff>
                    <xdr:row>131</xdr:row>
                    <xdr:rowOff>180975</xdr:rowOff>
                  </from>
                  <to>
                    <xdr:col>3</xdr:col>
                    <xdr:colOff>0</xdr:colOff>
                    <xdr:row>132</xdr:row>
                    <xdr:rowOff>171450</xdr:rowOff>
                  </to>
                </anchor>
              </controlPr>
            </control>
          </mc:Choice>
        </mc:AlternateContent>
        <mc:AlternateContent xmlns:mc="http://schemas.openxmlformats.org/markup-compatibility/2006">
          <mc:Choice Requires="x14">
            <control shapeId="9282" r:id="rId57" name="Check Box 66">
              <controlPr defaultSize="0" autoFill="0" autoLine="0" autoPict="0">
                <anchor moveWithCells="1">
                  <from>
                    <xdr:col>2</xdr:col>
                    <xdr:colOff>9525</xdr:colOff>
                    <xdr:row>132</xdr:row>
                    <xdr:rowOff>180975</xdr:rowOff>
                  </from>
                  <to>
                    <xdr:col>3</xdr:col>
                    <xdr:colOff>0</xdr:colOff>
                    <xdr:row>133</xdr:row>
                    <xdr:rowOff>171450</xdr:rowOff>
                  </to>
                </anchor>
              </controlPr>
            </control>
          </mc:Choice>
        </mc:AlternateContent>
        <mc:AlternateContent xmlns:mc="http://schemas.openxmlformats.org/markup-compatibility/2006">
          <mc:Choice Requires="x14">
            <control shapeId="9283" r:id="rId58" name="Check Box 67">
              <controlPr defaultSize="0" autoFill="0" autoLine="0" autoPict="0">
                <anchor moveWithCells="1">
                  <from>
                    <xdr:col>2</xdr:col>
                    <xdr:colOff>9525</xdr:colOff>
                    <xdr:row>133</xdr:row>
                    <xdr:rowOff>180975</xdr:rowOff>
                  </from>
                  <to>
                    <xdr:col>3</xdr:col>
                    <xdr:colOff>0</xdr:colOff>
                    <xdr:row>134</xdr:row>
                    <xdr:rowOff>171450</xdr:rowOff>
                  </to>
                </anchor>
              </controlPr>
            </control>
          </mc:Choice>
        </mc:AlternateContent>
        <mc:AlternateContent xmlns:mc="http://schemas.openxmlformats.org/markup-compatibility/2006">
          <mc:Choice Requires="x14">
            <control shapeId="9284" r:id="rId59" name="Check Box 68">
              <controlPr defaultSize="0" autoFill="0" autoLine="0" autoPict="0">
                <anchor moveWithCells="1">
                  <from>
                    <xdr:col>2</xdr:col>
                    <xdr:colOff>9525</xdr:colOff>
                    <xdr:row>134</xdr:row>
                    <xdr:rowOff>180975</xdr:rowOff>
                  </from>
                  <to>
                    <xdr:col>3</xdr:col>
                    <xdr:colOff>0</xdr:colOff>
                    <xdr:row>135</xdr:row>
                    <xdr:rowOff>171450</xdr:rowOff>
                  </to>
                </anchor>
              </controlPr>
            </control>
          </mc:Choice>
        </mc:AlternateContent>
        <mc:AlternateContent xmlns:mc="http://schemas.openxmlformats.org/markup-compatibility/2006">
          <mc:Choice Requires="x14">
            <control shapeId="9285" r:id="rId60" name="Check Box 69">
              <controlPr defaultSize="0" autoFill="0" autoLine="0" autoPict="0">
                <anchor moveWithCells="1">
                  <from>
                    <xdr:col>2</xdr:col>
                    <xdr:colOff>9525</xdr:colOff>
                    <xdr:row>135</xdr:row>
                    <xdr:rowOff>180975</xdr:rowOff>
                  </from>
                  <to>
                    <xdr:col>3</xdr:col>
                    <xdr:colOff>0</xdr:colOff>
                    <xdr:row>136</xdr:row>
                    <xdr:rowOff>171450</xdr:rowOff>
                  </to>
                </anchor>
              </controlPr>
            </control>
          </mc:Choice>
        </mc:AlternateContent>
        <mc:AlternateContent xmlns:mc="http://schemas.openxmlformats.org/markup-compatibility/2006">
          <mc:Choice Requires="x14">
            <control shapeId="9307" r:id="rId61" name="Check Box 91">
              <controlPr defaultSize="0" autoFill="0" autoLine="0" autoPict="0">
                <anchor moveWithCells="1">
                  <from>
                    <xdr:col>15</xdr:col>
                    <xdr:colOff>9525</xdr:colOff>
                    <xdr:row>135</xdr:row>
                    <xdr:rowOff>161925</xdr:rowOff>
                  </from>
                  <to>
                    <xdr:col>16</xdr:col>
                    <xdr:colOff>0</xdr:colOff>
                    <xdr:row>136</xdr:row>
                    <xdr:rowOff>152400</xdr:rowOff>
                  </to>
                </anchor>
              </controlPr>
            </control>
          </mc:Choice>
        </mc:AlternateContent>
        <mc:AlternateContent xmlns:mc="http://schemas.openxmlformats.org/markup-compatibility/2006">
          <mc:Choice Requires="x14">
            <control shapeId="9308" r:id="rId62" name="Check Box 92">
              <controlPr defaultSize="0" autoFill="0" autoLine="0" autoPict="0">
                <anchor moveWithCells="1">
                  <from>
                    <xdr:col>12</xdr:col>
                    <xdr:colOff>9525</xdr:colOff>
                    <xdr:row>135</xdr:row>
                    <xdr:rowOff>161925</xdr:rowOff>
                  </from>
                  <to>
                    <xdr:col>13</xdr:col>
                    <xdr:colOff>0</xdr:colOff>
                    <xdr:row>136</xdr:row>
                    <xdr:rowOff>152400</xdr:rowOff>
                  </to>
                </anchor>
              </controlPr>
            </control>
          </mc:Choice>
        </mc:AlternateContent>
        <mc:AlternateContent xmlns:mc="http://schemas.openxmlformats.org/markup-compatibility/2006">
          <mc:Choice Requires="x14">
            <control shapeId="9309" r:id="rId63" name="Check Box 93">
              <controlPr defaultSize="0" autoFill="0" autoLine="0" autoPict="0">
                <anchor moveWithCells="1">
                  <from>
                    <xdr:col>8</xdr:col>
                    <xdr:colOff>9525</xdr:colOff>
                    <xdr:row>135</xdr:row>
                    <xdr:rowOff>161925</xdr:rowOff>
                  </from>
                  <to>
                    <xdr:col>9</xdr:col>
                    <xdr:colOff>0</xdr:colOff>
                    <xdr:row>136</xdr:row>
                    <xdr:rowOff>152400</xdr:rowOff>
                  </to>
                </anchor>
              </controlPr>
            </control>
          </mc:Choice>
        </mc:AlternateContent>
        <mc:AlternateContent xmlns:mc="http://schemas.openxmlformats.org/markup-compatibility/2006">
          <mc:Choice Requires="x14">
            <control shapeId="9310" r:id="rId64" name="Check Box 94">
              <controlPr defaultSize="0" autoFill="0" autoLine="0" autoPict="0">
                <anchor moveWithCells="1">
                  <from>
                    <xdr:col>19</xdr:col>
                    <xdr:colOff>9525</xdr:colOff>
                    <xdr:row>127</xdr:row>
                    <xdr:rowOff>0</xdr:rowOff>
                  </from>
                  <to>
                    <xdr:col>20</xdr:col>
                    <xdr:colOff>0</xdr:colOff>
                    <xdr:row>127</xdr:row>
                    <xdr:rowOff>180975</xdr:rowOff>
                  </to>
                </anchor>
              </controlPr>
            </control>
          </mc:Choice>
        </mc:AlternateContent>
        <mc:AlternateContent xmlns:mc="http://schemas.openxmlformats.org/markup-compatibility/2006">
          <mc:Choice Requires="x14">
            <control shapeId="9311" r:id="rId65" name="Check Box 95">
              <controlPr defaultSize="0" autoFill="0" autoLine="0" autoPict="0">
                <anchor moveWithCells="1">
                  <from>
                    <xdr:col>19</xdr:col>
                    <xdr:colOff>9525</xdr:colOff>
                    <xdr:row>128</xdr:row>
                    <xdr:rowOff>0</xdr:rowOff>
                  </from>
                  <to>
                    <xdr:col>20</xdr:col>
                    <xdr:colOff>0</xdr:colOff>
                    <xdr:row>128</xdr:row>
                    <xdr:rowOff>180975</xdr:rowOff>
                  </to>
                </anchor>
              </controlPr>
            </control>
          </mc:Choice>
        </mc:AlternateContent>
        <mc:AlternateContent xmlns:mc="http://schemas.openxmlformats.org/markup-compatibility/2006">
          <mc:Choice Requires="x14">
            <control shapeId="9312" r:id="rId66" name="Check Box 96">
              <controlPr defaultSize="0" autoFill="0" autoLine="0" autoPict="0">
                <anchor moveWithCells="1">
                  <from>
                    <xdr:col>19</xdr:col>
                    <xdr:colOff>9525</xdr:colOff>
                    <xdr:row>129</xdr:row>
                    <xdr:rowOff>0</xdr:rowOff>
                  </from>
                  <to>
                    <xdr:col>20</xdr:col>
                    <xdr:colOff>0</xdr:colOff>
                    <xdr:row>129</xdr:row>
                    <xdr:rowOff>180975</xdr:rowOff>
                  </to>
                </anchor>
              </controlPr>
            </control>
          </mc:Choice>
        </mc:AlternateContent>
        <mc:AlternateContent xmlns:mc="http://schemas.openxmlformats.org/markup-compatibility/2006">
          <mc:Choice Requires="x14">
            <control shapeId="9313" r:id="rId67" name="Check Box 97">
              <controlPr defaultSize="0" autoFill="0" autoLine="0" autoPict="0">
                <anchor moveWithCells="1">
                  <from>
                    <xdr:col>19</xdr:col>
                    <xdr:colOff>9525</xdr:colOff>
                    <xdr:row>130</xdr:row>
                    <xdr:rowOff>0</xdr:rowOff>
                  </from>
                  <to>
                    <xdr:col>20</xdr:col>
                    <xdr:colOff>0</xdr:colOff>
                    <xdr:row>130</xdr:row>
                    <xdr:rowOff>180975</xdr:rowOff>
                  </to>
                </anchor>
              </controlPr>
            </control>
          </mc:Choice>
        </mc:AlternateContent>
        <mc:AlternateContent xmlns:mc="http://schemas.openxmlformats.org/markup-compatibility/2006">
          <mc:Choice Requires="x14">
            <control shapeId="9314" r:id="rId68" name="Check Box 98">
              <controlPr defaultSize="0" autoFill="0" autoLine="0" autoPict="0">
                <anchor moveWithCells="1">
                  <from>
                    <xdr:col>19</xdr:col>
                    <xdr:colOff>9525</xdr:colOff>
                    <xdr:row>131</xdr:row>
                    <xdr:rowOff>0</xdr:rowOff>
                  </from>
                  <to>
                    <xdr:col>20</xdr:col>
                    <xdr:colOff>0</xdr:colOff>
                    <xdr:row>131</xdr:row>
                    <xdr:rowOff>180975</xdr:rowOff>
                  </to>
                </anchor>
              </controlPr>
            </control>
          </mc:Choice>
        </mc:AlternateContent>
        <mc:AlternateContent xmlns:mc="http://schemas.openxmlformats.org/markup-compatibility/2006">
          <mc:Choice Requires="x14">
            <control shapeId="9315" r:id="rId69" name="Check Box 99">
              <controlPr defaultSize="0" autoFill="0" autoLine="0" autoPict="0">
                <anchor moveWithCells="1">
                  <from>
                    <xdr:col>26</xdr:col>
                    <xdr:colOff>9525</xdr:colOff>
                    <xdr:row>126</xdr:row>
                    <xdr:rowOff>85725</xdr:rowOff>
                  </from>
                  <to>
                    <xdr:col>27</xdr:col>
                    <xdr:colOff>0</xdr:colOff>
                    <xdr:row>127</xdr:row>
                    <xdr:rowOff>171450</xdr:rowOff>
                  </to>
                </anchor>
              </controlPr>
            </control>
          </mc:Choice>
        </mc:AlternateContent>
        <mc:AlternateContent xmlns:mc="http://schemas.openxmlformats.org/markup-compatibility/2006">
          <mc:Choice Requires="x14">
            <control shapeId="9316" r:id="rId70" name="Check Box 100">
              <controlPr defaultSize="0" autoFill="0" autoLine="0" autoPict="0">
                <anchor moveWithCells="1">
                  <from>
                    <xdr:col>26</xdr:col>
                    <xdr:colOff>9525</xdr:colOff>
                    <xdr:row>127</xdr:row>
                    <xdr:rowOff>180975</xdr:rowOff>
                  </from>
                  <to>
                    <xdr:col>27</xdr:col>
                    <xdr:colOff>0</xdr:colOff>
                    <xdr:row>128</xdr:row>
                    <xdr:rowOff>171450</xdr:rowOff>
                  </to>
                </anchor>
              </controlPr>
            </control>
          </mc:Choice>
        </mc:AlternateContent>
        <mc:AlternateContent xmlns:mc="http://schemas.openxmlformats.org/markup-compatibility/2006">
          <mc:Choice Requires="x14">
            <control shapeId="9317" r:id="rId71" name="Check Box 101">
              <controlPr defaultSize="0" autoFill="0" autoLine="0" autoPict="0">
                <anchor moveWithCells="1">
                  <from>
                    <xdr:col>26</xdr:col>
                    <xdr:colOff>9525</xdr:colOff>
                    <xdr:row>128</xdr:row>
                    <xdr:rowOff>180975</xdr:rowOff>
                  </from>
                  <to>
                    <xdr:col>27</xdr:col>
                    <xdr:colOff>0</xdr:colOff>
                    <xdr:row>129</xdr:row>
                    <xdr:rowOff>171450</xdr:rowOff>
                  </to>
                </anchor>
              </controlPr>
            </control>
          </mc:Choice>
        </mc:AlternateContent>
        <mc:AlternateContent xmlns:mc="http://schemas.openxmlformats.org/markup-compatibility/2006">
          <mc:Choice Requires="x14">
            <control shapeId="9318" r:id="rId72" name="Check Box 102">
              <controlPr defaultSize="0" autoFill="0" autoLine="0" autoPict="0">
                <anchor moveWithCells="1">
                  <from>
                    <xdr:col>26</xdr:col>
                    <xdr:colOff>9525</xdr:colOff>
                    <xdr:row>129</xdr:row>
                    <xdr:rowOff>180975</xdr:rowOff>
                  </from>
                  <to>
                    <xdr:col>27</xdr:col>
                    <xdr:colOff>0</xdr:colOff>
                    <xdr:row>130</xdr:row>
                    <xdr:rowOff>171450</xdr:rowOff>
                  </to>
                </anchor>
              </controlPr>
            </control>
          </mc:Choice>
        </mc:AlternateContent>
        <mc:AlternateContent xmlns:mc="http://schemas.openxmlformats.org/markup-compatibility/2006">
          <mc:Choice Requires="x14">
            <control shapeId="9319" r:id="rId73" name="Check Box 103">
              <controlPr defaultSize="0" autoFill="0" autoLine="0" autoPict="0">
                <anchor moveWithCells="1">
                  <from>
                    <xdr:col>18</xdr:col>
                    <xdr:colOff>38100</xdr:colOff>
                    <xdr:row>131</xdr:row>
                    <xdr:rowOff>161925</xdr:rowOff>
                  </from>
                  <to>
                    <xdr:col>19</xdr:col>
                    <xdr:colOff>0</xdr:colOff>
                    <xdr:row>132</xdr:row>
                    <xdr:rowOff>152400</xdr:rowOff>
                  </to>
                </anchor>
              </controlPr>
            </control>
          </mc:Choice>
        </mc:AlternateContent>
        <mc:AlternateContent xmlns:mc="http://schemas.openxmlformats.org/markup-compatibility/2006">
          <mc:Choice Requires="x14">
            <control shapeId="9320" r:id="rId74" name="Check Box 104">
              <controlPr defaultSize="0" autoFill="0" autoLine="0" autoPict="0">
                <anchor moveWithCells="1">
                  <from>
                    <xdr:col>19</xdr:col>
                    <xdr:colOff>9525</xdr:colOff>
                    <xdr:row>133</xdr:row>
                    <xdr:rowOff>180975</xdr:rowOff>
                  </from>
                  <to>
                    <xdr:col>20</xdr:col>
                    <xdr:colOff>0</xdr:colOff>
                    <xdr:row>134</xdr:row>
                    <xdr:rowOff>171450</xdr:rowOff>
                  </to>
                </anchor>
              </controlPr>
            </control>
          </mc:Choice>
        </mc:AlternateContent>
        <mc:AlternateContent xmlns:mc="http://schemas.openxmlformats.org/markup-compatibility/2006">
          <mc:Choice Requires="x14">
            <control shapeId="9321" r:id="rId75" name="Check Box 105">
              <controlPr defaultSize="0" autoFill="0" autoLine="0" autoPict="0">
                <anchor moveWithCells="1">
                  <from>
                    <xdr:col>19</xdr:col>
                    <xdr:colOff>9525</xdr:colOff>
                    <xdr:row>134</xdr:row>
                    <xdr:rowOff>180975</xdr:rowOff>
                  </from>
                  <to>
                    <xdr:col>20</xdr:col>
                    <xdr:colOff>0</xdr:colOff>
                    <xdr:row>135</xdr:row>
                    <xdr:rowOff>171450</xdr:rowOff>
                  </to>
                </anchor>
              </controlPr>
            </control>
          </mc:Choice>
        </mc:AlternateContent>
        <mc:AlternateContent xmlns:mc="http://schemas.openxmlformats.org/markup-compatibility/2006">
          <mc:Choice Requires="x14">
            <control shapeId="9322" r:id="rId76" name="Check Box 106">
              <controlPr defaultSize="0" autoFill="0" autoLine="0" autoPict="0">
                <anchor moveWithCells="1">
                  <from>
                    <xdr:col>19</xdr:col>
                    <xdr:colOff>9525</xdr:colOff>
                    <xdr:row>135</xdr:row>
                    <xdr:rowOff>180975</xdr:rowOff>
                  </from>
                  <to>
                    <xdr:col>20</xdr:col>
                    <xdr:colOff>0</xdr:colOff>
                    <xdr:row>136</xdr:row>
                    <xdr:rowOff>171450</xdr:rowOff>
                  </to>
                </anchor>
              </controlPr>
            </control>
          </mc:Choice>
        </mc:AlternateContent>
        <mc:AlternateContent xmlns:mc="http://schemas.openxmlformats.org/markup-compatibility/2006">
          <mc:Choice Requires="x14">
            <control shapeId="9376" r:id="rId77" name="Check Box 160">
              <controlPr defaultSize="0" autoFill="0" autoLine="0" autoPict="0">
                <anchor moveWithCells="1">
                  <from>
                    <xdr:col>6</xdr:col>
                    <xdr:colOff>9525</xdr:colOff>
                    <xdr:row>154</xdr:row>
                    <xdr:rowOff>28575</xdr:rowOff>
                  </from>
                  <to>
                    <xdr:col>7</xdr:col>
                    <xdr:colOff>0</xdr:colOff>
                    <xdr:row>154</xdr:row>
                    <xdr:rowOff>209550</xdr:rowOff>
                  </to>
                </anchor>
              </controlPr>
            </control>
          </mc:Choice>
        </mc:AlternateContent>
        <mc:AlternateContent xmlns:mc="http://schemas.openxmlformats.org/markup-compatibility/2006">
          <mc:Choice Requires="x14">
            <control shapeId="9377" r:id="rId78" name="Check Box 161">
              <controlPr defaultSize="0" autoFill="0" autoLine="0" autoPict="0">
                <anchor moveWithCells="1">
                  <from>
                    <xdr:col>8</xdr:col>
                    <xdr:colOff>171450</xdr:colOff>
                    <xdr:row>154</xdr:row>
                    <xdr:rowOff>28575</xdr:rowOff>
                  </from>
                  <to>
                    <xdr:col>9</xdr:col>
                    <xdr:colOff>161925</xdr:colOff>
                    <xdr:row>154</xdr:row>
                    <xdr:rowOff>209550</xdr:rowOff>
                  </to>
                </anchor>
              </controlPr>
            </control>
          </mc:Choice>
        </mc:AlternateContent>
        <mc:AlternateContent xmlns:mc="http://schemas.openxmlformats.org/markup-compatibility/2006">
          <mc:Choice Requires="x14">
            <control shapeId="9378" r:id="rId79" name="Check Box 162">
              <controlPr defaultSize="0" autoFill="0" autoLine="0" autoPict="0">
                <anchor moveWithCells="1">
                  <from>
                    <xdr:col>14</xdr:col>
                    <xdr:colOff>9525</xdr:colOff>
                    <xdr:row>154</xdr:row>
                    <xdr:rowOff>28575</xdr:rowOff>
                  </from>
                  <to>
                    <xdr:col>15</xdr:col>
                    <xdr:colOff>0</xdr:colOff>
                    <xdr:row>154</xdr:row>
                    <xdr:rowOff>209550</xdr:rowOff>
                  </to>
                </anchor>
              </controlPr>
            </control>
          </mc:Choice>
        </mc:AlternateContent>
        <mc:AlternateContent xmlns:mc="http://schemas.openxmlformats.org/markup-compatibility/2006">
          <mc:Choice Requires="x14">
            <control shapeId="9379" r:id="rId80" name="Check Box 163">
              <controlPr defaultSize="0" autoFill="0" autoLine="0" autoPict="0">
                <anchor moveWithCells="1">
                  <from>
                    <xdr:col>17</xdr:col>
                    <xdr:colOff>9525</xdr:colOff>
                    <xdr:row>154</xdr:row>
                    <xdr:rowOff>28575</xdr:rowOff>
                  </from>
                  <to>
                    <xdr:col>18</xdr:col>
                    <xdr:colOff>0</xdr:colOff>
                    <xdr:row>154</xdr:row>
                    <xdr:rowOff>209550</xdr:rowOff>
                  </to>
                </anchor>
              </controlPr>
            </control>
          </mc:Choice>
        </mc:AlternateContent>
        <mc:AlternateContent xmlns:mc="http://schemas.openxmlformats.org/markup-compatibility/2006">
          <mc:Choice Requires="x14">
            <control shapeId="9380" r:id="rId81" name="Check Box 164">
              <controlPr defaultSize="0" autoFill="0" autoLine="0" autoPict="0">
                <anchor moveWithCells="1">
                  <from>
                    <xdr:col>20</xdr:col>
                    <xdr:colOff>9525</xdr:colOff>
                    <xdr:row>154</xdr:row>
                    <xdr:rowOff>28575</xdr:rowOff>
                  </from>
                  <to>
                    <xdr:col>21</xdr:col>
                    <xdr:colOff>0</xdr:colOff>
                    <xdr:row>154</xdr:row>
                    <xdr:rowOff>209550</xdr:rowOff>
                  </to>
                </anchor>
              </controlPr>
            </control>
          </mc:Choice>
        </mc:AlternateContent>
        <mc:AlternateContent xmlns:mc="http://schemas.openxmlformats.org/markup-compatibility/2006">
          <mc:Choice Requires="x14">
            <control shapeId="9386" r:id="rId82" name="Check Box 170">
              <controlPr defaultSize="0" autoFill="0" autoLine="0" autoPict="0">
                <anchor moveWithCells="1">
                  <from>
                    <xdr:col>8</xdr:col>
                    <xdr:colOff>9525</xdr:colOff>
                    <xdr:row>200</xdr:row>
                    <xdr:rowOff>114300</xdr:rowOff>
                  </from>
                  <to>
                    <xdr:col>9</xdr:col>
                    <xdr:colOff>0</xdr:colOff>
                    <xdr:row>202</xdr:row>
                    <xdr:rowOff>9525</xdr:rowOff>
                  </to>
                </anchor>
              </controlPr>
            </control>
          </mc:Choice>
        </mc:AlternateContent>
        <mc:AlternateContent xmlns:mc="http://schemas.openxmlformats.org/markup-compatibility/2006">
          <mc:Choice Requires="x14">
            <control shapeId="9387" r:id="rId83" name="Check Box 171">
              <controlPr defaultSize="0" autoFill="0" autoLine="0" autoPict="0">
                <anchor moveWithCells="1">
                  <from>
                    <xdr:col>8</xdr:col>
                    <xdr:colOff>9525</xdr:colOff>
                    <xdr:row>201</xdr:row>
                    <xdr:rowOff>114300</xdr:rowOff>
                  </from>
                  <to>
                    <xdr:col>9</xdr:col>
                    <xdr:colOff>0</xdr:colOff>
                    <xdr:row>203</xdr:row>
                    <xdr:rowOff>9525</xdr:rowOff>
                  </to>
                </anchor>
              </controlPr>
            </control>
          </mc:Choice>
        </mc:AlternateContent>
        <mc:AlternateContent xmlns:mc="http://schemas.openxmlformats.org/markup-compatibility/2006">
          <mc:Choice Requires="x14">
            <control shapeId="9388" r:id="rId84" name="Check Box 172">
              <controlPr defaultSize="0" autoFill="0" autoLine="0" autoPict="0">
                <anchor moveWithCells="1">
                  <from>
                    <xdr:col>15</xdr:col>
                    <xdr:colOff>9525</xdr:colOff>
                    <xdr:row>200</xdr:row>
                    <xdr:rowOff>114300</xdr:rowOff>
                  </from>
                  <to>
                    <xdr:col>16</xdr:col>
                    <xdr:colOff>0</xdr:colOff>
                    <xdr:row>202</xdr:row>
                    <xdr:rowOff>9525</xdr:rowOff>
                  </to>
                </anchor>
              </controlPr>
            </control>
          </mc:Choice>
        </mc:AlternateContent>
        <mc:AlternateContent xmlns:mc="http://schemas.openxmlformats.org/markup-compatibility/2006">
          <mc:Choice Requires="x14">
            <control shapeId="9389" r:id="rId85" name="Check Box 173">
              <controlPr defaultSize="0" autoFill="0" autoLine="0" autoPict="0">
                <anchor moveWithCells="1">
                  <from>
                    <xdr:col>15</xdr:col>
                    <xdr:colOff>9525</xdr:colOff>
                    <xdr:row>201</xdr:row>
                    <xdr:rowOff>114300</xdr:rowOff>
                  </from>
                  <to>
                    <xdr:col>16</xdr:col>
                    <xdr:colOff>0</xdr:colOff>
                    <xdr:row>203</xdr:row>
                    <xdr:rowOff>9525</xdr:rowOff>
                  </to>
                </anchor>
              </controlPr>
            </control>
          </mc:Choice>
        </mc:AlternateContent>
        <mc:AlternateContent xmlns:mc="http://schemas.openxmlformats.org/markup-compatibility/2006">
          <mc:Choice Requires="x14">
            <control shapeId="9392" r:id="rId86" name="Check Box 176">
              <controlPr defaultSize="0" autoFill="0" autoLine="0" autoPict="0">
                <anchor moveWithCells="1">
                  <from>
                    <xdr:col>22</xdr:col>
                    <xdr:colOff>9525</xdr:colOff>
                    <xdr:row>200</xdr:row>
                    <xdr:rowOff>114300</xdr:rowOff>
                  </from>
                  <to>
                    <xdr:col>23</xdr:col>
                    <xdr:colOff>0</xdr:colOff>
                    <xdr:row>202</xdr:row>
                    <xdr:rowOff>9525</xdr:rowOff>
                  </to>
                </anchor>
              </controlPr>
            </control>
          </mc:Choice>
        </mc:AlternateContent>
        <mc:AlternateContent xmlns:mc="http://schemas.openxmlformats.org/markup-compatibility/2006">
          <mc:Choice Requires="x14">
            <control shapeId="9393" r:id="rId87" name="Check Box 177">
              <controlPr defaultSize="0" autoFill="0" autoLine="0" autoPict="0">
                <anchor moveWithCells="1">
                  <from>
                    <xdr:col>22</xdr:col>
                    <xdr:colOff>9525</xdr:colOff>
                    <xdr:row>201</xdr:row>
                    <xdr:rowOff>114300</xdr:rowOff>
                  </from>
                  <to>
                    <xdr:col>23</xdr:col>
                    <xdr:colOff>0</xdr:colOff>
                    <xdr:row>203</xdr:row>
                    <xdr:rowOff>9525</xdr:rowOff>
                  </to>
                </anchor>
              </controlPr>
            </control>
          </mc:Choice>
        </mc:AlternateContent>
        <mc:AlternateContent xmlns:mc="http://schemas.openxmlformats.org/markup-compatibility/2006">
          <mc:Choice Requires="x14">
            <control shapeId="9394" r:id="rId88" name="Check Box 178">
              <controlPr defaultSize="0" autoFill="0" autoLine="0" autoPict="0">
                <anchor moveWithCells="1">
                  <from>
                    <xdr:col>29</xdr:col>
                    <xdr:colOff>9525</xdr:colOff>
                    <xdr:row>200</xdr:row>
                    <xdr:rowOff>114300</xdr:rowOff>
                  </from>
                  <to>
                    <xdr:col>30</xdr:col>
                    <xdr:colOff>0</xdr:colOff>
                    <xdr:row>202</xdr:row>
                    <xdr:rowOff>9525</xdr:rowOff>
                  </to>
                </anchor>
              </controlPr>
            </control>
          </mc:Choice>
        </mc:AlternateContent>
        <mc:AlternateContent xmlns:mc="http://schemas.openxmlformats.org/markup-compatibility/2006">
          <mc:Choice Requires="x14">
            <control shapeId="9395" r:id="rId89" name="Check Box 179">
              <controlPr defaultSize="0" autoFill="0" autoLine="0" autoPict="0">
                <anchor moveWithCells="1">
                  <from>
                    <xdr:col>29</xdr:col>
                    <xdr:colOff>9525</xdr:colOff>
                    <xdr:row>201</xdr:row>
                    <xdr:rowOff>114300</xdr:rowOff>
                  </from>
                  <to>
                    <xdr:col>30</xdr:col>
                    <xdr:colOff>0</xdr:colOff>
                    <xdr:row>203</xdr:row>
                    <xdr:rowOff>9525</xdr:rowOff>
                  </to>
                </anchor>
              </controlPr>
            </control>
          </mc:Choice>
        </mc:AlternateContent>
        <mc:AlternateContent xmlns:mc="http://schemas.openxmlformats.org/markup-compatibility/2006">
          <mc:Choice Requires="x14">
            <control shapeId="9396" r:id="rId90" name="Check Box 180">
              <controlPr defaultSize="0" autoFill="0" autoLine="0" autoPict="0">
                <anchor moveWithCells="1">
                  <from>
                    <xdr:col>13</xdr:col>
                    <xdr:colOff>0</xdr:colOff>
                    <xdr:row>2</xdr:row>
                    <xdr:rowOff>161925</xdr:rowOff>
                  </from>
                  <to>
                    <xdr:col>13</xdr:col>
                    <xdr:colOff>180975</xdr:colOff>
                    <xdr:row>4</xdr:row>
                    <xdr:rowOff>0</xdr:rowOff>
                  </to>
                </anchor>
              </controlPr>
            </control>
          </mc:Choice>
        </mc:AlternateContent>
        <mc:AlternateContent xmlns:mc="http://schemas.openxmlformats.org/markup-compatibility/2006">
          <mc:Choice Requires="x14">
            <control shapeId="9397" r:id="rId91" name="Check Box 181">
              <controlPr defaultSize="0" autoFill="0" autoLine="0" autoPict="0">
                <anchor moveWithCells="1">
                  <from>
                    <xdr:col>16</xdr:col>
                    <xdr:colOff>9525</xdr:colOff>
                    <xdr:row>2</xdr:row>
                    <xdr:rowOff>161925</xdr:rowOff>
                  </from>
                  <to>
                    <xdr:col>17</xdr:col>
                    <xdr:colOff>0</xdr:colOff>
                    <xdr:row>4</xdr:row>
                    <xdr:rowOff>0</xdr:rowOff>
                  </to>
                </anchor>
              </controlPr>
            </control>
          </mc:Choice>
        </mc:AlternateContent>
        <mc:AlternateContent xmlns:mc="http://schemas.openxmlformats.org/markup-compatibility/2006">
          <mc:Choice Requires="x14">
            <control shapeId="9398" r:id="rId92" name="Check Box 182">
              <controlPr defaultSize="0" autoFill="0" autoLine="0" autoPict="0">
                <anchor moveWithCells="1">
                  <from>
                    <xdr:col>19</xdr:col>
                    <xdr:colOff>9525</xdr:colOff>
                    <xdr:row>2</xdr:row>
                    <xdr:rowOff>161925</xdr:rowOff>
                  </from>
                  <to>
                    <xdr:col>20</xdr:col>
                    <xdr:colOff>0</xdr:colOff>
                    <xdr:row>4</xdr:row>
                    <xdr:rowOff>0</xdr:rowOff>
                  </to>
                </anchor>
              </controlPr>
            </control>
          </mc:Choice>
        </mc:AlternateContent>
        <mc:AlternateContent xmlns:mc="http://schemas.openxmlformats.org/markup-compatibility/2006">
          <mc:Choice Requires="x14">
            <control shapeId="9399" r:id="rId93" name="Check Box 183">
              <controlPr defaultSize="0" autoFill="0" autoLine="0" autoPict="0">
                <anchor moveWithCells="1">
                  <from>
                    <xdr:col>10</xdr:col>
                    <xdr:colOff>0</xdr:colOff>
                    <xdr:row>2</xdr:row>
                    <xdr:rowOff>161925</xdr:rowOff>
                  </from>
                  <to>
                    <xdr:col>10</xdr:col>
                    <xdr:colOff>180975</xdr:colOff>
                    <xdr:row>4</xdr:row>
                    <xdr:rowOff>0</xdr:rowOff>
                  </to>
                </anchor>
              </controlPr>
            </control>
          </mc:Choice>
        </mc:AlternateContent>
        <mc:AlternateContent xmlns:mc="http://schemas.openxmlformats.org/markup-compatibility/2006">
          <mc:Choice Requires="x14">
            <control shapeId="9400" r:id="rId94" name="Check Box 184">
              <controlPr defaultSize="0" autoFill="0" autoLine="0" autoPict="0">
                <anchor moveWithCells="1">
                  <from>
                    <xdr:col>0</xdr:col>
                    <xdr:colOff>0</xdr:colOff>
                    <xdr:row>111</xdr:row>
                    <xdr:rowOff>0</xdr:rowOff>
                  </from>
                  <to>
                    <xdr:col>0</xdr:col>
                    <xdr:colOff>180975</xdr:colOff>
                    <xdr:row>111</xdr:row>
                    <xdr:rowOff>180975</xdr:rowOff>
                  </to>
                </anchor>
              </controlPr>
            </control>
          </mc:Choice>
        </mc:AlternateContent>
        <mc:AlternateContent xmlns:mc="http://schemas.openxmlformats.org/markup-compatibility/2006">
          <mc:Choice Requires="x14">
            <control shapeId="9401" r:id="rId95" name="Check Box 185">
              <controlPr defaultSize="0" autoFill="0" autoLine="0" autoPict="0">
                <anchor moveWithCells="1">
                  <from>
                    <xdr:col>0</xdr:col>
                    <xdr:colOff>0</xdr:colOff>
                    <xdr:row>110</xdr:row>
                    <xdr:rowOff>0</xdr:rowOff>
                  </from>
                  <to>
                    <xdr:col>0</xdr:col>
                    <xdr:colOff>180975</xdr:colOff>
                    <xdr:row>110</xdr:row>
                    <xdr:rowOff>180975</xdr:rowOff>
                  </to>
                </anchor>
              </controlPr>
            </control>
          </mc:Choice>
        </mc:AlternateContent>
        <mc:AlternateContent xmlns:mc="http://schemas.openxmlformats.org/markup-compatibility/2006">
          <mc:Choice Requires="x14">
            <control shapeId="9402" r:id="rId96" name="Check Box 186">
              <controlPr defaultSize="0" autoFill="0" autoLine="0" autoPict="0">
                <anchor moveWithCells="1">
                  <from>
                    <xdr:col>0</xdr:col>
                    <xdr:colOff>0</xdr:colOff>
                    <xdr:row>109</xdr:row>
                    <xdr:rowOff>0</xdr:rowOff>
                  </from>
                  <to>
                    <xdr:col>0</xdr:col>
                    <xdr:colOff>180975</xdr:colOff>
                    <xdr:row>109</xdr:row>
                    <xdr:rowOff>180975</xdr:rowOff>
                  </to>
                </anchor>
              </controlPr>
            </control>
          </mc:Choice>
        </mc:AlternateContent>
        <mc:AlternateContent xmlns:mc="http://schemas.openxmlformats.org/markup-compatibility/2006">
          <mc:Choice Requires="x14">
            <control shapeId="9403" r:id="rId97" name="Check Box 187">
              <controlPr defaultSize="0" autoFill="0" autoLine="0" autoPict="0">
                <anchor moveWithCells="1">
                  <from>
                    <xdr:col>0</xdr:col>
                    <xdr:colOff>0</xdr:colOff>
                    <xdr:row>108</xdr:row>
                    <xdr:rowOff>0</xdr:rowOff>
                  </from>
                  <to>
                    <xdr:col>0</xdr:col>
                    <xdr:colOff>180975</xdr:colOff>
                    <xdr:row>108</xdr:row>
                    <xdr:rowOff>180975</xdr:rowOff>
                  </to>
                </anchor>
              </controlPr>
            </control>
          </mc:Choice>
        </mc:AlternateContent>
        <mc:AlternateContent xmlns:mc="http://schemas.openxmlformats.org/markup-compatibility/2006">
          <mc:Choice Requires="x14">
            <control shapeId="9404" r:id="rId98" name="Check Box 188">
              <controlPr defaultSize="0" autoFill="0" autoLine="0" autoPict="0">
                <anchor moveWithCells="1">
                  <from>
                    <xdr:col>0</xdr:col>
                    <xdr:colOff>0</xdr:colOff>
                    <xdr:row>107</xdr:row>
                    <xdr:rowOff>0</xdr:rowOff>
                  </from>
                  <to>
                    <xdr:col>0</xdr:col>
                    <xdr:colOff>180975</xdr:colOff>
                    <xdr:row>107</xdr:row>
                    <xdr:rowOff>180975</xdr:rowOff>
                  </to>
                </anchor>
              </controlPr>
            </control>
          </mc:Choice>
        </mc:AlternateContent>
        <mc:AlternateContent xmlns:mc="http://schemas.openxmlformats.org/markup-compatibility/2006">
          <mc:Choice Requires="x14">
            <control shapeId="9405" r:id="rId99" name="Check Box 189">
              <controlPr defaultSize="0" autoFill="0" autoLine="0" autoPict="0">
                <anchor moveWithCells="1">
                  <from>
                    <xdr:col>0</xdr:col>
                    <xdr:colOff>0</xdr:colOff>
                    <xdr:row>106</xdr:row>
                    <xdr:rowOff>0</xdr:rowOff>
                  </from>
                  <to>
                    <xdr:col>0</xdr:col>
                    <xdr:colOff>180975</xdr:colOff>
                    <xdr:row>106</xdr:row>
                    <xdr:rowOff>180975</xdr:rowOff>
                  </to>
                </anchor>
              </controlPr>
            </control>
          </mc:Choice>
        </mc:AlternateContent>
        <mc:AlternateContent xmlns:mc="http://schemas.openxmlformats.org/markup-compatibility/2006">
          <mc:Choice Requires="x14">
            <control shapeId="9406" r:id="rId100" name="Check Box 190">
              <controlPr defaultSize="0" autoFill="0" autoLine="0" autoPict="0">
                <anchor moveWithCells="1">
                  <from>
                    <xdr:col>0</xdr:col>
                    <xdr:colOff>0</xdr:colOff>
                    <xdr:row>105</xdr:row>
                    <xdr:rowOff>0</xdr:rowOff>
                  </from>
                  <to>
                    <xdr:col>0</xdr:col>
                    <xdr:colOff>180975</xdr:colOff>
                    <xdr:row>105</xdr:row>
                    <xdr:rowOff>180975</xdr:rowOff>
                  </to>
                </anchor>
              </controlPr>
            </control>
          </mc:Choice>
        </mc:AlternateContent>
        <mc:AlternateContent xmlns:mc="http://schemas.openxmlformats.org/markup-compatibility/2006">
          <mc:Choice Requires="x14">
            <control shapeId="9407" r:id="rId101" name="Check Box 191">
              <controlPr defaultSize="0" autoFill="0" autoLine="0" autoPict="0">
                <anchor moveWithCells="1">
                  <from>
                    <xdr:col>0</xdr:col>
                    <xdr:colOff>0</xdr:colOff>
                    <xdr:row>104</xdr:row>
                    <xdr:rowOff>0</xdr:rowOff>
                  </from>
                  <to>
                    <xdr:col>0</xdr:col>
                    <xdr:colOff>180975</xdr:colOff>
                    <xdr:row>104</xdr:row>
                    <xdr:rowOff>180975</xdr:rowOff>
                  </to>
                </anchor>
              </controlPr>
            </control>
          </mc:Choice>
        </mc:AlternateContent>
        <mc:AlternateContent xmlns:mc="http://schemas.openxmlformats.org/markup-compatibility/2006">
          <mc:Choice Requires="x14">
            <control shapeId="9408" r:id="rId102" name="Check Box 192">
              <controlPr defaultSize="0" autoFill="0" autoLine="0" autoPict="0">
                <anchor moveWithCells="1">
                  <from>
                    <xdr:col>0</xdr:col>
                    <xdr:colOff>0</xdr:colOff>
                    <xdr:row>103</xdr:row>
                    <xdr:rowOff>0</xdr:rowOff>
                  </from>
                  <to>
                    <xdr:col>0</xdr:col>
                    <xdr:colOff>180975</xdr:colOff>
                    <xdr:row>103</xdr:row>
                    <xdr:rowOff>180975</xdr:rowOff>
                  </to>
                </anchor>
              </controlPr>
            </control>
          </mc:Choice>
        </mc:AlternateContent>
        <mc:AlternateContent xmlns:mc="http://schemas.openxmlformats.org/markup-compatibility/2006">
          <mc:Choice Requires="x14">
            <control shapeId="9409" r:id="rId103" name="Check Box 193">
              <controlPr defaultSize="0" autoFill="0" autoLine="0" autoPict="0">
                <anchor moveWithCells="1">
                  <from>
                    <xdr:col>0</xdr:col>
                    <xdr:colOff>0</xdr:colOff>
                    <xdr:row>102</xdr:row>
                    <xdr:rowOff>0</xdr:rowOff>
                  </from>
                  <to>
                    <xdr:col>0</xdr:col>
                    <xdr:colOff>180975</xdr:colOff>
                    <xdr:row>102</xdr:row>
                    <xdr:rowOff>180975</xdr:rowOff>
                  </to>
                </anchor>
              </controlPr>
            </control>
          </mc:Choice>
        </mc:AlternateContent>
        <mc:AlternateContent xmlns:mc="http://schemas.openxmlformats.org/markup-compatibility/2006">
          <mc:Choice Requires="x14">
            <control shapeId="9410" r:id="rId104" name="Check Box 194">
              <controlPr defaultSize="0" autoFill="0" autoLine="0" autoPict="0">
                <anchor moveWithCells="1">
                  <from>
                    <xdr:col>0</xdr:col>
                    <xdr:colOff>0</xdr:colOff>
                    <xdr:row>101</xdr:row>
                    <xdr:rowOff>0</xdr:rowOff>
                  </from>
                  <to>
                    <xdr:col>0</xdr:col>
                    <xdr:colOff>180975</xdr:colOff>
                    <xdr:row>101</xdr:row>
                    <xdr:rowOff>180975</xdr:rowOff>
                  </to>
                </anchor>
              </controlPr>
            </control>
          </mc:Choice>
        </mc:AlternateContent>
        <mc:AlternateContent xmlns:mc="http://schemas.openxmlformats.org/markup-compatibility/2006">
          <mc:Choice Requires="x14">
            <control shapeId="9411" r:id="rId105" name="Check Box 195">
              <controlPr defaultSize="0" autoFill="0" autoLine="0" autoPict="0">
                <anchor moveWithCells="1">
                  <from>
                    <xdr:col>18</xdr:col>
                    <xdr:colOff>38100</xdr:colOff>
                    <xdr:row>101</xdr:row>
                    <xdr:rowOff>0</xdr:rowOff>
                  </from>
                  <to>
                    <xdr:col>19</xdr:col>
                    <xdr:colOff>0</xdr:colOff>
                    <xdr:row>101</xdr:row>
                    <xdr:rowOff>180975</xdr:rowOff>
                  </to>
                </anchor>
              </controlPr>
            </control>
          </mc:Choice>
        </mc:AlternateContent>
        <mc:AlternateContent xmlns:mc="http://schemas.openxmlformats.org/markup-compatibility/2006">
          <mc:Choice Requires="x14">
            <control shapeId="9412" r:id="rId106" name="Check Box 196">
              <controlPr defaultSize="0" autoFill="0" autoLine="0" autoPict="0">
                <anchor moveWithCells="1">
                  <from>
                    <xdr:col>18</xdr:col>
                    <xdr:colOff>38100</xdr:colOff>
                    <xdr:row>102</xdr:row>
                    <xdr:rowOff>0</xdr:rowOff>
                  </from>
                  <to>
                    <xdr:col>19</xdr:col>
                    <xdr:colOff>0</xdr:colOff>
                    <xdr:row>102</xdr:row>
                    <xdr:rowOff>180975</xdr:rowOff>
                  </to>
                </anchor>
              </controlPr>
            </control>
          </mc:Choice>
        </mc:AlternateContent>
        <mc:AlternateContent xmlns:mc="http://schemas.openxmlformats.org/markup-compatibility/2006">
          <mc:Choice Requires="x14">
            <control shapeId="9413" r:id="rId107" name="Check Box 197">
              <controlPr defaultSize="0" autoFill="0" autoLine="0" autoPict="0">
                <anchor moveWithCells="1">
                  <from>
                    <xdr:col>18</xdr:col>
                    <xdr:colOff>38100</xdr:colOff>
                    <xdr:row>103</xdr:row>
                    <xdr:rowOff>0</xdr:rowOff>
                  </from>
                  <to>
                    <xdr:col>19</xdr:col>
                    <xdr:colOff>0</xdr:colOff>
                    <xdr:row>103</xdr:row>
                    <xdr:rowOff>180975</xdr:rowOff>
                  </to>
                </anchor>
              </controlPr>
            </control>
          </mc:Choice>
        </mc:AlternateContent>
        <mc:AlternateContent xmlns:mc="http://schemas.openxmlformats.org/markup-compatibility/2006">
          <mc:Choice Requires="x14">
            <control shapeId="9414" r:id="rId108" name="Check Box 198">
              <controlPr defaultSize="0" autoFill="0" autoLine="0" autoPict="0">
                <anchor moveWithCells="1">
                  <from>
                    <xdr:col>18</xdr:col>
                    <xdr:colOff>38100</xdr:colOff>
                    <xdr:row>104</xdr:row>
                    <xdr:rowOff>0</xdr:rowOff>
                  </from>
                  <to>
                    <xdr:col>19</xdr:col>
                    <xdr:colOff>0</xdr:colOff>
                    <xdr:row>104</xdr:row>
                    <xdr:rowOff>180975</xdr:rowOff>
                  </to>
                </anchor>
              </controlPr>
            </control>
          </mc:Choice>
        </mc:AlternateContent>
        <mc:AlternateContent xmlns:mc="http://schemas.openxmlformats.org/markup-compatibility/2006">
          <mc:Choice Requires="x14">
            <control shapeId="9415" r:id="rId109" name="Check Box 199">
              <controlPr defaultSize="0" autoFill="0" autoLine="0" autoPict="0">
                <anchor moveWithCells="1">
                  <from>
                    <xdr:col>18</xdr:col>
                    <xdr:colOff>38100</xdr:colOff>
                    <xdr:row>105</xdr:row>
                    <xdr:rowOff>0</xdr:rowOff>
                  </from>
                  <to>
                    <xdr:col>19</xdr:col>
                    <xdr:colOff>0</xdr:colOff>
                    <xdr:row>105</xdr:row>
                    <xdr:rowOff>180975</xdr:rowOff>
                  </to>
                </anchor>
              </controlPr>
            </control>
          </mc:Choice>
        </mc:AlternateContent>
        <mc:AlternateContent xmlns:mc="http://schemas.openxmlformats.org/markup-compatibility/2006">
          <mc:Choice Requires="x14">
            <control shapeId="9416" r:id="rId110" name="Check Box 200">
              <controlPr defaultSize="0" autoFill="0" autoLine="0" autoPict="0">
                <anchor moveWithCells="1">
                  <from>
                    <xdr:col>18</xdr:col>
                    <xdr:colOff>38100</xdr:colOff>
                    <xdr:row>106</xdr:row>
                    <xdr:rowOff>0</xdr:rowOff>
                  </from>
                  <to>
                    <xdr:col>19</xdr:col>
                    <xdr:colOff>0</xdr:colOff>
                    <xdr:row>106</xdr:row>
                    <xdr:rowOff>180975</xdr:rowOff>
                  </to>
                </anchor>
              </controlPr>
            </control>
          </mc:Choice>
        </mc:AlternateContent>
        <mc:AlternateContent xmlns:mc="http://schemas.openxmlformats.org/markup-compatibility/2006">
          <mc:Choice Requires="x14">
            <control shapeId="9417" r:id="rId111" name="Check Box 201">
              <controlPr defaultSize="0" autoFill="0" autoLine="0" autoPict="0">
                <anchor moveWithCells="1">
                  <from>
                    <xdr:col>18</xdr:col>
                    <xdr:colOff>38100</xdr:colOff>
                    <xdr:row>107</xdr:row>
                    <xdr:rowOff>0</xdr:rowOff>
                  </from>
                  <to>
                    <xdr:col>19</xdr:col>
                    <xdr:colOff>0</xdr:colOff>
                    <xdr:row>107</xdr:row>
                    <xdr:rowOff>180975</xdr:rowOff>
                  </to>
                </anchor>
              </controlPr>
            </control>
          </mc:Choice>
        </mc:AlternateContent>
        <mc:AlternateContent xmlns:mc="http://schemas.openxmlformats.org/markup-compatibility/2006">
          <mc:Choice Requires="x14">
            <control shapeId="9418" r:id="rId112" name="Check Box 202">
              <controlPr defaultSize="0" autoFill="0" autoLine="0" autoPict="0">
                <anchor moveWithCells="1">
                  <from>
                    <xdr:col>18</xdr:col>
                    <xdr:colOff>38100</xdr:colOff>
                    <xdr:row>108</xdr:row>
                    <xdr:rowOff>0</xdr:rowOff>
                  </from>
                  <to>
                    <xdr:col>19</xdr:col>
                    <xdr:colOff>0</xdr:colOff>
                    <xdr:row>108</xdr:row>
                    <xdr:rowOff>180975</xdr:rowOff>
                  </to>
                </anchor>
              </controlPr>
            </control>
          </mc:Choice>
        </mc:AlternateContent>
        <mc:AlternateContent xmlns:mc="http://schemas.openxmlformats.org/markup-compatibility/2006">
          <mc:Choice Requires="x14">
            <control shapeId="9419" r:id="rId113" name="Check Box 203">
              <controlPr defaultSize="0" autoFill="0" autoLine="0" autoPict="0">
                <anchor moveWithCells="1">
                  <from>
                    <xdr:col>32</xdr:col>
                    <xdr:colOff>142875</xdr:colOff>
                    <xdr:row>103</xdr:row>
                    <xdr:rowOff>0</xdr:rowOff>
                  </from>
                  <to>
                    <xdr:col>33</xdr:col>
                    <xdr:colOff>133350</xdr:colOff>
                    <xdr:row>103</xdr:row>
                    <xdr:rowOff>180975</xdr:rowOff>
                  </to>
                </anchor>
              </controlPr>
            </control>
          </mc:Choice>
        </mc:AlternateContent>
        <mc:AlternateContent xmlns:mc="http://schemas.openxmlformats.org/markup-compatibility/2006">
          <mc:Choice Requires="x14">
            <control shapeId="9420" r:id="rId114" name="Check Box 204">
              <controlPr defaultSize="0" autoFill="0" autoLine="0" autoPict="0">
                <anchor moveWithCells="1">
                  <from>
                    <xdr:col>29</xdr:col>
                    <xdr:colOff>161925</xdr:colOff>
                    <xdr:row>103</xdr:row>
                    <xdr:rowOff>0</xdr:rowOff>
                  </from>
                  <to>
                    <xdr:col>30</xdr:col>
                    <xdr:colOff>152400</xdr:colOff>
                    <xdr:row>103</xdr:row>
                    <xdr:rowOff>180975</xdr:rowOff>
                  </to>
                </anchor>
              </controlPr>
            </control>
          </mc:Choice>
        </mc:AlternateContent>
        <mc:AlternateContent xmlns:mc="http://schemas.openxmlformats.org/markup-compatibility/2006">
          <mc:Choice Requires="x14">
            <control shapeId="9421" r:id="rId115" name="Check Box 205">
              <controlPr defaultSize="0" autoFill="0" autoLine="0" autoPict="0">
                <anchor moveWithCells="1">
                  <from>
                    <xdr:col>0</xdr:col>
                    <xdr:colOff>0</xdr:colOff>
                    <xdr:row>113</xdr:row>
                    <xdr:rowOff>0</xdr:rowOff>
                  </from>
                  <to>
                    <xdr:col>0</xdr:col>
                    <xdr:colOff>180975</xdr:colOff>
                    <xdr:row>113</xdr:row>
                    <xdr:rowOff>180975</xdr:rowOff>
                  </to>
                </anchor>
              </controlPr>
            </control>
          </mc:Choice>
        </mc:AlternateContent>
        <mc:AlternateContent xmlns:mc="http://schemas.openxmlformats.org/markup-compatibility/2006">
          <mc:Choice Requires="x14">
            <control shapeId="9422" r:id="rId116" name="Check Box 206">
              <controlPr defaultSize="0" autoFill="0" autoLine="0" autoPict="0">
                <anchor moveWithCells="1">
                  <from>
                    <xdr:col>0</xdr:col>
                    <xdr:colOff>0</xdr:colOff>
                    <xdr:row>114</xdr:row>
                    <xdr:rowOff>0</xdr:rowOff>
                  </from>
                  <to>
                    <xdr:col>0</xdr:col>
                    <xdr:colOff>180975</xdr:colOff>
                    <xdr:row>114</xdr:row>
                    <xdr:rowOff>180975</xdr:rowOff>
                  </to>
                </anchor>
              </controlPr>
            </control>
          </mc:Choice>
        </mc:AlternateContent>
        <mc:AlternateContent xmlns:mc="http://schemas.openxmlformats.org/markup-compatibility/2006">
          <mc:Choice Requires="x14">
            <control shapeId="9423" r:id="rId117" name="Check Box 207">
              <controlPr defaultSize="0" autoFill="0" autoLine="0" autoPict="0">
                <anchor moveWithCells="1">
                  <from>
                    <xdr:col>0</xdr:col>
                    <xdr:colOff>0</xdr:colOff>
                    <xdr:row>115</xdr:row>
                    <xdr:rowOff>0</xdr:rowOff>
                  </from>
                  <to>
                    <xdr:col>0</xdr:col>
                    <xdr:colOff>180975</xdr:colOff>
                    <xdr:row>115</xdr:row>
                    <xdr:rowOff>180975</xdr:rowOff>
                  </to>
                </anchor>
              </controlPr>
            </control>
          </mc:Choice>
        </mc:AlternateContent>
        <mc:AlternateContent xmlns:mc="http://schemas.openxmlformats.org/markup-compatibility/2006">
          <mc:Choice Requires="x14">
            <control shapeId="9424" r:id="rId118" name="Check Box 208">
              <controlPr defaultSize="0" autoFill="0" autoLine="0" autoPict="0">
                <anchor moveWithCells="1">
                  <from>
                    <xdr:col>0</xdr:col>
                    <xdr:colOff>0</xdr:colOff>
                    <xdr:row>116</xdr:row>
                    <xdr:rowOff>0</xdr:rowOff>
                  </from>
                  <to>
                    <xdr:col>0</xdr:col>
                    <xdr:colOff>180975</xdr:colOff>
                    <xdr:row>116</xdr:row>
                    <xdr:rowOff>180975</xdr:rowOff>
                  </to>
                </anchor>
              </controlPr>
            </control>
          </mc:Choice>
        </mc:AlternateContent>
        <mc:AlternateContent xmlns:mc="http://schemas.openxmlformats.org/markup-compatibility/2006">
          <mc:Choice Requires="x14">
            <control shapeId="9425" r:id="rId119" name="Check Box 209">
              <controlPr defaultSize="0" autoFill="0" autoLine="0" autoPict="0">
                <anchor moveWithCells="1">
                  <from>
                    <xdr:col>0</xdr:col>
                    <xdr:colOff>0</xdr:colOff>
                    <xdr:row>117</xdr:row>
                    <xdr:rowOff>0</xdr:rowOff>
                  </from>
                  <to>
                    <xdr:col>0</xdr:col>
                    <xdr:colOff>180975</xdr:colOff>
                    <xdr:row>117</xdr:row>
                    <xdr:rowOff>180975</xdr:rowOff>
                  </to>
                </anchor>
              </controlPr>
            </control>
          </mc:Choice>
        </mc:AlternateContent>
        <mc:AlternateContent xmlns:mc="http://schemas.openxmlformats.org/markup-compatibility/2006">
          <mc:Choice Requires="x14">
            <control shapeId="9426" r:id="rId120" name="Check Box 210">
              <controlPr defaultSize="0" autoFill="0" autoLine="0" autoPict="0">
                <anchor moveWithCells="1">
                  <from>
                    <xdr:col>0</xdr:col>
                    <xdr:colOff>0</xdr:colOff>
                    <xdr:row>118</xdr:row>
                    <xdr:rowOff>0</xdr:rowOff>
                  </from>
                  <to>
                    <xdr:col>0</xdr:col>
                    <xdr:colOff>180975</xdr:colOff>
                    <xdr:row>118</xdr:row>
                    <xdr:rowOff>180975</xdr:rowOff>
                  </to>
                </anchor>
              </controlPr>
            </control>
          </mc:Choice>
        </mc:AlternateContent>
        <mc:AlternateContent xmlns:mc="http://schemas.openxmlformats.org/markup-compatibility/2006">
          <mc:Choice Requires="x14">
            <control shapeId="9427" r:id="rId121" name="Check Box 211">
              <controlPr defaultSize="0" autoFill="0" autoLine="0" autoPict="0">
                <anchor moveWithCells="1">
                  <from>
                    <xdr:col>0</xdr:col>
                    <xdr:colOff>0</xdr:colOff>
                    <xdr:row>119</xdr:row>
                    <xdr:rowOff>0</xdr:rowOff>
                  </from>
                  <to>
                    <xdr:col>0</xdr:col>
                    <xdr:colOff>180975</xdr:colOff>
                    <xdr:row>119</xdr:row>
                    <xdr:rowOff>180975</xdr:rowOff>
                  </to>
                </anchor>
              </controlPr>
            </control>
          </mc:Choice>
        </mc:AlternateContent>
        <mc:AlternateContent xmlns:mc="http://schemas.openxmlformats.org/markup-compatibility/2006">
          <mc:Choice Requires="x14">
            <control shapeId="9428" r:id="rId122" name="Check Box 212">
              <controlPr defaultSize="0" autoFill="0" autoLine="0" autoPict="0">
                <anchor moveWithCells="1">
                  <from>
                    <xdr:col>0</xdr:col>
                    <xdr:colOff>0</xdr:colOff>
                    <xdr:row>120</xdr:row>
                    <xdr:rowOff>0</xdr:rowOff>
                  </from>
                  <to>
                    <xdr:col>0</xdr:col>
                    <xdr:colOff>180975</xdr:colOff>
                    <xdr:row>120</xdr:row>
                    <xdr:rowOff>180975</xdr:rowOff>
                  </to>
                </anchor>
              </controlPr>
            </control>
          </mc:Choice>
        </mc:AlternateContent>
        <mc:AlternateContent xmlns:mc="http://schemas.openxmlformats.org/markup-compatibility/2006">
          <mc:Choice Requires="x14">
            <control shapeId="9429" r:id="rId123" name="Check Box 213">
              <controlPr defaultSize="0" autoFill="0" autoLine="0" autoPict="0">
                <anchor moveWithCells="1">
                  <from>
                    <xdr:col>18</xdr:col>
                    <xdr:colOff>28575</xdr:colOff>
                    <xdr:row>113</xdr:row>
                    <xdr:rowOff>0</xdr:rowOff>
                  </from>
                  <to>
                    <xdr:col>18</xdr:col>
                    <xdr:colOff>209550</xdr:colOff>
                    <xdr:row>113</xdr:row>
                    <xdr:rowOff>180975</xdr:rowOff>
                  </to>
                </anchor>
              </controlPr>
            </control>
          </mc:Choice>
        </mc:AlternateContent>
        <mc:AlternateContent xmlns:mc="http://schemas.openxmlformats.org/markup-compatibility/2006">
          <mc:Choice Requires="x14">
            <control shapeId="9430" r:id="rId124" name="Check Box 214">
              <controlPr defaultSize="0" autoFill="0" autoLine="0" autoPict="0">
                <anchor moveWithCells="1">
                  <from>
                    <xdr:col>18</xdr:col>
                    <xdr:colOff>28575</xdr:colOff>
                    <xdr:row>114</xdr:row>
                    <xdr:rowOff>0</xdr:rowOff>
                  </from>
                  <to>
                    <xdr:col>18</xdr:col>
                    <xdr:colOff>209550</xdr:colOff>
                    <xdr:row>114</xdr:row>
                    <xdr:rowOff>180975</xdr:rowOff>
                  </to>
                </anchor>
              </controlPr>
            </control>
          </mc:Choice>
        </mc:AlternateContent>
        <mc:AlternateContent xmlns:mc="http://schemas.openxmlformats.org/markup-compatibility/2006">
          <mc:Choice Requires="x14">
            <control shapeId="9431" r:id="rId125" name="Check Box 215">
              <controlPr defaultSize="0" autoFill="0" autoLine="0" autoPict="0">
                <anchor moveWithCells="1">
                  <from>
                    <xdr:col>18</xdr:col>
                    <xdr:colOff>28575</xdr:colOff>
                    <xdr:row>115</xdr:row>
                    <xdr:rowOff>0</xdr:rowOff>
                  </from>
                  <to>
                    <xdr:col>18</xdr:col>
                    <xdr:colOff>209550</xdr:colOff>
                    <xdr:row>115</xdr:row>
                    <xdr:rowOff>180975</xdr:rowOff>
                  </to>
                </anchor>
              </controlPr>
            </control>
          </mc:Choice>
        </mc:AlternateContent>
        <mc:AlternateContent xmlns:mc="http://schemas.openxmlformats.org/markup-compatibility/2006">
          <mc:Choice Requires="x14">
            <control shapeId="9432" r:id="rId126" name="Check Box 216">
              <controlPr defaultSize="0" autoFill="0" autoLine="0" autoPict="0">
                <anchor moveWithCells="1">
                  <from>
                    <xdr:col>18</xdr:col>
                    <xdr:colOff>28575</xdr:colOff>
                    <xdr:row>117</xdr:row>
                    <xdr:rowOff>0</xdr:rowOff>
                  </from>
                  <to>
                    <xdr:col>18</xdr:col>
                    <xdr:colOff>209550</xdr:colOff>
                    <xdr:row>117</xdr:row>
                    <xdr:rowOff>180975</xdr:rowOff>
                  </to>
                </anchor>
              </controlPr>
            </control>
          </mc:Choice>
        </mc:AlternateContent>
        <mc:AlternateContent xmlns:mc="http://schemas.openxmlformats.org/markup-compatibility/2006">
          <mc:Choice Requires="x14">
            <control shapeId="9433" r:id="rId127" name="Check Box 217">
              <controlPr defaultSize="0" autoFill="0" autoLine="0" autoPict="0">
                <anchor moveWithCells="1">
                  <from>
                    <xdr:col>18</xdr:col>
                    <xdr:colOff>28575</xdr:colOff>
                    <xdr:row>118</xdr:row>
                    <xdr:rowOff>0</xdr:rowOff>
                  </from>
                  <to>
                    <xdr:col>18</xdr:col>
                    <xdr:colOff>209550</xdr:colOff>
                    <xdr:row>118</xdr:row>
                    <xdr:rowOff>180975</xdr:rowOff>
                  </to>
                </anchor>
              </controlPr>
            </control>
          </mc:Choice>
        </mc:AlternateContent>
        <mc:AlternateContent xmlns:mc="http://schemas.openxmlformats.org/markup-compatibility/2006">
          <mc:Choice Requires="x14">
            <control shapeId="9434" r:id="rId128" name="Check Box 218">
              <controlPr defaultSize="0" autoFill="0" autoLine="0" autoPict="0">
                <anchor moveWithCells="1">
                  <from>
                    <xdr:col>2</xdr:col>
                    <xdr:colOff>9525</xdr:colOff>
                    <xdr:row>120</xdr:row>
                    <xdr:rowOff>180975</xdr:rowOff>
                  </from>
                  <to>
                    <xdr:col>3</xdr:col>
                    <xdr:colOff>0</xdr:colOff>
                    <xdr:row>121</xdr:row>
                    <xdr:rowOff>171450</xdr:rowOff>
                  </to>
                </anchor>
              </controlPr>
            </control>
          </mc:Choice>
        </mc:AlternateContent>
        <mc:AlternateContent xmlns:mc="http://schemas.openxmlformats.org/markup-compatibility/2006">
          <mc:Choice Requires="x14">
            <control shapeId="9435" r:id="rId129" name="Check Box 219">
              <controlPr defaultSize="0" autoFill="0" autoLine="0" autoPict="0">
                <anchor moveWithCells="1">
                  <from>
                    <xdr:col>2</xdr:col>
                    <xdr:colOff>9525</xdr:colOff>
                    <xdr:row>121</xdr:row>
                    <xdr:rowOff>180975</xdr:rowOff>
                  </from>
                  <to>
                    <xdr:col>3</xdr:col>
                    <xdr:colOff>0</xdr:colOff>
                    <xdr:row>122</xdr:row>
                    <xdr:rowOff>171450</xdr:rowOff>
                  </to>
                </anchor>
              </controlPr>
            </control>
          </mc:Choice>
        </mc:AlternateContent>
        <mc:AlternateContent xmlns:mc="http://schemas.openxmlformats.org/markup-compatibility/2006">
          <mc:Choice Requires="x14">
            <control shapeId="9436" r:id="rId130" name="Check Box 220">
              <controlPr defaultSize="0" autoFill="0" autoLine="0" autoPict="0">
                <anchor moveWithCells="1">
                  <from>
                    <xdr:col>2</xdr:col>
                    <xdr:colOff>9525</xdr:colOff>
                    <xdr:row>122</xdr:row>
                    <xdr:rowOff>180975</xdr:rowOff>
                  </from>
                  <to>
                    <xdr:col>3</xdr:col>
                    <xdr:colOff>0</xdr:colOff>
                    <xdr:row>123</xdr:row>
                    <xdr:rowOff>171450</xdr:rowOff>
                  </to>
                </anchor>
              </controlPr>
            </control>
          </mc:Choice>
        </mc:AlternateContent>
        <mc:AlternateContent xmlns:mc="http://schemas.openxmlformats.org/markup-compatibility/2006">
          <mc:Choice Requires="x14">
            <control shapeId="9437" r:id="rId131" name="Check Box 221">
              <controlPr defaultSize="0" autoFill="0" autoLine="0" autoPict="0">
                <anchor moveWithCells="1">
                  <from>
                    <xdr:col>2</xdr:col>
                    <xdr:colOff>9525</xdr:colOff>
                    <xdr:row>123</xdr:row>
                    <xdr:rowOff>180975</xdr:rowOff>
                  </from>
                  <to>
                    <xdr:col>3</xdr:col>
                    <xdr:colOff>0</xdr:colOff>
                    <xdr:row>124</xdr:row>
                    <xdr:rowOff>171450</xdr:rowOff>
                  </to>
                </anchor>
              </controlPr>
            </control>
          </mc:Choice>
        </mc:AlternateContent>
        <mc:AlternateContent xmlns:mc="http://schemas.openxmlformats.org/markup-compatibility/2006">
          <mc:Choice Requires="x14">
            <control shapeId="9438" r:id="rId132" name="Check Box 222">
              <controlPr defaultSize="0" autoFill="0" autoLine="0" autoPict="0">
                <anchor moveWithCells="1">
                  <from>
                    <xdr:col>2</xdr:col>
                    <xdr:colOff>9525</xdr:colOff>
                    <xdr:row>124</xdr:row>
                    <xdr:rowOff>180975</xdr:rowOff>
                  </from>
                  <to>
                    <xdr:col>3</xdr:col>
                    <xdr:colOff>0</xdr:colOff>
                    <xdr:row>125</xdr:row>
                    <xdr:rowOff>171450</xdr:rowOff>
                  </to>
                </anchor>
              </controlPr>
            </control>
          </mc:Choice>
        </mc:AlternateContent>
        <mc:AlternateContent xmlns:mc="http://schemas.openxmlformats.org/markup-compatibility/2006">
          <mc:Choice Requires="x14">
            <control shapeId="9439" r:id="rId133" name="Check Box 223">
              <controlPr defaultSize="0" autoFill="0" autoLine="0" autoPict="0">
                <anchor moveWithCells="1">
                  <from>
                    <xdr:col>18</xdr:col>
                    <xdr:colOff>0</xdr:colOff>
                    <xdr:row>121</xdr:row>
                    <xdr:rowOff>0</xdr:rowOff>
                  </from>
                  <to>
                    <xdr:col>18</xdr:col>
                    <xdr:colOff>180975</xdr:colOff>
                    <xdr:row>121</xdr:row>
                    <xdr:rowOff>180975</xdr:rowOff>
                  </to>
                </anchor>
              </controlPr>
            </control>
          </mc:Choice>
        </mc:AlternateContent>
        <mc:AlternateContent xmlns:mc="http://schemas.openxmlformats.org/markup-compatibility/2006">
          <mc:Choice Requires="x14">
            <control shapeId="9440" r:id="rId134" name="Check Box 224">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441" r:id="rId135" name="Check Box 225">
              <controlPr defaultSize="0" autoFill="0" autoLine="0" autoPict="0">
                <anchor moveWithCells="1">
                  <from>
                    <xdr:col>18</xdr:col>
                    <xdr:colOff>0</xdr:colOff>
                    <xdr:row>125</xdr:row>
                    <xdr:rowOff>0</xdr:rowOff>
                  </from>
                  <to>
                    <xdr:col>18</xdr:col>
                    <xdr:colOff>180975</xdr:colOff>
                    <xdr:row>125</xdr:row>
                    <xdr:rowOff>180975</xdr:rowOff>
                  </to>
                </anchor>
              </controlPr>
            </control>
          </mc:Choice>
        </mc:AlternateContent>
        <mc:AlternateContent xmlns:mc="http://schemas.openxmlformats.org/markup-compatibility/2006">
          <mc:Choice Requires="x14">
            <control shapeId="9442" r:id="rId136" name="Check Box 226">
              <controlPr defaultSize="0" autoFill="0" autoLine="0" autoPict="0">
                <anchor moveWithCells="1">
                  <from>
                    <xdr:col>18</xdr:col>
                    <xdr:colOff>0</xdr:colOff>
                    <xdr:row>123</xdr:row>
                    <xdr:rowOff>0</xdr:rowOff>
                  </from>
                  <to>
                    <xdr:col>18</xdr:col>
                    <xdr:colOff>180975</xdr:colOff>
                    <xdr:row>123</xdr:row>
                    <xdr:rowOff>180975</xdr:rowOff>
                  </to>
                </anchor>
              </controlPr>
            </control>
          </mc:Choice>
        </mc:AlternateContent>
        <mc:AlternateContent xmlns:mc="http://schemas.openxmlformats.org/markup-compatibility/2006">
          <mc:Choice Requires="x14">
            <control shapeId="9443" r:id="rId137" name="Check Box 227">
              <controlPr defaultSize="0" autoFill="0" autoLine="0" autoPict="0">
                <anchor moveWithCells="1">
                  <from>
                    <xdr:col>3</xdr:col>
                    <xdr:colOff>0</xdr:colOff>
                    <xdr:row>127</xdr:row>
                    <xdr:rowOff>0</xdr:rowOff>
                  </from>
                  <to>
                    <xdr:col>3</xdr:col>
                    <xdr:colOff>180975</xdr:colOff>
                    <xdr:row>127</xdr:row>
                    <xdr:rowOff>180975</xdr:rowOff>
                  </to>
                </anchor>
              </controlPr>
            </control>
          </mc:Choice>
        </mc:AlternateContent>
        <mc:AlternateContent xmlns:mc="http://schemas.openxmlformats.org/markup-compatibility/2006">
          <mc:Choice Requires="x14">
            <control shapeId="9444" r:id="rId138" name="Check Box 228">
              <controlPr defaultSize="0" autoFill="0" autoLine="0" autoPict="0">
                <anchor moveWithCells="1">
                  <from>
                    <xdr:col>3</xdr:col>
                    <xdr:colOff>0</xdr:colOff>
                    <xdr:row>128</xdr:row>
                    <xdr:rowOff>0</xdr:rowOff>
                  </from>
                  <to>
                    <xdr:col>3</xdr:col>
                    <xdr:colOff>180975</xdr:colOff>
                    <xdr:row>128</xdr:row>
                    <xdr:rowOff>180975</xdr:rowOff>
                  </to>
                </anchor>
              </controlPr>
            </control>
          </mc:Choice>
        </mc:AlternateContent>
        <mc:AlternateContent xmlns:mc="http://schemas.openxmlformats.org/markup-compatibility/2006">
          <mc:Choice Requires="x14">
            <control shapeId="9445" r:id="rId139" name="Check Box 229">
              <controlPr defaultSize="0" autoFill="0" autoLine="0" autoPict="0">
                <anchor moveWithCells="1">
                  <from>
                    <xdr:col>3</xdr:col>
                    <xdr:colOff>0</xdr:colOff>
                    <xdr:row>129</xdr:row>
                    <xdr:rowOff>0</xdr:rowOff>
                  </from>
                  <to>
                    <xdr:col>3</xdr:col>
                    <xdr:colOff>180975</xdr:colOff>
                    <xdr:row>129</xdr:row>
                    <xdr:rowOff>180975</xdr:rowOff>
                  </to>
                </anchor>
              </controlPr>
            </control>
          </mc:Choice>
        </mc:AlternateContent>
        <mc:AlternateContent xmlns:mc="http://schemas.openxmlformats.org/markup-compatibility/2006">
          <mc:Choice Requires="x14">
            <control shapeId="9446" r:id="rId140" name="Check Box 230">
              <controlPr defaultSize="0" autoFill="0" autoLine="0" autoPict="0">
                <anchor moveWithCells="1">
                  <from>
                    <xdr:col>2</xdr:col>
                    <xdr:colOff>9525</xdr:colOff>
                    <xdr:row>129</xdr:row>
                    <xdr:rowOff>180975</xdr:rowOff>
                  </from>
                  <to>
                    <xdr:col>3</xdr:col>
                    <xdr:colOff>0</xdr:colOff>
                    <xdr:row>130</xdr:row>
                    <xdr:rowOff>171450</xdr:rowOff>
                  </to>
                </anchor>
              </controlPr>
            </control>
          </mc:Choice>
        </mc:AlternateContent>
        <mc:AlternateContent xmlns:mc="http://schemas.openxmlformats.org/markup-compatibility/2006">
          <mc:Choice Requires="x14">
            <control shapeId="9447" r:id="rId141" name="Check Box 231">
              <controlPr defaultSize="0" autoFill="0" autoLine="0" autoPict="0">
                <anchor moveWithCells="1">
                  <from>
                    <xdr:col>2</xdr:col>
                    <xdr:colOff>9525</xdr:colOff>
                    <xdr:row>130</xdr:row>
                    <xdr:rowOff>180975</xdr:rowOff>
                  </from>
                  <to>
                    <xdr:col>3</xdr:col>
                    <xdr:colOff>0</xdr:colOff>
                    <xdr:row>131</xdr:row>
                    <xdr:rowOff>171450</xdr:rowOff>
                  </to>
                </anchor>
              </controlPr>
            </control>
          </mc:Choice>
        </mc:AlternateContent>
        <mc:AlternateContent xmlns:mc="http://schemas.openxmlformats.org/markup-compatibility/2006">
          <mc:Choice Requires="x14">
            <control shapeId="9448" r:id="rId142" name="Check Box 232">
              <controlPr defaultSize="0" autoFill="0" autoLine="0" autoPict="0">
                <anchor moveWithCells="1">
                  <from>
                    <xdr:col>2</xdr:col>
                    <xdr:colOff>9525</xdr:colOff>
                    <xdr:row>131</xdr:row>
                    <xdr:rowOff>180975</xdr:rowOff>
                  </from>
                  <to>
                    <xdr:col>3</xdr:col>
                    <xdr:colOff>0</xdr:colOff>
                    <xdr:row>132</xdr:row>
                    <xdr:rowOff>171450</xdr:rowOff>
                  </to>
                </anchor>
              </controlPr>
            </control>
          </mc:Choice>
        </mc:AlternateContent>
        <mc:AlternateContent xmlns:mc="http://schemas.openxmlformats.org/markup-compatibility/2006">
          <mc:Choice Requires="x14">
            <control shapeId="9449" r:id="rId143" name="Check Box 233">
              <controlPr defaultSize="0" autoFill="0" autoLine="0" autoPict="0">
                <anchor moveWithCells="1">
                  <from>
                    <xdr:col>2</xdr:col>
                    <xdr:colOff>9525</xdr:colOff>
                    <xdr:row>132</xdr:row>
                    <xdr:rowOff>180975</xdr:rowOff>
                  </from>
                  <to>
                    <xdr:col>3</xdr:col>
                    <xdr:colOff>0</xdr:colOff>
                    <xdr:row>133</xdr:row>
                    <xdr:rowOff>171450</xdr:rowOff>
                  </to>
                </anchor>
              </controlPr>
            </control>
          </mc:Choice>
        </mc:AlternateContent>
        <mc:AlternateContent xmlns:mc="http://schemas.openxmlformats.org/markup-compatibility/2006">
          <mc:Choice Requires="x14">
            <control shapeId="9450" r:id="rId144" name="Check Box 234">
              <controlPr defaultSize="0" autoFill="0" autoLine="0" autoPict="0">
                <anchor moveWithCells="1">
                  <from>
                    <xdr:col>2</xdr:col>
                    <xdr:colOff>9525</xdr:colOff>
                    <xdr:row>133</xdr:row>
                    <xdr:rowOff>180975</xdr:rowOff>
                  </from>
                  <to>
                    <xdr:col>3</xdr:col>
                    <xdr:colOff>0</xdr:colOff>
                    <xdr:row>134</xdr:row>
                    <xdr:rowOff>171450</xdr:rowOff>
                  </to>
                </anchor>
              </controlPr>
            </control>
          </mc:Choice>
        </mc:AlternateContent>
        <mc:AlternateContent xmlns:mc="http://schemas.openxmlformats.org/markup-compatibility/2006">
          <mc:Choice Requires="x14">
            <control shapeId="9451" r:id="rId145" name="Check Box 235">
              <controlPr defaultSize="0" autoFill="0" autoLine="0" autoPict="0">
                <anchor moveWithCells="1">
                  <from>
                    <xdr:col>2</xdr:col>
                    <xdr:colOff>9525</xdr:colOff>
                    <xdr:row>134</xdr:row>
                    <xdr:rowOff>180975</xdr:rowOff>
                  </from>
                  <to>
                    <xdr:col>3</xdr:col>
                    <xdr:colOff>0</xdr:colOff>
                    <xdr:row>135</xdr:row>
                    <xdr:rowOff>171450</xdr:rowOff>
                  </to>
                </anchor>
              </controlPr>
            </control>
          </mc:Choice>
        </mc:AlternateContent>
        <mc:AlternateContent xmlns:mc="http://schemas.openxmlformats.org/markup-compatibility/2006">
          <mc:Choice Requires="x14">
            <control shapeId="9452" r:id="rId146" name="Check Box 236">
              <controlPr defaultSize="0" autoFill="0" autoLine="0" autoPict="0">
                <anchor moveWithCells="1">
                  <from>
                    <xdr:col>2</xdr:col>
                    <xdr:colOff>9525</xdr:colOff>
                    <xdr:row>135</xdr:row>
                    <xdr:rowOff>180975</xdr:rowOff>
                  </from>
                  <to>
                    <xdr:col>3</xdr:col>
                    <xdr:colOff>0</xdr:colOff>
                    <xdr:row>136</xdr:row>
                    <xdr:rowOff>171450</xdr:rowOff>
                  </to>
                </anchor>
              </controlPr>
            </control>
          </mc:Choice>
        </mc:AlternateContent>
        <mc:AlternateContent xmlns:mc="http://schemas.openxmlformats.org/markup-compatibility/2006">
          <mc:Choice Requires="x14">
            <control shapeId="9453" r:id="rId147" name="Check Box 237">
              <controlPr defaultSize="0" autoFill="0" autoLine="0" autoPict="0">
                <anchor moveWithCells="1">
                  <from>
                    <xdr:col>15</xdr:col>
                    <xdr:colOff>9525</xdr:colOff>
                    <xdr:row>135</xdr:row>
                    <xdr:rowOff>161925</xdr:rowOff>
                  </from>
                  <to>
                    <xdr:col>16</xdr:col>
                    <xdr:colOff>0</xdr:colOff>
                    <xdr:row>136</xdr:row>
                    <xdr:rowOff>152400</xdr:rowOff>
                  </to>
                </anchor>
              </controlPr>
            </control>
          </mc:Choice>
        </mc:AlternateContent>
        <mc:AlternateContent xmlns:mc="http://schemas.openxmlformats.org/markup-compatibility/2006">
          <mc:Choice Requires="x14">
            <control shapeId="9454" r:id="rId148" name="Check Box 238">
              <controlPr defaultSize="0" autoFill="0" autoLine="0" autoPict="0">
                <anchor moveWithCells="1">
                  <from>
                    <xdr:col>12</xdr:col>
                    <xdr:colOff>9525</xdr:colOff>
                    <xdr:row>135</xdr:row>
                    <xdr:rowOff>161925</xdr:rowOff>
                  </from>
                  <to>
                    <xdr:col>13</xdr:col>
                    <xdr:colOff>0</xdr:colOff>
                    <xdr:row>136</xdr:row>
                    <xdr:rowOff>152400</xdr:rowOff>
                  </to>
                </anchor>
              </controlPr>
            </control>
          </mc:Choice>
        </mc:AlternateContent>
        <mc:AlternateContent xmlns:mc="http://schemas.openxmlformats.org/markup-compatibility/2006">
          <mc:Choice Requires="x14">
            <control shapeId="9455" r:id="rId149" name="Check Box 239">
              <controlPr defaultSize="0" autoFill="0" autoLine="0" autoPict="0">
                <anchor moveWithCells="1">
                  <from>
                    <xdr:col>8</xdr:col>
                    <xdr:colOff>9525</xdr:colOff>
                    <xdr:row>135</xdr:row>
                    <xdr:rowOff>161925</xdr:rowOff>
                  </from>
                  <to>
                    <xdr:col>9</xdr:col>
                    <xdr:colOff>0</xdr:colOff>
                    <xdr:row>136</xdr:row>
                    <xdr:rowOff>152400</xdr:rowOff>
                  </to>
                </anchor>
              </controlPr>
            </control>
          </mc:Choice>
        </mc:AlternateContent>
        <mc:AlternateContent xmlns:mc="http://schemas.openxmlformats.org/markup-compatibility/2006">
          <mc:Choice Requires="x14">
            <control shapeId="9456" r:id="rId150" name="Check Box 240">
              <controlPr defaultSize="0" autoFill="0" autoLine="0" autoPict="0">
                <anchor moveWithCells="1">
                  <from>
                    <xdr:col>19</xdr:col>
                    <xdr:colOff>9525</xdr:colOff>
                    <xdr:row>127</xdr:row>
                    <xdr:rowOff>0</xdr:rowOff>
                  </from>
                  <to>
                    <xdr:col>20</xdr:col>
                    <xdr:colOff>0</xdr:colOff>
                    <xdr:row>127</xdr:row>
                    <xdr:rowOff>180975</xdr:rowOff>
                  </to>
                </anchor>
              </controlPr>
            </control>
          </mc:Choice>
        </mc:AlternateContent>
        <mc:AlternateContent xmlns:mc="http://schemas.openxmlformats.org/markup-compatibility/2006">
          <mc:Choice Requires="x14">
            <control shapeId="9457" r:id="rId151" name="Check Box 241">
              <controlPr defaultSize="0" autoFill="0" autoLine="0" autoPict="0">
                <anchor moveWithCells="1">
                  <from>
                    <xdr:col>19</xdr:col>
                    <xdr:colOff>9525</xdr:colOff>
                    <xdr:row>128</xdr:row>
                    <xdr:rowOff>0</xdr:rowOff>
                  </from>
                  <to>
                    <xdr:col>20</xdr:col>
                    <xdr:colOff>0</xdr:colOff>
                    <xdr:row>128</xdr:row>
                    <xdr:rowOff>180975</xdr:rowOff>
                  </to>
                </anchor>
              </controlPr>
            </control>
          </mc:Choice>
        </mc:AlternateContent>
        <mc:AlternateContent xmlns:mc="http://schemas.openxmlformats.org/markup-compatibility/2006">
          <mc:Choice Requires="x14">
            <control shapeId="9458" r:id="rId152" name="Check Box 242">
              <controlPr defaultSize="0" autoFill="0" autoLine="0" autoPict="0">
                <anchor moveWithCells="1">
                  <from>
                    <xdr:col>19</xdr:col>
                    <xdr:colOff>9525</xdr:colOff>
                    <xdr:row>129</xdr:row>
                    <xdr:rowOff>0</xdr:rowOff>
                  </from>
                  <to>
                    <xdr:col>20</xdr:col>
                    <xdr:colOff>0</xdr:colOff>
                    <xdr:row>129</xdr:row>
                    <xdr:rowOff>180975</xdr:rowOff>
                  </to>
                </anchor>
              </controlPr>
            </control>
          </mc:Choice>
        </mc:AlternateContent>
        <mc:AlternateContent xmlns:mc="http://schemas.openxmlformats.org/markup-compatibility/2006">
          <mc:Choice Requires="x14">
            <control shapeId="9459" r:id="rId153" name="Check Box 243">
              <controlPr defaultSize="0" autoFill="0" autoLine="0" autoPict="0">
                <anchor moveWithCells="1">
                  <from>
                    <xdr:col>19</xdr:col>
                    <xdr:colOff>9525</xdr:colOff>
                    <xdr:row>130</xdr:row>
                    <xdr:rowOff>0</xdr:rowOff>
                  </from>
                  <to>
                    <xdr:col>20</xdr:col>
                    <xdr:colOff>0</xdr:colOff>
                    <xdr:row>130</xdr:row>
                    <xdr:rowOff>180975</xdr:rowOff>
                  </to>
                </anchor>
              </controlPr>
            </control>
          </mc:Choice>
        </mc:AlternateContent>
        <mc:AlternateContent xmlns:mc="http://schemas.openxmlformats.org/markup-compatibility/2006">
          <mc:Choice Requires="x14">
            <control shapeId="9460" r:id="rId154" name="Check Box 244">
              <controlPr defaultSize="0" autoFill="0" autoLine="0" autoPict="0">
                <anchor moveWithCells="1">
                  <from>
                    <xdr:col>19</xdr:col>
                    <xdr:colOff>9525</xdr:colOff>
                    <xdr:row>131</xdr:row>
                    <xdr:rowOff>0</xdr:rowOff>
                  </from>
                  <to>
                    <xdr:col>20</xdr:col>
                    <xdr:colOff>0</xdr:colOff>
                    <xdr:row>131</xdr:row>
                    <xdr:rowOff>180975</xdr:rowOff>
                  </to>
                </anchor>
              </controlPr>
            </control>
          </mc:Choice>
        </mc:AlternateContent>
        <mc:AlternateContent xmlns:mc="http://schemas.openxmlformats.org/markup-compatibility/2006">
          <mc:Choice Requires="x14">
            <control shapeId="9461" r:id="rId155" name="Check Box 245">
              <controlPr defaultSize="0" autoFill="0" autoLine="0" autoPict="0">
                <anchor moveWithCells="1">
                  <from>
                    <xdr:col>26</xdr:col>
                    <xdr:colOff>9525</xdr:colOff>
                    <xdr:row>126</xdr:row>
                    <xdr:rowOff>85725</xdr:rowOff>
                  </from>
                  <to>
                    <xdr:col>27</xdr:col>
                    <xdr:colOff>0</xdr:colOff>
                    <xdr:row>127</xdr:row>
                    <xdr:rowOff>171450</xdr:rowOff>
                  </to>
                </anchor>
              </controlPr>
            </control>
          </mc:Choice>
        </mc:AlternateContent>
        <mc:AlternateContent xmlns:mc="http://schemas.openxmlformats.org/markup-compatibility/2006">
          <mc:Choice Requires="x14">
            <control shapeId="9462" r:id="rId156" name="Check Box 246">
              <controlPr defaultSize="0" autoFill="0" autoLine="0" autoPict="0">
                <anchor moveWithCells="1">
                  <from>
                    <xdr:col>26</xdr:col>
                    <xdr:colOff>9525</xdr:colOff>
                    <xdr:row>127</xdr:row>
                    <xdr:rowOff>180975</xdr:rowOff>
                  </from>
                  <to>
                    <xdr:col>27</xdr:col>
                    <xdr:colOff>0</xdr:colOff>
                    <xdr:row>128</xdr:row>
                    <xdr:rowOff>171450</xdr:rowOff>
                  </to>
                </anchor>
              </controlPr>
            </control>
          </mc:Choice>
        </mc:AlternateContent>
        <mc:AlternateContent xmlns:mc="http://schemas.openxmlformats.org/markup-compatibility/2006">
          <mc:Choice Requires="x14">
            <control shapeId="9463" r:id="rId157" name="Check Box 247">
              <controlPr defaultSize="0" autoFill="0" autoLine="0" autoPict="0">
                <anchor moveWithCells="1">
                  <from>
                    <xdr:col>26</xdr:col>
                    <xdr:colOff>9525</xdr:colOff>
                    <xdr:row>128</xdr:row>
                    <xdr:rowOff>180975</xdr:rowOff>
                  </from>
                  <to>
                    <xdr:col>27</xdr:col>
                    <xdr:colOff>0</xdr:colOff>
                    <xdr:row>129</xdr:row>
                    <xdr:rowOff>171450</xdr:rowOff>
                  </to>
                </anchor>
              </controlPr>
            </control>
          </mc:Choice>
        </mc:AlternateContent>
        <mc:AlternateContent xmlns:mc="http://schemas.openxmlformats.org/markup-compatibility/2006">
          <mc:Choice Requires="x14">
            <control shapeId="9464" r:id="rId158" name="Check Box 248">
              <controlPr defaultSize="0" autoFill="0" autoLine="0" autoPict="0">
                <anchor moveWithCells="1">
                  <from>
                    <xdr:col>26</xdr:col>
                    <xdr:colOff>9525</xdr:colOff>
                    <xdr:row>129</xdr:row>
                    <xdr:rowOff>180975</xdr:rowOff>
                  </from>
                  <to>
                    <xdr:col>27</xdr:col>
                    <xdr:colOff>0</xdr:colOff>
                    <xdr:row>130</xdr:row>
                    <xdr:rowOff>171450</xdr:rowOff>
                  </to>
                </anchor>
              </controlPr>
            </control>
          </mc:Choice>
        </mc:AlternateContent>
        <mc:AlternateContent xmlns:mc="http://schemas.openxmlformats.org/markup-compatibility/2006">
          <mc:Choice Requires="x14">
            <control shapeId="9465" r:id="rId159" name="Check Box 249">
              <controlPr defaultSize="0" autoFill="0" autoLine="0" autoPict="0">
                <anchor moveWithCells="1">
                  <from>
                    <xdr:col>18</xdr:col>
                    <xdr:colOff>38100</xdr:colOff>
                    <xdr:row>131</xdr:row>
                    <xdr:rowOff>161925</xdr:rowOff>
                  </from>
                  <to>
                    <xdr:col>19</xdr:col>
                    <xdr:colOff>0</xdr:colOff>
                    <xdr:row>132</xdr:row>
                    <xdr:rowOff>152400</xdr:rowOff>
                  </to>
                </anchor>
              </controlPr>
            </control>
          </mc:Choice>
        </mc:AlternateContent>
        <mc:AlternateContent xmlns:mc="http://schemas.openxmlformats.org/markup-compatibility/2006">
          <mc:Choice Requires="x14">
            <control shapeId="9466" r:id="rId160" name="Check Box 250">
              <controlPr defaultSize="0" autoFill="0" autoLine="0" autoPict="0">
                <anchor moveWithCells="1">
                  <from>
                    <xdr:col>19</xdr:col>
                    <xdr:colOff>9525</xdr:colOff>
                    <xdr:row>133</xdr:row>
                    <xdr:rowOff>180975</xdr:rowOff>
                  </from>
                  <to>
                    <xdr:col>20</xdr:col>
                    <xdr:colOff>0</xdr:colOff>
                    <xdr:row>134</xdr:row>
                    <xdr:rowOff>171450</xdr:rowOff>
                  </to>
                </anchor>
              </controlPr>
            </control>
          </mc:Choice>
        </mc:AlternateContent>
        <mc:AlternateContent xmlns:mc="http://schemas.openxmlformats.org/markup-compatibility/2006">
          <mc:Choice Requires="x14">
            <control shapeId="9467" r:id="rId161" name="Check Box 251">
              <controlPr defaultSize="0" autoFill="0" autoLine="0" autoPict="0">
                <anchor moveWithCells="1">
                  <from>
                    <xdr:col>19</xdr:col>
                    <xdr:colOff>9525</xdr:colOff>
                    <xdr:row>134</xdr:row>
                    <xdr:rowOff>180975</xdr:rowOff>
                  </from>
                  <to>
                    <xdr:col>20</xdr:col>
                    <xdr:colOff>0</xdr:colOff>
                    <xdr:row>135</xdr:row>
                    <xdr:rowOff>171450</xdr:rowOff>
                  </to>
                </anchor>
              </controlPr>
            </control>
          </mc:Choice>
        </mc:AlternateContent>
        <mc:AlternateContent xmlns:mc="http://schemas.openxmlformats.org/markup-compatibility/2006">
          <mc:Choice Requires="x14">
            <control shapeId="9468" r:id="rId162" name="Check Box 252">
              <controlPr defaultSize="0" autoFill="0" autoLine="0" autoPict="0">
                <anchor moveWithCells="1">
                  <from>
                    <xdr:col>19</xdr:col>
                    <xdr:colOff>9525</xdr:colOff>
                    <xdr:row>135</xdr:row>
                    <xdr:rowOff>180975</xdr:rowOff>
                  </from>
                  <to>
                    <xdr:col>20</xdr:col>
                    <xdr:colOff>0</xdr:colOff>
                    <xdr:row>136</xdr:row>
                    <xdr:rowOff>171450</xdr:rowOff>
                  </to>
                </anchor>
              </controlPr>
            </control>
          </mc:Choice>
        </mc:AlternateContent>
        <mc:AlternateContent xmlns:mc="http://schemas.openxmlformats.org/markup-compatibility/2006">
          <mc:Choice Requires="x14">
            <control shapeId="9469" r:id="rId163" name="Check Box 253">
              <controlPr defaultSize="0" autoFill="0" autoLine="0" autoPict="0">
                <anchor moveWithCells="1">
                  <from>
                    <xdr:col>6</xdr:col>
                    <xdr:colOff>9525</xdr:colOff>
                    <xdr:row>154</xdr:row>
                    <xdr:rowOff>28575</xdr:rowOff>
                  </from>
                  <to>
                    <xdr:col>7</xdr:col>
                    <xdr:colOff>0</xdr:colOff>
                    <xdr:row>154</xdr:row>
                    <xdr:rowOff>209550</xdr:rowOff>
                  </to>
                </anchor>
              </controlPr>
            </control>
          </mc:Choice>
        </mc:AlternateContent>
        <mc:AlternateContent xmlns:mc="http://schemas.openxmlformats.org/markup-compatibility/2006">
          <mc:Choice Requires="x14">
            <control shapeId="9470" r:id="rId164" name="Check Box 254">
              <controlPr defaultSize="0" autoFill="0" autoLine="0" autoPict="0">
                <anchor moveWithCells="1">
                  <from>
                    <xdr:col>8</xdr:col>
                    <xdr:colOff>171450</xdr:colOff>
                    <xdr:row>154</xdr:row>
                    <xdr:rowOff>28575</xdr:rowOff>
                  </from>
                  <to>
                    <xdr:col>9</xdr:col>
                    <xdr:colOff>161925</xdr:colOff>
                    <xdr:row>154</xdr:row>
                    <xdr:rowOff>209550</xdr:rowOff>
                  </to>
                </anchor>
              </controlPr>
            </control>
          </mc:Choice>
        </mc:AlternateContent>
        <mc:AlternateContent xmlns:mc="http://schemas.openxmlformats.org/markup-compatibility/2006">
          <mc:Choice Requires="x14">
            <control shapeId="9471" r:id="rId165" name="Check Box 255">
              <controlPr defaultSize="0" autoFill="0" autoLine="0" autoPict="0">
                <anchor moveWithCells="1">
                  <from>
                    <xdr:col>14</xdr:col>
                    <xdr:colOff>9525</xdr:colOff>
                    <xdr:row>154</xdr:row>
                    <xdr:rowOff>28575</xdr:rowOff>
                  </from>
                  <to>
                    <xdr:col>15</xdr:col>
                    <xdr:colOff>0</xdr:colOff>
                    <xdr:row>154</xdr:row>
                    <xdr:rowOff>209550</xdr:rowOff>
                  </to>
                </anchor>
              </controlPr>
            </control>
          </mc:Choice>
        </mc:AlternateContent>
        <mc:AlternateContent xmlns:mc="http://schemas.openxmlformats.org/markup-compatibility/2006">
          <mc:Choice Requires="x14">
            <control shapeId="9472" r:id="rId166" name="Check Box 256">
              <controlPr defaultSize="0" autoFill="0" autoLine="0" autoPict="0">
                <anchor moveWithCells="1">
                  <from>
                    <xdr:col>17</xdr:col>
                    <xdr:colOff>9525</xdr:colOff>
                    <xdr:row>154</xdr:row>
                    <xdr:rowOff>28575</xdr:rowOff>
                  </from>
                  <to>
                    <xdr:col>18</xdr:col>
                    <xdr:colOff>0</xdr:colOff>
                    <xdr:row>154</xdr:row>
                    <xdr:rowOff>209550</xdr:rowOff>
                  </to>
                </anchor>
              </controlPr>
            </control>
          </mc:Choice>
        </mc:AlternateContent>
        <mc:AlternateContent xmlns:mc="http://schemas.openxmlformats.org/markup-compatibility/2006">
          <mc:Choice Requires="x14">
            <control shapeId="9473" r:id="rId167" name="Check Box 257">
              <controlPr defaultSize="0" autoFill="0" autoLine="0" autoPict="0">
                <anchor moveWithCells="1">
                  <from>
                    <xdr:col>20</xdr:col>
                    <xdr:colOff>9525</xdr:colOff>
                    <xdr:row>154</xdr:row>
                    <xdr:rowOff>28575</xdr:rowOff>
                  </from>
                  <to>
                    <xdr:col>21</xdr:col>
                    <xdr:colOff>0</xdr:colOff>
                    <xdr:row>154</xdr:row>
                    <xdr:rowOff>209550</xdr:rowOff>
                  </to>
                </anchor>
              </controlPr>
            </control>
          </mc:Choice>
        </mc:AlternateContent>
        <mc:AlternateContent xmlns:mc="http://schemas.openxmlformats.org/markup-compatibility/2006">
          <mc:Choice Requires="x14">
            <control shapeId="9474" r:id="rId168" name="Check Box 258">
              <controlPr defaultSize="0" autoFill="0" autoLine="0" autoPict="0">
                <anchor moveWithCells="1">
                  <from>
                    <xdr:col>8</xdr:col>
                    <xdr:colOff>9525</xdr:colOff>
                    <xdr:row>200</xdr:row>
                    <xdr:rowOff>114300</xdr:rowOff>
                  </from>
                  <to>
                    <xdr:col>9</xdr:col>
                    <xdr:colOff>0</xdr:colOff>
                    <xdr:row>202</xdr:row>
                    <xdr:rowOff>9525</xdr:rowOff>
                  </to>
                </anchor>
              </controlPr>
            </control>
          </mc:Choice>
        </mc:AlternateContent>
        <mc:AlternateContent xmlns:mc="http://schemas.openxmlformats.org/markup-compatibility/2006">
          <mc:Choice Requires="x14">
            <control shapeId="9475" r:id="rId169" name="Check Box 259">
              <controlPr defaultSize="0" autoFill="0" autoLine="0" autoPict="0">
                <anchor moveWithCells="1">
                  <from>
                    <xdr:col>8</xdr:col>
                    <xdr:colOff>9525</xdr:colOff>
                    <xdr:row>201</xdr:row>
                    <xdr:rowOff>114300</xdr:rowOff>
                  </from>
                  <to>
                    <xdr:col>9</xdr:col>
                    <xdr:colOff>0</xdr:colOff>
                    <xdr:row>203</xdr:row>
                    <xdr:rowOff>9525</xdr:rowOff>
                  </to>
                </anchor>
              </controlPr>
            </control>
          </mc:Choice>
        </mc:AlternateContent>
        <mc:AlternateContent xmlns:mc="http://schemas.openxmlformats.org/markup-compatibility/2006">
          <mc:Choice Requires="x14">
            <control shapeId="9476" r:id="rId170" name="Check Box 260">
              <controlPr defaultSize="0" autoFill="0" autoLine="0" autoPict="0">
                <anchor moveWithCells="1">
                  <from>
                    <xdr:col>15</xdr:col>
                    <xdr:colOff>9525</xdr:colOff>
                    <xdr:row>200</xdr:row>
                    <xdr:rowOff>114300</xdr:rowOff>
                  </from>
                  <to>
                    <xdr:col>16</xdr:col>
                    <xdr:colOff>0</xdr:colOff>
                    <xdr:row>202</xdr:row>
                    <xdr:rowOff>9525</xdr:rowOff>
                  </to>
                </anchor>
              </controlPr>
            </control>
          </mc:Choice>
        </mc:AlternateContent>
        <mc:AlternateContent xmlns:mc="http://schemas.openxmlformats.org/markup-compatibility/2006">
          <mc:Choice Requires="x14">
            <control shapeId="9477" r:id="rId171" name="Check Box 261">
              <controlPr defaultSize="0" autoFill="0" autoLine="0" autoPict="0">
                <anchor moveWithCells="1">
                  <from>
                    <xdr:col>15</xdr:col>
                    <xdr:colOff>9525</xdr:colOff>
                    <xdr:row>201</xdr:row>
                    <xdr:rowOff>114300</xdr:rowOff>
                  </from>
                  <to>
                    <xdr:col>16</xdr:col>
                    <xdr:colOff>0</xdr:colOff>
                    <xdr:row>203</xdr:row>
                    <xdr:rowOff>9525</xdr:rowOff>
                  </to>
                </anchor>
              </controlPr>
            </control>
          </mc:Choice>
        </mc:AlternateContent>
        <mc:AlternateContent xmlns:mc="http://schemas.openxmlformats.org/markup-compatibility/2006">
          <mc:Choice Requires="x14">
            <control shapeId="9478" r:id="rId172" name="Check Box 262">
              <controlPr defaultSize="0" autoFill="0" autoLine="0" autoPict="0">
                <anchor moveWithCells="1">
                  <from>
                    <xdr:col>22</xdr:col>
                    <xdr:colOff>9525</xdr:colOff>
                    <xdr:row>200</xdr:row>
                    <xdr:rowOff>114300</xdr:rowOff>
                  </from>
                  <to>
                    <xdr:col>23</xdr:col>
                    <xdr:colOff>0</xdr:colOff>
                    <xdr:row>202</xdr:row>
                    <xdr:rowOff>9525</xdr:rowOff>
                  </to>
                </anchor>
              </controlPr>
            </control>
          </mc:Choice>
        </mc:AlternateContent>
        <mc:AlternateContent xmlns:mc="http://schemas.openxmlformats.org/markup-compatibility/2006">
          <mc:Choice Requires="x14">
            <control shapeId="9479" r:id="rId173" name="Check Box 263">
              <controlPr defaultSize="0" autoFill="0" autoLine="0" autoPict="0">
                <anchor moveWithCells="1">
                  <from>
                    <xdr:col>22</xdr:col>
                    <xdr:colOff>9525</xdr:colOff>
                    <xdr:row>201</xdr:row>
                    <xdr:rowOff>114300</xdr:rowOff>
                  </from>
                  <to>
                    <xdr:col>23</xdr:col>
                    <xdr:colOff>0</xdr:colOff>
                    <xdr:row>203</xdr:row>
                    <xdr:rowOff>9525</xdr:rowOff>
                  </to>
                </anchor>
              </controlPr>
            </control>
          </mc:Choice>
        </mc:AlternateContent>
        <mc:AlternateContent xmlns:mc="http://schemas.openxmlformats.org/markup-compatibility/2006">
          <mc:Choice Requires="x14">
            <control shapeId="9480" r:id="rId174" name="Check Box 264">
              <controlPr defaultSize="0" autoFill="0" autoLine="0" autoPict="0">
                <anchor moveWithCells="1">
                  <from>
                    <xdr:col>29</xdr:col>
                    <xdr:colOff>9525</xdr:colOff>
                    <xdr:row>200</xdr:row>
                    <xdr:rowOff>114300</xdr:rowOff>
                  </from>
                  <to>
                    <xdr:col>30</xdr:col>
                    <xdr:colOff>0</xdr:colOff>
                    <xdr:row>202</xdr:row>
                    <xdr:rowOff>9525</xdr:rowOff>
                  </to>
                </anchor>
              </controlPr>
            </control>
          </mc:Choice>
        </mc:AlternateContent>
        <mc:AlternateContent xmlns:mc="http://schemas.openxmlformats.org/markup-compatibility/2006">
          <mc:Choice Requires="x14">
            <control shapeId="9481" r:id="rId175" name="Check Box 265">
              <controlPr defaultSize="0" autoFill="0" autoLine="0" autoPict="0">
                <anchor moveWithCells="1">
                  <from>
                    <xdr:col>29</xdr:col>
                    <xdr:colOff>9525</xdr:colOff>
                    <xdr:row>201</xdr:row>
                    <xdr:rowOff>114300</xdr:rowOff>
                  </from>
                  <to>
                    <xdr:col>30</xdr:col>
                    <xdr:colOff>0</xdr:colOff>
                    <xdr:row>203</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97986-4D0D-4B11-BCA5-64F29A06E8E7}">
  <sheetPr codeName="Sheet4">
    <tabColor theme="9" tint="0.79998168889431442"/>
    <pageSetUpPr fitToPage="1"/>
  </sheetPr>
  <dimension ref="A1:T52"/>
  <sheetViews>
    <sheetView topLeftCell="A31" zoomScaleNormal="100" workbookViewId="0">
      <selection activeCell="N40" sqref="N40"/>
    </sheetView>
  </sheetViews>
  <sheetFormatPr defaultRowHeight="18.75" x14ac:dyDescent="0.4"/>
  <cols>
    <col min="1" max="20" width="4.625" style="18" customWidth="1"/>
    <col min="21" max="256" width="9" style="18"/>
    <col min="257" max="276" width="4.625" style="18" customWidth="1"/>
    <col min="277" max="512" width="9" style="18"/>
    <col min="513" max="532" width="4.625" style="18" customWidth="1"/>
    <col min="533" max="768" width="9" style="18"/>
    <col min="769" max="788" width="4.625" style="18" customWidth="1"/>
    <col min="789" max="1024" width="9" style="18"/>
    <col min="1025" max="1044" width="4.625" style="18" customWidth="1"/>
    <col min="1045" max="1280" width="9" style="18"/>
    <col min="1281" max="1300" width="4.625" style="18" customWidth="1"/>
    <col min="1301" max="1536" width="9" style="18"/>
    <col min="1537" max="1556" width="4.625" style="18" customWidth="1"/>
    <col min="1557" max="1792" width="9" style="18"/>
    <col min="1793" max="1812" width="4.625" style="18" customWidth="1"/>
    <col min="1813" max="2048" width="9" style="18"/>
    <col min="2049" max="2068" width="4.625" style="18" customWidth="1"/>
    <col min="2069" max="2304" width="9" style="18"/>
    <col min="2305" max="2324" width="4.625" style="18" customWidth="1"/>
    <col min="2325" max="2560" width="9" style="18"/>
    <col min="2561" max="2580" width="4.625" style="18" customWidth="1"/>
    <col min="2581" max="2816" width="9" style="18"/>
    <col min="2817" max="2836" width="4.625" style="18" customWidth="1"/>
    <col min="2837" max="3072" width="9" style="18"/>
    <col min="3073" max="3092" width="4.625" style="18" customWidth="1"/>
    <col min="3093" max="3328" width="9" style="18"/>
    <col min="3329" max="3348" width="4.625" style="18" customWidth="1"/>
    <col min="3349" max="3584" width="9" style="18"/>
    <col min="3585" max="3604" width="4.625" style="18" customWidth="1"/>
    <col min="3605" max="3840" width="9" style="18"/>
    <col min="3841" max="3860" width="4.625" style="18" customWidth="1"/>
    <col min="3861" max="4096" width="9" style="18"/>
    <col min="4097" max="4116" width="4.625" style="18" customWidth="1"/>
    <col min="4117" max="4352" width="9" style="18"/>
    <col min="4353" max="4372" width="4.625" style="18" customWidth="1"/>
    <col min="4373" max="4608" width="9" style="18"/>
    <col min="4609" max="4628" width="4.625" style="18" customWidth="1"/>
    <col min="4629" max="4864" width="9" style="18"/>
    <col min="4865" max="4884" width="4.625" style="18" customWidth="1"/>
    <col min="4885" max="5120" width="9" style="18"/>
    <col min="5121" max="5140" width="4.625" style="18" customWidth="1"/>
    <col min="5141" max="5376" width="9" style="18"/>
    <col min="5377" max="5396" width="4.625" style="18" customWidth="1"/>
    <col min="5397" max="5632" width="9" style="18"/>
    <col min="5633" max="5652" width="4.625" style="18" customWidth="1"/>
    <col min="5653" max="5888" width="9" style="18"/>
    <col min="5889" max="5908" width="4.625" style="18" customWidth="1"/>
    <col min="5909" max="6144" width="9" style="18"/>
    <col min="6145" max="6164" width="4.625" style="18" customWidth="1"/>
    <col min="6165" max="6400" width="9" style="18"/>
    <col min="6401" max="6420" width="4.625" style="18" customWidth="1"/>
    <col min="6421" max="6656" width="9" style="18"/>
    <col min="6657" max="6676" width="4.625" style="18" customWidth="1"/>
    <col min="6677" max="6912" width="9" style="18"/>
    <col min="6913" max="6932" width="4.625" style="18" customWidth="1"/>
    <col min="6933" max="7168" width="9" style="18"/>
    <col min="7169" max="7188" width="4.625" style="18" customWidth="1"/>
    <col min="7189" max="7424" width="9" style="18"/>
    <col min="7425" max="7444" width="4.625" style="18" customWidth="1"/>
    <col min="7445" max="7680" width="9" style="18"/>
    <col min="7681" max="7700" width="4.625" style="18" customWidth="1"/>
    <col min="7701" max="7936" width="9" style="18"/>
    <col min="7937" max="7956" width="4.625" style="18" customWidth="1"/>
    <col min="7957" max="8192" width="9" style="18"/>
    <col min="8193" max="8212" width="4.625" style="18" customWidth="1"/>
    <col min="8213" max="8448" width="9" style="18"/>
    <col min="8449" max="8468" width="4.625" style="18" customWidth="1"/>
    <col min="8469" max="8704" width="9" style="18"/>
    <col min="8705" max="8724" width="4.625" style="18" customWidth="1"/>
    <col min="8725" max="8960" width="9" style="18"/>
    <col min="8961" max="8980" width="4.625" style="18" customWidth="1"/>
    <col min="8981" max="9216" width="9" style="18"/>
    <col min="9217" max="9236" width="4.625" style="18" customWidth="1"/>
    <col min="9237" max="9472" width="9" style="18"/>
    <col min="9473" max="9492" width="4.625" style="18" customWidth="1"/>
    <col min="9493" max="9728" width="9" style="18"/>
    <col min="9729" max="9748" width="4.625" style="18" customWidth="1"/>
    <col min="9749" max="9984" width="9" style="18"/>
    <col min="9985" max="10004" width="4.625" style="18" customWidth="1"/>
    <col min="10005" max="10240" width="9" style="18"/>
    <col min="10241" max="10260" width="4.625" style="18" customWidth="1"/>
    <col min="10261" max="10496" width="9" style="18"/>
    <col min="10497" max="10516" width="4.625" style="18" customWidth="1"/>
    <col min="10517" max="10752" width="9" style="18"/>
    <col min="10753" max="10772" width="4.625" style="18" customWidth="1"/>
    <col min="10773" max="11008" width="9" style="18"/>
    <col min="11009" max="11028" width="4.625" style="18" customWidth="1"/>
    <col min="11029" max="11264" width="9" style="18"/>
    <col min="11265" max="11284" width="4.625" style="18" customWidth="1"/>
    <col min="11285" max="11520" width="9" style="18"/>
    <col min="11521" max="11540" width="4.625" style="18" customWidth="1"/>
    <col min="11541" max="11776" width="9" style="18"/>
    <col min="11777" max="11796" width="4.625" style="18" customWidth="1"/>
    <col min="11797" max="12032" width="9" style="18"/>
    <col min="12033" max="12052" width="4.625" style="18" customWidth="1"/>
    <col min="12053" max="12288" width="9" style="18"/>
    <col min="12289" max="12308" width="4.625" style="18" customWidth="1"/>
    <col min="12309" max="12544" width="9" style="18"/>
    <col min="12545" max="12564" width="4.625" style="18" customWidth="1"/>
    <col min="12565" max="12800" width="9" style="18"/>
    <col min="12801" max="12820" width="4.625" style="18" customWidth="1"/>
    <col min="12821" max="13056" width="9" style="18"/>
    <col min="13057" max="13076" width="4.625" style="18" customWidth="1"/>
    <col min="13077" max="13312" width="9" style="18"/>
    <col min="13313" max="13332" width="4.625" style="18" customWidth="1"/>
    <col min="13333" max="13568" width="9" style="18"/>
    <col min="13569" max="13588" width="4.625" style="18" customWidth="1"/>
    <col min="13589" max="13824" width="9" style="18"/>
    <col min="13825" max="13844" width="4.625" style="18" customWidth="1"/>
    <col min="13845" max="14080" width="9" style="18"/>
    <col min="14081" max="14100" width="4.625" style="18" customWidth="1"/>
    <col min="14101" max="14336" width="9" style="18"/>
    <col min="14337" max="14356" width="4.625" style="18" customWidth="1"/>
    <col min="14357" max="14592" width="9" style="18"/>
    <col min="14593" max="14612" width="4.625" style="18" customWidth="1"/>
    <col min="14613" max="14848" width="9" style="18"/>
    <col min="14849" max="14868" width="4.625" style="18" customWidth="1"/>
    <col min="14869" max="15104" width="9" style="18"/>
    <col min="15105" max="15124" width="4.625" style="18" customWidth="1"/>
    <col min="15125" max="15360" width="9" style="18"/>
    <col min="15361" max="15380" width="4.625" style="18" customWidth="1"/>
    <col min="15381" max="15616" width="9" style="18"/>
    <col min="15617" max="15636" width="4.625" style="18" customWidth="1"/>
    <col min="15637" max="15872" width="9" style="18"/>
    <col min="15873" max="15892" width="4.625" style="18" customWidth="1"/>
    <col min="15893" max="16128" width="9" style="18"/>
    <col min="16129" max="16148" width="4.625" style="18" customWidth="1"/>
    <col min="16149" max="16384" width="9" style="18"/>
  </cols>
  <sheetData>
    <row r="1" spans="1:20" ht="15.2" customHeight="1" x14ac:dyDescent="0.4">
      <c r="A1" s="1368" t="s">
        <v>216</v>
      </c>
      <c r="B1" s="1368"/>
      <c r="C1" s="1368"/>
      <c r="D1" s="1368"/>
      <c r="E1" s="1368"/>
      <c r="F1" s="1368"/>
      <c r="G1" s="1368"/>
      <c r="H1" s="16"/>
      <c r="I1" s="16"/>
      <c r="J1" s="1359" t="s">
        <v>217</v>
      </c>
      <c r="K1" s="1359"/>
      <c r="L1" s="1359"/>
      <c r="M1" s="1359"/>
      <c r="N1" s="1359"/>
      <c r="O1" s="1359"/>
      <c r="P1" s="1359"/>
      <c r="Q1" s="1359"/>
      <c r="R1" s="1359"/>
      <c r="S1" s="1359"/>
      <c r="T1" s="1359"/>
    </row>
    <row r="2" spans="1:20" ht="15.2" customHeight="1" x14ac:dyDescent="0.4">
      <c r="A2" s="1368"/>
      <c r="B2" s="1368"/>
      <c r="C2" s="1368"/>
      <c r="D2" s="1368"/>
      <c r="E2" s="1368"/>
      <c r="F2" s="1368"/>
      <c r="G2" s="1368"/>
      <c r="H2" s="16"/>
      <c r="I2" s="16"/>
      <c r="J2" s="1359"/>
      <c r="K2" s="1359"/>
      <c r="L2" s="1359"/>
      <c r="M2" s="1359"/>
      <c r="N2" s="1359"/>
      <c r="O2" s="1359"/>
      <c r="P2" s="1359"/>
      <c r="Q2" s="1359"/>
      <c r="R2" s="1359"/>
      <c r="S2" s="1359"/>
      <c r="T2" s="1359"/>
    </row>
    <row r="3" spans="1:20" ht="15.2" customHeight="1" thickBot="1" x14ac:dyDescent="0.45">
      <c r="A3" s="1368"/>
      <c r="B3" s="1368"/>
      <c r="C3" s="1368"/>
      <c r="D3" s="1368"/>
      <c r="E3" s="1368"/>
      <c r="F3" s="1368"/>
      <c r="G3" s="1368"/>
      <c r="H3" s="16"/>
      <c r="I3" s="16"/>
      <c r="J3" s="1369" t="s">
        <v>218</v>
      </c>
      <c r="K3" s="1369"/>
      <c r="L3" s="1369"/>
      <c r="M3" s="1369"/>
      <c r="N3" s="1370">
        <f ca="1">TODAY()</f>
        <v>46096</v>
      </c>
      <c r="O3" s="1370"/>
      <c r="P3" s="1370"/>
      <c r="Q3" s="1370"/>
      <c r="R3" s="1370"/>
      <c r="S3" s="1370"/>
    </row>
    <row r="4" spans="1:20" ht="15.2" customHeight="1" x14ac:dyDescent="0.4">
      <c r="A4" s="1371" t="s">
        <v>219</v>
      </c>
      <c r="B4" s="1372"/>
      <c r="C4" s="1372"/>
      <c r="D4" s="1372"/>
      <c r="E4" s="1372"/>
      <c r="F4" s="1372"/>
      <c r="G4" s="1373"/>
      <c r="H4" s="19"/>
      <c r="J4" s="1347" t="s">
        <v>220</v>
      </c>
      <c r="K4" s="1348"/>
      <c r="L4" s="1348"/>
      <c r="M4" s="1348"/>
      <c r="N4" s="1324" t="s">
        <v>221</v>
      </c>
      <c r="O4" s="1324"/>
      <c r="P4" s="1324"/>
      <c r="Q4" s="1324"/>
      <c r="R4" s="1324"/>
      <c r="S4" s="1324"/>
      <c r="T4" s="1374"/>
    </row>
    <row r="5" spans="1:20" ht="15.2" customHeight="1" x14ac:dyDescent="0.4">
      <c r="A5" s="20"/>
      <c r="C5" s="1365" t="s">
        <v>222</v>
      </c>
      <c r="D5" s="1365"/>
      <c r="E5" s="1365"/>
      <c r="F5" s="1365"/>
      <c r="G5" s="1366"/>
      <c r="H5" s="17"/>
      <c r="J5" s="1358" t="s">
        <v>223</v>
      </c>
      <c r="K5" s="1359"/>
      <c r="L5" s="1359"/>
      <c r="M5" s="1359"/>
      <c r="N5" s="1360">
        <v>2472400072</v>
      </c>
      <c r="O5" s="1360"/>
      <c r="P5" s="1360"/>
      <c r="Q5" s="1360"/>
      <c r="R5" s="1360"/>
      <c r="S5" s="1360"/>
      <c r="T5" s="1361"/>
    </row>
    <row r="6" spans="1:20" ht="15.2" customHeight="1" x14ac:dyDescent="0.4">
      <c r="A6" s="1358" t="s">
        <v>224</v>
      </c>
      <c r="B6" s="1359"/>
      <c r="C6" s="1365" t="s">
        <v>225</v>
      </c>
      <c r="D6" s="1365"/>
      <c r="E6" s="1365"/>
      <c r="F6" s="1365"/>
      <c r="G6" s="1366"/>
      <c r="H6" s="17"/>
      <c r="J6" s="1362" t="s">
        <v>226</v>
      </c>
      <c r="K6" s="1363"/>
      <c r="L6" s="1365" t="s">
        <v>227</v>
      </c>
      <c r="M6" s="1365"/>
      <c r="N6" s="1365"/>
      <c r="O6" s="1365"/>
      <c r="P6" s="1365"/>
      <c r="Q6" s="1365"/>
      <c r="R6" s="1365"/>
      <c r="S6" s="1365"/>
      <c r="T6" s="1366"/>
    </row>
    <row r="7" spans="1:20" ht="15.2" customHeight="1" x14ac:dyDescent="0.4">
      <c r="A7" s="1358" t="s">
        <v>228</v>
      </c>
      <c r="B7" s="1359"/>
      <c r="C7" s="1360" t="s">
        <v>229</v>
      </c>
      <c r="D7" s="1360"/>
      <c r="E7" s="1360"/>
      <c r="F7" s="1360"/>
      <c r="G7" s="1361"/>
      <c r="H7" s="17"/>
      <c r="J7" s="1362" t="s">
        <v>224</v>
      </c>
      <c r="K7" s="1363"/>
      <c r="L7" s="1360" t="s">
        <v>230</v>
      </c>
      <c r="M7" s="1360"/>
      <c r="N7" s="1360"/>
      <c r="O7" s="1367" t="s">
        <v>228</v>
      </c>
      <c r="P7" s="1367"/>
      <c r="Q7" s="1360" t="s">
        <v>231</v>
      </c>
      <c r="R7" s="1360"/>
      <c r="S7" s="1360"/>
      <c r="T7" s="1361"/>
    </row>
    <row r="8" spans="1:20" ht="15.2" customHeight="1" x14ac:dyDescent="0.4">
      <c r="A8" s="1358" t="s">
        <v>232</v>
      </c>
      <c r="B8" s="1359"/>
      <c r="C8" s="1359" t="s">
        <v>233</v>
      </c>
      <c r="D8" s="1359"/>
      <c r="E8" s="1359"/>
      <c r="F8" s="1359"/>
      <c r="G8" s="1364"/>
      <c r="H8" s="17"/>
      <c r="J8" s="1362" t="s">
        <v>234</v>
      </c>
      <c r="K8" s="1363"/>
      <c r="L8" s="1363"/>
      <c r="M8" s="1365">
        <f>'（最新）アセスメントシート'!AG3</f>
        <v>0</v>
      </c>
      <c r="N8" s="1365"/>
      <c r="O8" s="1365"/>
      <c r="P8" s="1365"/>
      <c r="Q8" s="1365"/>
      <c r="R8" s="1365"/>
      <c r="S8" s="1365"/>
      <c r="T8" s="1366"/>
    </row>
    <row r="9" spans="1:20" ht="15.2" customHeight="1" x14ac:dyDescent="0.4">
      <c r="A9" s="20"/>
      <c r="C9" s="1359"/>
      <c r="D9" s="1359"/>
      <c r="E9" s="1359"/>
      <c r="F9" s="1359"/>
      <c r="G9" s="1364"/>
      <c r="H9" s="17"/>
      <c r="J9" s="1362" t="s">
        <v>235</v>
      </c>
      <c r="K9" s="1363"/>
      <c r="L9" s="1363"/>
      <c r="M9" s="1363"/>
      <c r="N9" s="1363"/>
      <c r="O9" s="1363"/>
      <c r="P9" s="1363"/>
      <c r="Q9" s="21"/>
      <c r="R9" s="22" t="s">
        <v>236</v>
      </c>
      <c r="T9" s="23"/>
    </row>
    <row r="10" spans="1:20" ht="15.2" customHeight="1" thickBot="1" x14ac:dyDescent="0.45">
      <c r="A10" s="24"/>
      <c r="B10" s="25"/>
      <c r="C10" s="25"/>
      <c r="D10" s="25"/>
      <c r="E10" s="25"/>
      <c r="F10" s="1329" t="s">
        <v>237</v>
      </c>
      <c r="G10" s="1330"/>
      <c r="H10" s="17"/>
      <c r="J10" s="24"/>
      <c r="K10" s="25"/>
      <c r="L10" s="25"/>
      <c r="M10" s="25"/>
      <c r="N10" s="25"/>
      <c r="O10" s="25"/>
      <c r="P10" s="25"/>
      <c r="Q10" s="25"/>
      <c r="R10" s="25"/>
      <c r="S10" s="25"/>
      <c r="T10" s="26"/>
    </row>
    <row r="11" spans="1:20" ht="15.2" customHeight="1" x14ac:dyDescent="0.4">
      <c r="A11" s="18" t="s">
        <v>238</v>
      </c>
    </row>
    <row r="12" spans="1:20" ht="15.2" customHeight="1" x14ac:dyDescent="0.4">
      <c r="A12" s="18" t="s">
        <v>239</v>
      </c>
    </row>
    <row r="13" spans="1:20" ht="15.2" customHeight="1" x14ac:dyDescent="0.4">
      <c r="A13" s="18" t="s">
        <v>240</v>
      </c>
    </row>
    <row r="14" spans="1:20" ht="15.2" customHeight="1" x14ac:dyDescent="0.4">
      <c r="C14" s="18" t="s">
        <v>241</v>
      </c>
    </row>
    <row r="15" spans="1:20" ht="15.2" customHeight="1" x14ac:dyDescent="0.4">
      <c r="C15" s="18" t="s">
        <v>242</v>
      </c>
    </row>
    <row r="16" spans="1:20" ht="15.2" customHeight="1" x14ac:dyDescent="0.4">
      <c r="C16" s="18" t="s">
        <v>243</v>
      </c>
    </row>
    <row r="17" spans="1:20" ht="15.2" customHeight="1" thickBot="1" x14ac:dyDescent="0.45">
      <c r="A17" s="18" t="s">
        <v>244</v>
      </c>
    </row>
    <row r="18" spans="1:20" ht="15.2" customHeight="1" x14ac:dyDescent="0.4">
      <c r="A18" s="1341" t="s">
        <v>245</v>
      </c>
      <c r="B18" s="1342"/>
      <c r="C18" s="1342">
        <f>'（最新）アセスメントシート'!D4</f>
        <v>0</v>
      </c>
      <c r="D18" s="1342"/>
      <c r="E18" s="1342"/>
      <c r="F18" s="1342"/>
      <c r="G18" s="1343"/>
      <c r="H18" s="1344" t="s">
        <v>246</v>
      </c>
      <c r="I18" s="1347"/>
      <c r="J18" s="1348"/>
      <c r="K18" s="27"/>
      <c r="L18" s="27"/>
      <c r="M18" s="27"/>
      <c r="N18" s="27"/>
      <c r="O18" s="27"/>
      <c r="P18" s="27"/>
      <c r="Q18" s="27"/>
      <c r="R18" s="27"/>
      <c r="S18" s="27"/>
      <c r="T18" s="28"/>
    </row>
    <row r="19" spans="1:20" ht="15.2" customHeight="1" x14ac:dyDescent="0.4">
      <c r="A19" s="1349" t="s">
        <v>247</v>
      </c>
      <c r="B19" s="1350"/>
      <c r="C19" s="1350">
        <f>'（最新）アセスメントシート'!D5</f>
        <v>0</v>
      </c>
      <c r="D19" s="1350"/>
      <c r="E19" s="1350"/>
      <c r="F19" s="1350"/>
      <c r="G19" s="1353"/>
      <c r="H19" s="1345"/>
      <c r="I19" s="20"/>
      <c r="J19" s="1355">
        <f>'（最新）アセスメントシート'!X5</f>
        <v>0</v>
      </c>
      <c r="K19" s="1356"/>
      <c r="L19" s="1356"/>
      <c r="M19" s="1356"/>
      <c r="N19" s="1356"/>
      <c r="O19" s="1356"/>
      <c r="P19" s="29" t="s">
        <v>248</v>
      </c>
      <c r="Q19" s="17">
        <f>'（最新）アセスメントシート'!AD5</f>
        <v>0</v>
      </c>
      <c r="R19" s="18" t="s">
        <v>249</v>
      </c>
      <c r="T19" s="23"/>
    </row>
    <row r="20" spans="1:20" ht="15.2" customHeight="1" thickBot="1" x14ac:dyDescent="0.45">
      <c r="A20" s="1351"/>
      <c r="B20" s="1352"/>
      <c r="C20" s="1352"/>
      <c r="D20" s="1352"/>
      <c r="E20" s="1352"/>
      <c r="F20" s="1352"/>
      <c r="G20" s="1354"/>
      <c r="H20" s="1346"/>
      <c r="I20" s="1357"/>
      <c r="J20" s="1329"/>
      <c r="K20" s="25"/>
      <c r="L20" s="25"/>
      <c r="M20" s="25"/>
      <c r="N20" s="25"/>
      <c r="O20" s="25"/>
      <c r="P20" s="25"/>
      <c r="Q20" s="25"/>
      <c r="R20" s="25"/>
      <c r="S20" s="25"/>
      <c r="T20" s="26"/>
    </row>
    <row r="21" spans="1:20" ht="15.2" customHeight="1" thickBot="1" x14ac:dyDescent="0.45">
      <c r="A21" s="1339" t="s">
        <v>250</v>
      </c>
      <c r="B21" s="1340"/>
      <c r="C21" s="1340"/>
      <c r="D21" s="1340">
        <f>'（最新）アセスメントシート'!J10</f>
        <v>0</v>
      </c>
      <c r="E21" s="1340"/>
      <c r="F21" s="1340"/>
      <c r="G21" s="1340" t="s">
        <v>251</v>
      </c>
      <c r="H21" s="1340"/>
      <c r="I21" s="1340"/>
      <c r="J21" s="1321">
        <f>'（最新）アセスメントシート'!V10</f>
        <v>0</v>
      </c>
      <c r="K21" s="1321"/>
      <c r="L21" s="1321"/>
      <c r="M21" s="1321"/>
      <c r="N21" s="1321"/>
      <c r="O21" s="30" t="s">
        <v>252</v>
      </c>
      <c r="P21" s="1321">
        <f>'（最新）アセスメントシート'!AC10</f>
        <v>0</v>
      </c>
      <c r="Q21" s="1321"/>
      <c r="R21" s="1321"/>
      <c r="S21" s="1321"/>
      <c r="T21" s="1322"/>
    </row>
    <row r="22" spans="1:20" ht="15.2" customHeight="1" x14ac:dyDescent="0.4">
      <c r="A22" s="1331" t="s">
        <v>226</v>
      </c>
      <c r="B22" s="1333">
        <f>'（最新）アセスメントシート'!D7</f>
        <v>0</v>
      </c>
      <c r="C22" s="1333"/>
      <c r="D22" s="1333"/>
      <c r="E22" s="1333"/>
      <c r="F22" s="1333"/>
      <c r="G22" s="1333"/>
      <c r="H22" s="1333"/>
      <c r="I22" s="1333"/>
      <c r="J22" s="1333"/>
      <c r="K22" s="1335" t="s">
        <v>253</v>
      </c>
      <c r="L22" s="1333"/>
      <c r="M22" s="1333"/>
      <c r="N22" s="1333"/>
      <c r="O22" s="1333"/>
      <c r="P22" s="1333"/>
      <c r="Q22" s="1333"/>
      <c r="R22" s="1333"/>
      <c r="S22" s="1333"/>
      <c r="T22" s="1337"/>
    </row>
    <row r="23" spans="1:20" ht="15.2" customHeight="1" thickBot="1" x14ac:dyDescent="0.45">
      <c r="A23" s="1332"/>
      <c r="B23" s="1334"/>
      <c r="C23" s="1334"/>
      <c r="D23" s="1334"/>
      <c r="E23" s="1334"/>
      <c r="F23" s="1334"/>
      <c r="G23" s="1334"/>
      <c r="H23" s="1334"/>
      <c r="I23" s="1334"/>
      <c r="J23" s="1334"/>
      <c r="K23" s="1336"/>
      <c r="L23" s="1334"/>
      <c r="M23" s="1334"/>
      <c r="N23" s="1334"/>
      <c r="O23" s="1334"/>
      <c r="P23" s="1334"/>
      <c r="Q23" s="1334"/>
      <c r="R23" s="1334"/>
      <c r="S23" s="1334"/>
      <c r="T23" s="1338"/>
    </row>
    <row r="24" spans="1:20" ht="15.2" customHeight="1" thickBot="1" x14ac:dyDescent="0.45">
      <c r="A24" s="18" t="s">
        <v>254</v>
      </c>
    </row>
    <row r="25" spans="1:20" ht="15.2" customHeight="1" x14ac:dyDescent="0.4">
      <c r="A25" s="31" t="s">
        <v>255</v>
      </c>
      <c r="B25" s="27"/>
      <c r="C25" s="27"/>
      <c r="D25" s="27"/>
      <c r="E25" s="27"/>
      <c r="F25" s="27"/>
      <c r="G25" s="27"/>
      <c r="H25" s="1323" t="s">
        <v>256</v>
      </c>
      <c r="I25" s="1324"/>
      <c r="J25" s="1324"/>
      <c r="K25" s="32"/>
      <c r="L25" s="32"/>
      <c r="M25" s="32" t="s">
        <v>257</v>
      </c>
      <c r="N25" s="32"/>
      <c r="O25" s="32"/>
      <c r="P25" s="32"/>
      <c r="Q25" s="32" t="s">
        <v>258</v>
      </c>
      <c r="R25" s="32"/>
      <c r="S25" s="32"/>
      <c r="T25" s="33"/>
    </row>
    <row r="26" spans="1:20" ht="15.2" customHeight="1" x14ac:dyDescent="0.4">
      <c r="A26" s="20"/>
      <c r="B26" s="18" t="s">
        <v>259</v>
      </c>
      <c r="K26" s="18" t="s">
        <v>260</v>
      </c>
      <c r="T26" s="23"/>
    </row>
    <row r="27" spans="1:20" ht="15.2" customHeight="1" x14ac:dyDescent="0.4">
      <c r="A27" s="20"/>
      <c r="B27" s="18" t="s">
        <v>261</v>
      </c>
      <c r="K27" s="18" t="s">
        <v>262</v>
      </c>
      <c r="T27" s="23"/>
    </row>
    <row r="28" spans="1:20" ht="15.2" customHeight="1" x14ac:dyDescent="0.4">
      <c r="A28" s="20"/>
      <c r="B28" s="18" t="s">
        <v>263</v>
      </c>
      <c r="K28" s="18" t="s">
        <v>264</v>
      </c>
      <c r="T28" s="23"/>
    </row>
    <row r="29" spans="1:20" ht="15.2" customHeight="1" thickBot="1" x14ac:dyDescent="0.45">
      <c r="A29" s="24"/>
      <c r="B29" s="25" t="s">
        <v>265</v>
      </c>
      <c r="C29" s="25"/>
      <c r="D29" s="25"/>
      <c r="E29" s="25"/>
      <c r="F29" s="25"/>
      <c r="G29" s="25"/>
      <c r="H29" s="25"/>
      <c r="I29" s="25"/>
      <c r="J29" s="25"/>
      <c r="K29" s="25" t="s">
        <v>266</v>
      </c>
      <c r="L29" s="25"/>
      <c r="M29" s="25"/>
      <c r="N29" s="25"/>
      <c r="O29" s="25"/>
      <c r="P29" s="25"/>
      <c r="Q29" s="25"/>
      <c r="R29" s="25"/>
      <c r="S29" s="25"/>
      <c r="T29" s="26"/>
    </row>
    <row r="30" spans="1:20" ht="15.2" customHeight="1" thickBot="1" x14ac:dyDescent="0.45">
      <c r="A30" s="1318" t="s">
        <v>267</v>
      </c>
      <c r="B30" s="1319"/>
      <c r="C30" s="1320"/>
      <c r="D30" s="27"/>
      <c r="E30" s="27"/>
      <c r="F30" s="27"/>
      <c r="G30" s="27"/>
      <c r="H30" s="27"/>
      <c r="I30" s="27"/>
      <c r="J30" s="27"/>
      <c r="K30" s="27"/>
      <c r="L30" s="27"/>
      <c r="M30" s="27"/>
      <c r="N30" s="27"/>
      <c r="O30" s="27"/>
      <c r="P30" s="27"/>
      <c r="Q30" s="27"/>
      <c r="R30" s="27"/>
      <c r="S30" s="27"/>
      <c r="T30" s="28"/>
    </row>
    <row r="31" spans="1:20" ht="17.100000000000001" customHeight="1" x14ac:dyDescent="0.4">
      <c r="A31" s="1325" t="s">
        <v>1183</v>
      </c>
      <c r="B31" s="1326"/>
      <c r="C31" s="1326"/>
      <c r="D31" s="1326"/>
      <c r="E31" s="1326"/>
      <c r="F31" s="1326"/>
      <c r="G31" s="1326"/>
      <c r="H31" s="1326"/>
      <c r="I31" s="1326"/>
      <c r="J31" s="1326"/>
      <c r="K31" s="1326"/>
      <c r="L31" s="1326"/>
      <c r="M31" s="1326"/>
      <c r="N31" s="1326"/>
      <c r="O31" s="1326"/>
      <c r="P31" s="1326"/>
      <c r="Q31" s="1326"/>
      <c r="R31" s="1326"/>
      <c r="S31" s="1326"/>
      <c r="T31" s="1327"/>
    </row>
    <row r="32" spans="1:20" ht="17.100000000000001" customHeight="1" x14ac:dyDescent="0.4">
      <c r="A32" s="1328"/>
      <c r="B32" s="1326"/>
      <c r="C32" s="1326"/>
      <c r="D32" s="1326"/>
      <c r="E32" s="1326"/>
      <c r="F32" s="1326"/>
      <c r="G32" s="1326"/>
      <c r="H32" s="1326"/>
      <c r="I32" s="1326"/>
      <c r="J32" s="1326"/>
      <c r="K32" s="1326"/>
      <c r="L32" s="1326"/>
      <c r="M32" s="1326"/>
      <c r="N32" s="1326"/>
      <c r="O32" s="1326"/>
      <c r="P32" s="1326"/>
      <c r="Q32" s="1326"/>
      <c r="R32" s="1326"/>
      <c r="S32" s="1326"/>
      <c r="T32" s="1327"/>
    </row>
    <row r="33" spans="1:20" ht="17.100000000000001" customHeight="1" x14ac:dyDescent="0.4">
      <c r="A33" s="1328"/>
      <c r="B33" s="1326"/>
      <c r="C33" s="1326"/>
      <c r="D33" s="1326"/>
      <c r="E33" s="1326"/>
      <c r="F33" s="1326"/>
      <c r="G33" s="1326"/>
      <c r="H33" s="1326"/>
      <c r="I33" s="1326"/>
      <c r="J33" s="1326"/>
      <c r="K33" s="1326"/>
      <c r="L33" s="1326"/>
      <c r="M33" s="1326"/>
      <c r="N33" s="1326"/>
      <c r="O33" s="1326"/>
      <c r="P33" s="1326"/>
      <c r="Q33" s="1326"/>
      <c r="R33" s="1326"/>
      <c r="S33" s="1326"/>
      <c r="T33" s="1327"/>
    </row>
    <row r="34" spans="1:20" ht="17.100000000000001" customHeight="1" x14ac:dyDescent="0.4">
      <c r="A34" s="1328"/>
      <c r="B34" s="1326"/>
      <c r="C34" s="1326"/>
      <c r="D34" s="1326"/>
      <c r="E34" s="1326"/>
      <c r="F34" s="1326"/>
      <c r="G34" s="1326"/>
      <c r="H34" s="1326"/>
      <c r="I34" s="1326"/>
      <c r="J34" s="1326"/>
      <c r="K34" s="1326"/>
      <c r="L34" s="1326"/>
      <c r="M34" s="1326"/>
      <c r="N34" s="1326"/>
      <c r="O34" s="1326"/>
      <c r="P34" s="1326"/>
      <c r="Q34" s="1326"/>
      <c r="R34" s="1326"/>
      <c r="S34" s="1326"/>
      <c r="T34" s="1327"/>
    </row>
    <row r="35" spans="1:20" ht="17.100000000000001" customHeight="1" x14ac:dyDescent="0.4">
      <c r="A35" s="1328"/>
      <c r="B35" s="1326"/>
      <c r="C35" s="1326"/>
      <c r="D35" s="1326"/>
      <c r="E35" s="1326"/>
      <c r="F35" s="1326"/>
      <c r="G35" s="1326"/>
      <c r="H35" s="1326"/>
      <c r="I35" s="1326"/>
      <c r="J35" s="1326"/>
      <c r="K35" s="1326"/>
      <c r="L35" s="1326"/>
      <c r="M35" s="1326"/>
      <c r="N35" s="1326"/>
      <c r="O35" s="1326"/>
      <c r="P35" s="1326"/>
      <c r="Q35" s="1326"/>
      <c r="R35" s="1326"/>
      <c r="S35" s="1326"/>
      <c r="T35" s="1327"/>
    </row>
    <row r="36" spans="1:20" ht="17.100000000000001" customHeight="1" x14ac:dyDescent="0.4">
      <c r="A36" s="1328"/>
      <c r="B36" s="1326"/>
      <c r="C36" s="1326"/>
      <c r="D36" s="1326"/>
      <c r="E36" s="1326"/>
      <c r="F36" s="1326"/>
      <c r="G36" s="1326"/>
      <c r="H36" s="1326"/>
      <c r="I36" s="1326"/>
      <c r="J36" s="1326"/>
      <c r="K36" s="1326"/>
      <c r="L36" s="1326"/>
      <c r="M36" s="1326"/>
      <c r="N36" s="1326"/>
      <c r="O36" s="1326"/>
      <c r="P36" s="1326"/>
      <c r="Q36" s="1326"/>
      <c r="R36" s="1326"/>
      <c r="S36" s="1326"/>
      <c r="T36" s="1327"/>
    </row>
    <row r="37" spans="1:20" ht="17.100000000000001" customHeight="1" x14ac:dyDescent="0.4">
      <c r="A37" s="1328"/>
      <c r="B37" s="1326"/>
      <c r="C37" s="1326"/>
      <c r="D37" s="1326"/>
      <c r="E37" s="1326"/>
      <c r="F37" s="1326"/>
      <c r="G37" s="1326"/>
      <c r="H37" s="1326"/>
      <c r="I37" s="1326"/>
      <c r="J37" s="1326"/>
      <c r="K37" s="1326"/>
      <c r="L37" s="1326"/>
      <c r="M37" s="1326"/>
      <c r="N37" s="1326"/>
      <c r="O37" s="1326"/>
      <c r="P37" s="1326"/>
      <c r="Q37" s="1326"/>
      <c r="R37" s="1326"/>
      <c r="S37" s="1326"/>
      <c r="T37" s="1327"/>
    </row>
    <row r="38" spans="1:20" ht="16.5" customHeight="1" x14ac:dyDescent="0.4">
      <c r="A38" s="1328"/>
      <c r="B38" s="1326"/>
      <c r="C38" s="1326"/>
      <c r="D38" s="1326"/>
      <c r="E38" s="1326"/>
      <c r="F38" s="1326"/>
      <c r="G38" s="1326"/>
      <c r="H38" s="1326"/>
      <c r="I38" s="1326"/>
      <c r="J38" s="1326"/>
      <c r="K38" s="1326"/>
      <c r="L38" s="1326"/>
      <c r="M38" s="1326"/>
      <c r="N38" s="1326"/>
      <c r="O38" s="1326"/>
      <c r="P38" s="1326"/>
      <c r="Q38" s="1326"/>
      <c r="R38" s="1326"/>
      <c r="S38" s="1326"/>
      <c r="T38" s="1327"/>
    </row>
    <row r="39" spans="1:20" ht="17.100000000000001" customHeight="1" thickBot="1" x14ac:dyDescent="0.45">
      <c r="A39" s="24"/>
      <c r="B39" s="25"/>
      <c r="C39" s="25"/>
      <c r="D39" s="25"/>
      <c r="E39" s="25"/>
      <c r="F39" s="25"/>
      <c r="G39" s="25"/>
      <c r="H39" s="25"/>
      <c r="I39" s="25"/>
      <c r="J39" s="25" t="s">
        <v>268</v>
      </c>
      <c r="K39" s="25"/>
      <c r="L39" s="25"/>
      <c r="M39" s="25"/>
      <c r="N39" s="1329">
        <f>'（最新）アセスメントシート'!AG3</f>
        <v>0</v>
      </c>
      <c r="O39" s="1329"/>
      <c r="P39" s="1329"/>
      <c r="Q39" s="1329"/>
      <c r="R39" s="1329"/>
      <c r="S39" s="1329"/>
      <c r="T39" s="1330"/>
    </row>
    <row r="40" spans="1:20" ht="15.2" customHeight="1" thickBot="1" x14ac:dyDescent="0.45">
      <c r="A40" s="18" t="s">
        <v>269</v>
      </c>
    </row>
    <row r="41" spans="1:20" ht="15.2" customHeight="1" x14ac:dyDescent="0.4">
      <c r="A41" s="31" t="s">
        <v>270</v>
      </c>
      <c r="B41" s="27"/>
      <c r="C41" s="27"/>
      <c r="D41" s="27"/>
      <c r="E41" s="27"/>
      <c r="F41" s="27"/>
      <c r="G41" s="27"/>
      <c r="H41" s="27"/>
      <c r="I41" s="27"/>
      <c r="J41" s="27"/>
      <c r="K41" s="27"/>
      <c r="L41" s="27"/>
      <c r="M41" s="27"/>
      <c r="N41" s="27"/>
      <c r="O41" s="27"/>
      <c r="P41" s="27"/>
      <c r="Q41" s="27"/>
      <c r="R41" s="27"/>
      <c r="S41" s="27"/>
      <c r="T41" s="28"/>
    </row>
    <row r="42" spans="1:20" ht="15.2" customHeight="1" x14ac:dyDescent="0.4">
      <c r="A42" s="20"/>
      <c r="B42" s="18" t="s">
        <v>271</v>
      </c>
      <c r="T42" s="23"/>
    </row>
    <row r="43" spans="1:20" ht="15.2" customHeight="1" x14ac:dyDescent="0.4">
      <c r="A43" s="20"/>
      <c r="B43" s="18" t="s">
        <v>272</v>
      </c>
      <c r="T43" s="23"/>
    </row>
    <row r="44" spans="1:20" ht="15.2" customHeight="1" x14ac:dyDescent="0.4">
      <c r="A44" s="20"/>
      <c r="B44" s="18" t="s">
        <v>273</v>
      </c>
      <c r="T44" s="23"/>
    </row>
    <row r="45" spans="1:20" ht="15.2" customHeight="1" thickBot="1" x14ac:dyDescent="0.45">
      <c r="A45" s="24"/>
      <c r="B45" s="25" t="s">
        <v>1246</v>
      </c>
      <c r="C45" s="25"/>
      <c r="D45" s="25"/>
      <c r="E45" s="25"/>
      <c r="F45" s="25"/>
      <c r="G45" s="25"/>
      <c r="H45" s="25"/>
      <c r="I45" s="25" t="s">
        <v>274</v>
      </c>
      <c r="J45" s="25"/>
      <c r="K45" s="25"/>
      <c r="L45" s="25"/>
      <c r="M45" s="25"/>
      <c r="N45" s="25"/>
      <c r="O45" s="25"/>
      <c r="P45" s="25"/>
      <c r="Q45" s="25"/>
      <c r="R45" s="25"/>
      <c r="S45" s="25"/>
      <c r="T45" s="26"/>
    </row>
    <row r="46" spans="1:20" ht="15.2" customHeight="1" thickBot="1" x14ac:dyDescent="0.45">
      <c r="A46" s="1318" t="s">
        <v>275</v>
      </c>
      <c r="B46" s="1319"/>
      <c r="C46" s="1320"/>
      <c r="D46" s="27"/>
      <c r="E46" s="27"/>
      <c r="F46" s="27"/>
      <c r="G46" s="27"/>
      <c r="H46" s="27"/>
      <c r="I46" s="27"/>
      <c r="J46" s="27"/>
      <c r="K46" s="27"/>
      <c r="L46" s="27"/>
      <c r="M46" s="27"/>
      <c r="N46" s="27"/>
      <c r="O46" s="27"/>
      <c r="P46" s="27"/>
      <c r="Q46" s="27"/>
      <c r="R46" s="27"/>
      <c r="S46" s="27"/>
      <c r="T46" s="28"/>
    </row>
    <row r="47" spans="1:20" ht="23.25" customHeight="1" x14ac:dyDescent="0.4">
      <c r="A47" s="20"/>
      <c r="T47" s="23"/>
    </row>
    <row r="48" spans="1:20" ht="23.25" customHeight="1" x14ac:dyDescent="0.4">
      <c r="A48" s="399"/>
      <c r="B48" s="400"/>
      <c r="C48" s="400"/>
      <c r="D48" s="400"/>
      <c r="E48" s="400"/>
      <c r="F48" s="400"/>
      <c r="G48" s="400"/>
      <c r="H48" s="400"/>
      <c r="I48" s="400"/>
      <c r="J48" s="400"/>
      <c r="K48" s="400"/>
      <c r="L48" s="400"/>
      <c r="M48" s="400"/>
      <c r="N48" s="400"/>
      <c r="O48" s="400"/>
      <c r="P48" s="400"/>
      <c r="Q48" s="400"/>
      <c r="R48" s="400"/>
      <c r="S48" s="400"/>
      <c r="T48" s="401"/>
    </row>
    <row r="49" spans="1:20" ht="23.25" customHeight="1" x14ac:dyDescent="0.4">
      <c r="A49" s="20"/>
      <c r="T49" s="23"/>
    </row>
    <row r="50" spans="1:20" ht="23.25" customHeight="1" x14ac:dyDescent="0.4">
      <c r="A50" s="399"/>
      <c r="B50" s="400"/>
      <c r="C50" s="400"/>
      <c r="D50" s="400"/>
      <c r="E50" s="400"/>
      <c r="F50" s="400"/>
      <c r="G50" s="400"/>
      <c r="H50" s="400"/>
      <c r="I50" s="400"/>
      <c r="J50" s="400"/>
      <c r="K50" s="400"/>
      <c r="L50" s="400"/>
      <c r="M50" s="400"/>
      <c r="N50" s="400"/>
      <c r="O50" s="400"/>
      <c r="P50" s="400"/>
      <c r="Q50" s="400"/>
      <c r="R50" s="400"/>
      <c r="S50" s="400"/>
      <c r="T50" s="401"/>
    </row>
    <row r="51" spans="1:20" ht="23.25" customHeight="1" thickBot="1" x14ac:dyDescent="0.45">
      <c r="A51" s="24"/>
      <c r="B51" s="25"/>
      <c r="C51" s="25"/>
      <c r="D51" s="25"/>
      <c r="E51" s="25"/>
      <c r="F51" s="25"/>
      <c r="G51" s="25" t="s">
        <v>276</v>
      </c>
      <c r="H51" s="25"/>
      <c r="I51" s="25"/>
      <c r="J51" s="25"/>
      <c r="K51" s="25"/>
      <c r="L51" s="25"/>
      <c r="M51" s="25"/>
      <c r="N51" s="25"/>
      <c r="O51" s="25"/>
      <c r="P51" s="25"/>
      <c r="Q51" s="25"/>
      <c r="R51" s="25"/>
      <c r="S51" s="25"/>
      <c r="T51" s="26"/>
    </row>
    <row r="52" spans="1:20" x14ac:dyDescent="0.4">
      <c r="E52" s="18" t="s">
        <v>277</v>
      </c>
    </row>
  </sheetData>
  <mergeCells count="48">
    <mergeCell ref="A1:G3"/>
    <mergeCell ref="J1:T2"/>
    <mergeCell ref="J3:M3"/>
    <mergeCell ref="N3:S3"/>
    <mergeCell ref="A4:G4"/>
    <mergeCell ref="J4:M4"/>
    <mergeCell ref="N4:T4"/>
    <mergeCell ref="C5:G5"/>
    <mergeCell ref="J5:M5"/>
    <mergeCell ref="N5:T5"/>
    <mergeCell ref="A6:B6"/>
    <mergeCell ref="C6:G6"/>
    <mergeCell ref="J6:K6"/>
    <mergeCell ref="L6:T6"/>
    <mergeCell ref="F10:G10"/>
    <mergeCell ref="A7:B7"/>
    <mergeCell ref="C7:G7"/>
    <mergeCell ref="J7:K7"/>
    <mergeCell ref="L7:N7"/>
    <mergeCell ref="A8:B8"/>
    <mergeCell ref="C8:G9"/>
    <mergeCell ref="J8:L8"/>
    <mergeCell ref="M8:T8"/>
    <mergeCell ref="J9:P9"/>
    <mergeCell ref="O7:P7"/>
    <mergeCell ref="Q7:T7"/>
    <mergeCell ref="A18:B18"/>
    <mergeCell ref="C18:G18"/>
    <mergeCell ref="H18:H20"/>
    <mergeCell ref="I18:J18"/>
    <mergeCell ref="A19:B20"/>
    <mergeCell ref="C19:G20"/>
    <mergeCell ref="J19:O19"/>
    <mergeCell ref="I20:J20"/>
    <mergeCell ref="A46:C46"/>
    <mergeCell ref="P21:T21"/>
    <mergeCell ref="H25:J25"/>
    <mergeCell ref="A30:C30"/>
    <mergeCell ref="A31:T38"/>
    <mergeCell ref="N39:T39"/>
    <mergeCell ref="A22:A23"/>
    <mergeCell ref="B22:J23"/>
    <mergeCell ref="K22:K23"/>
    <mergeCell ref="L22:T23"/>
    <mergeCell ref="A21:C21"/>
    <mergeCell ref="D21:F21"/>
    <mergeCell ref="G21:I21"/>
    <mergeCell ref="J21:N21"/>
  </mergeCells>
  <phoneticPr fontId="1"/>
  <pageMargins left="0.51181102362204722" right="0.51181102362204722" top="0.35433070866141736" bottom="0.35433070866141736" header="0.31496062992125984" footer="0.31496062992125984"/>
  <pageSetup paperSize="9" scale="91"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sizeWithCells="1">
                  <from>
                    <xdr:col>0</xdr:col>
                    <xdr:colOff>57150</xdr:colOff>
                    <xdr:row>24</xdr:row>
                    <xdr:rowOff>171450</xdr:rowOff>
                  </from>
                  <to>
                    <xdr:col>0</xdr:col>
                    <xdr:colOff>323850</xdr:colOff>
                    <xdr:row>26</xdr:row>
                    <xdr:rowOff>28575</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sizeWithCells="1">
                  <from>
                    <xdr:col>9</xdr:col>
                    <xdr:colOff>57150</xdr:colOff>
                    <xdr:row>25</xdr:row>
                    <xdr:rowOff>0</xdr:rowOff>
                  </from>
                  <to>
                    <xdr:col>9</xdr:col>
                    <xdr:colOff>323850</xdr:colOff>
                    <xdr:row>26</xdr:row>
                    <xdr:rowOff>28575</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73" r:id="rId28" name="Check Box 25">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74" r:id="rId29" name="Check Box 26">
              <controlPr defaultSize="0" autoFill="0" autoLine="0" autoPict="0">
                <anchor moveWithCells="1" sizeWithCells="1">
                  <from>
                    <xdr:col>11</xdr:col>
                    <xdr:colOff>57150</xdr:colOff>
                    <xdr:row>24</xdr:row>
                    <xdr:rowOff>0</xdr:rowOff>
                  </from>
                  <to>
                    <xdr:col>11</xdr:col>
                    <xdr:colOff>323850</xdr:colOff>
                    <xdr:row>25</xdr:row>
                    <xdr:rowOff>28575</xdr:rowOff>
                  </to>
                </anchor>
              </controlPr>
            </control>
          </mc:Choice>
        </mc:AlternateContent>
        <mc:AlternateContent xmlns:mc="http://schemas.openxmlformats.org/markup-compatibility/2006">
          <mc:Choice Requires="x14">
            <control shapeId="2075" r:id="rId30" name="Check Box 27">
              <controlPr defaultSize="0" autoFill="0" autoLine="0" autoPict="0">
                <anchor moveWithCells="1" sizeWithCells="1">
                  <from>
                    <xdr:col>15</xdr:col>
                    <xdr:colOff>57150</xdr:colOff>
                    <xdr:row>24</xdr:row>
                    <xdr:rowOff>0</xdr:rowOff>
                  </from>
                  <to>
                    <xdr:col>15</xdr:col>
                    <xdr:colOff>323850</xdr:colOff>
                    <xdr:row>25</xdr:row>
                    <xdr:rowOff>28575</xdr:rowOff>
                  </to>
                </anchor>
              </controlPr>
            </control>
          </mc:Choice>
        </mc:AlternateContent>
        <mc:AlternateContent xmlns:mc="http://schemas.openxmlformats.org/markup-compatibility/2006">
          <mc:Choice Requires="x14">
            <control shapeId="2076" r:id="rId31" name="Check Box 28">
              <controlPr defaultSize="0" autoFill="0" autoLine="0" autoPict="0">
                <anchor moveWithCells="1" sizeWithCells="1">
                  <from>
                    <xdr:col>0</xdr:col>
                    <xdr:colOff>57150</xdr:colOff>
                    <xdr:row>41</xdr:row>
                    <xdr:rowOff>0</xdr:rowOff>
                  </from>
                  <to>
                    <xdr:col>0</xdr:col>
                    <xdr:colOff>323850</xdr:colOff>
                    <xdr:row>42</xdr:row>
                    <xdr:rowOff>28575</xdr:rowOff>
                  </to>
                </anchor>
              </controlPr>
            </control>
          </mc:Choice>
        </mc:AlternateContent>
        <mc:AlternateContent xmlns:mc="http://schemas.openxmlformats.org/markup-compatibility/2006">
          <mc:Choice Requires="x14">
            <control shapeId="2077" r:id="rId32" name="Check Box 29">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80" r:id="rId33" name="Check Box 32">
              <controlPr defaultSize="0" autoFill="0" autoLine="0" autoPict="0">
                <anchor moveWithCells="1" sizeWithCells="1">
                  <from>
                    <xdr:col>7</xdr:col>
                    <xdr:colOff>133350</xdr:colOff>
                    <xdr:row>43</xdr:row>
                    <xdr:rowOff>171450</xdr:rowOff>
                  </from>
                  <to>
                    <xdr:col>8</xdr:col>
                    <xdr:colOff>47625</xdr:colOff>
                    <xdr:row>45</xdr:row>
                    <xdr:rowOff>9525</xdr:rowOff>
                  </to>
                </anchor>
              </controlPr>
            </control>
          </mc:Choice>
        </mc:AlternateContent>
        <mc:AlternateContent xmlns:mc="http://schemas.openxmlformats.org/markup-compatibility/2006">
          <mc:Choice Requires="x14">
            <control shapeId="2081" r:id="rId34" name="Check Box 33">
              <controlPr defaultSize="0" autoFill="0" autoLine="0" autoPict="0">
                <anchor moveWithCells="1" sizeWithCells="1">
                  <from>
                    <xdr:col>1</xdr:col>
                    <xdr:colOff>57150</xdr:colOff>
                    <xdr:row>13</xdr:row>
                    <xdr:rowOff>0</xdr:rowOff>
                  </from>
                  <to>
                    <xdr:col>1</xdr:col>
                    <xdr:colOff>323850</xdr:colOff>
                    <xdr:row>14</xdr:row>
                    <xdr:rowOff>28575</xdr:rowOff>
                  </to>
                </anchor>
              </controlPr>
            </control>
          </mc:Choice>
        </mc:AlternateContent>
        <mc:AlternateContent xmlns:mc="http://schemas.openxmlformats.org/markup-compatibility/2006">
          <mc:Choice Requires="x14">
            <control shapeId="2082" r:id="rId35" name="Check Box 34">
              <controlPr defaultSize="0" autoFill="0" autoLine="0" autoPict="0">
                <anchor moveWithCells="1" sizeWithCells="1">
                  <from>
                    <xdr:col>1</xdr:col>
                    <xdr:colOff>57150</xdr:colOff>
                    <xdr:row>15</xdr:row>
                    <xdr:rowOff>0</xdr:rowOff>
                  </from>
                  <to>
                    <xdr:col>1</xdr:col>
                    <xdr:colOff>323850</xdr:colOff>
                    <xdr:row>16</xdr:row>
                    <xdr:rowOff>28575</xdr:rowOff>
                  </to>
                </anchor>
              </controlPr>
            </control>
          </mc:Choice>
        </mc:AlternateContent>
        <mc:AlternateContent xmlns:mc="http://schemas.openxmlformats.org/markup-compatibility/2006">
          <mc:Choice Requires="x14">
            <control shapeId="2083" r:id="rId36" name="Check Box 35">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84" r:id="rId37" name="Check Box 36">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85" r:id="rId38" name="Check Box 37">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86" r:id="rId39" name="Check Box 38">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87" r:id="rId40" name="Check Box 39">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88" r:id="rId41" name="Check Box 40">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89" r:id="rId42" name="Check Box 41">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90" r:id="rId43" name="Check Box 42">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091" r:id="rId44" name="Check Box 43">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092" r:id="rId45" name="Check Box 44">
              <controlPr defaultSize="0" autoFill="0" autoLine="0" autoPict="0">
                <anchor moveWithCells="1" sizeWithCells="1">
                  <from>
                    <xdr:col>0</xdr:col>
                    <xdr:colOff>57150</xdr:colOff>
                    <xdr:row>25</xdr:row>
                    <xdr:rowOff>171450</xdr:rowOff>
                  </from>
                  <to>
                    <xdr:col>0</xdr:col>
                    <xdr:colOff>323850</xdr:colOff>
                    <xdr:row>27</xdr:row>
                    <xdr:rowOff>28575</xdr:rowOff>
                  </to>
                </anchor>
              </controlPr>
            </control>
          </mc:Choice>
        </mc:AlternateContent>
        <mc:AlternateContent xmlns:mc="http://schemas.openxmlformats.org/markup-compatibility/2006">
          <mc:Choice Requires="x14">
            <control shapeId="2093" r:id="rId46" name="Check Box 45">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094" r:id="rId47" name="Check Box 46">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095" r:id="rId48" name="Check Box 47">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096" r:id="rId49" name="Check Box 48">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097" r:id="rId50" name="Check Box 49">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098" r:id="rId51" name="Check Box 50">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099" r:id="rId52" name="Check Box 51">
              <controlPr defaultSize="0" autoFill="0" autoLine="0" autoPict="0">
                <anchor moveWithCells="1" sizeWithCells="1">
                  <from>
                    <xdr:col>0</xdr:col>
                    <xdr:colOff>57150</xdr:colOff>
                    <xdr:row>43</xdr:row>
                    <xdr:rowOff>0</xdr:rowOff>
                  </from>
                  <to>
                    <xdr:col>0</xdr:col>
                    <xdr:colOff>323850</xdr:colOff>
                    <xdr:row>44</xdr:row>
                    <xdr:rowOff>28575</xdr:rowOff>
                  </to>
                </anchor>
              </controlPr>
            </control>
          </mc:Choice>
        </mc:AlternateContent>
        <mc:AlternateContent xmlns:mc="http://schemas.openxmlformats.org/markup-compatibility/2006">
          <mc:Choice Requires="x14">
            <control shapeId="2100" r:id="rId53" name="Check Box 52">
              <controlPr defaultSize="0" autoFill="0" autoLine="0" autoPict="0">
                <anchor moveWithCells="1" sizeWithCells="1">
                  <from>
                    <xdr:col>0</xdr:col>
                    <xdr:colOff>57150</xdr:colOff>
                    <xdr:row>44</xdr:row>
                    <xdr:rowOff>0</xdr:rowOff>
                  </from>
                  <to>
                    <xdr:col>0</xdr:col>
                    <xdr:colOff>323850</xdr:colOff>
                    <xdr:row>45</xdr:row>
                    <xdr:rowOff>28575</xdr:rowOff>
                  </to>
                </anchor>
              </controlPr>
            </control>
          </mc:Choice>
        </mc:AlternateContent>
        <mc:AlternateContent xmlns:mc="http://schemas.openxmlformats.org/markup-compatibility/2006">
          <mc:Choice Requires="x14">
            <control shapeId="2101" r:id="rId54" name="Check Box 53">
              <controlPr defaultSize="0" autoFill="0" autoLine="0" autoPict="0">
                <anchor moveWithCells="1" sizeWithCells="1">
                  <from>
                    <xdr:col>0</xdr:col>
                    <xdr:colOff>57150</xdr:colOff>
                    <xdr:row>24</xdr:row>
                    <xdr:rowOff>171450</xdr:rowOff>
                  </from>
                  <to>
                    <xdr:col>0</xdr:col>
                    <xdr:colOff>323850</xdr:colOff>
                    <xdr:row>26</xdr:row>
                    <xdr:rowOff>28575</xdr:rowOff>
                  </to>
                </anchor>
              </controlPr>
            </control>
          </mc:Choice>
        </mc:AlternateContent>
        <mc:AlternateContent xmlns:mc="http://schemas.openxmlformats.org/markup-compatibility/2006">
          <mc:Choice Requires="x14">
            <control shapeId="2102" r:id="rId55" name="Check Box 54">
              <controlPr defaultSize="0" autoFill="0" autoLine="0" autoPict="0">
                <anchor moveWithCells="1" sizeWithCells="1">
                  <from>
                    <xdr:col>0</xdr:col>
                    <xdr:colOff>57150</xdr:colOff>
                    <xdr:row>27</xdr:row>
                    <xdr:rowOff>0</xdr:rowOff>
                  </from>
                  <to>
                    <xdr:col>0</xdr:col>
                    <xdr:colOff>323850</xdr:colOff>
                    <xdr:row>28</xdr:row>
                    <xdr:rowOff>28575</xdr:rowOff>
                  </to>
                </anchor>
              </controlPr>
            </control>
          </mc:Choice>
        </mc:AlternateContent>
        <mc:AlternateContent xmlns:mc="http://schemas.openxmlformats.org/markup-compatibility/2006">
          <mc:Choice Requires="x14">
            <control shapeId="2103" r:id="rId56" name="Check Box 55">
              <controlPr defaultSize="0" autoFill="0" autoLine="0" autoPict="0">
                <anchor moveWithCells="1" sizeWithCells="1">
                  <from>
                    <xdr:col>0</xdr:col>
                    <xdr:colOff>57150</xdr:colOff>
                    <xdr:row>28</xdr:row>
                    <xdr:rowOff>0</xdr:rowOff>
                  </from>
                  <to>
                    <xdr:col>0</xdr:col>
                    <xdr:colOff>323850</xdr:colOff>
                    <xdr:row>29</xdr:row>
                    <xdr:rowOff>28575</xdr:rowOff>
                  </to>
                </anchor>
              </controlPr>
            </control>
          </mc:Choice>
        </mc:AlternateContent>
        <mc:AlternateContent xmlns:mc="http://schemas.openxmlformats.org/markup-compatibility/2006">
          <mc:Choice Requires="x14">
            <control shapeId="2104" r:id="rId57" name="Check Box 56">
              <controlPr defaultSize="0" autoFill="0" autoLine="0" autoPict="0">
                <anchor moveWithCells="1" sizeWithCells="1">
                  <from>
                    <xdr:col>9</xdr:col>
                    <xdr:colOff>57150</xdr:colOff>
                    <xdr:row>25</xdr:row>
                    <xdr:rowOff>0</xdr:rowOff>
                  </from>
                  <to>
                    <xdr:col>9</xdr:col>
                    <xdr:colOff>323850</xdr:colOff>
                    <xdr:row>26</xdr:row>
                    <xdr:rowOff>28575</xdr:rowOff>
                  </to>
                </anchor>
              </controlPr>
            </control>
          </mc:Choice>
        </mc:AlternateContent>
        <mc:AlternateContent xmlns:mc="http://schemas.openxmlformats.org/markup-compatibility/2006">
          <mc:Choice Requires="x14">
            <control shapeId="2105" r:id="rId58" name="Check Box 57">
              <controlPr defaultSize="0" autoFill="0" autoLine="0" autoPict="0">
                <anchor moveWithCells="1" sizeWithCells="1">
                  <from>
                    <xdr:col>9</xdr:col>
                    <xdr:colOff>57150</xdr:colOff>
                    <xdr:row>26</xdr:row>
                    <xdr:rowOff>0</xdr:rowOff>
                  </from>
                  <to>
                    <xdr:col>9</xdr:col>
                    <xdr:colOff>323850</xdr:colOff>
                    <xdr:row>27</xdr:row>
                    <xdr:rowOff>28575</xdr:rowOff>
                  </to>
                </anchor>
              </controlPr>
            </control>
          </mc:Choice>
        </mc:AlternateContent>
        <mc:AlternateContent xmlns:mc="http://schemas.openxmlformats.org/markup-compatibility/2006">
          <mc:Choice Requires="x14">
            <control shapeId="2106" r:id="rId59" name="Check Box 58">
              <controlPr defaultSize="0" autoFill="0" autoLine="0" autoPict="0">
                <anchor moveWithCells="1" sizeWithCells="1">
                  <from>
                    <xdr:col>9</xdr:col>
                    <xdr:colOff>57150</xdr:colOff>
                    <xdr:row>27</xdr:row>
                    <xdr:rowOff>0</xdr:rowOff>
                  </from>
                  <to>
                    <xdr:col>9</xdr:col>
                    <xdr:colOff>323850</xdr:colOff>
                    <xdr:row>28</xdr:row>
                    <xdr:rowOff>28575</xdr:rowOff>
                  </to>
                </anchor>
              </controlPr>
            </control>
          </mc:Choice>
        </mc:AlternateContent>
        <mc:AlternateContent xmlns:mc="http://schemas.openxmlformats.org/markup-compatibility/2006">
          <mc:Choice Requires="x14">
            <control shapeId="2107" r:id="rId60" name="Check Box 59">
              <controlPr defaultSize="0" autoFill="0" autoLine="0" autoPict="0">
                <anchor moveWithCells="1" sizeWithCells="1">
                  <from>
                    <xdr:col>9</xdr:col>
                    <xdr:colOff>57150</xdr:colOff>
                    <xdr:row>28</xdr:row>
                    <xdr:rowOff>0</xdr:rowOff>
                  </from>
                  <to>
                    <xdr:col>9</xdr:col>
                    <xdr:colOff>323850</xdr:colOff>
                    <xdr:row>29</xdr:row>
                    <xdr:rowOff>28575</xdr:rowOff>
                  </to>
                </anchor>
              </controlPr>
            </control>
          </mc:Choice>
        </mc:AlternateContent>
        <mc:AlternateContent xmlns:mc="http://schemas.openxmlformats.org/markup-compatibility/2006">
          <mc:Choice Requires="x14">
            <control shapeId="2108" r:id="rId61" name="Check Box 60">
              <controlPr defaultSize="0" autoFill="0" autoLine="0" autoPict="0">
                <anchor moveWithCells="1" sizeWithCells="1">
                  <from>
                    <xdr:col>11</xdr:col>
                    <xdr:colOff>57150</xdr:colOff>
                    <xdr:row>24</xdr:row>
                    <xdr:rowOff>0</xdr:rowOff>
                  </from>
                  <to>
                    <xdr:col>11</xdr:col>
                    <xdr:colOff>323850</xdr:colOff>
                    <xdr:row>25</xdr:row>
                    <xdr:rowOff>28575</xdr:rowOff>
                  </to>
                </anchor>
              </controlPr>
            </control>
          </mc:Choice>
        </mc:AlternateContent>
        <mc:AlternateContent xmlns:mc="http://schemas.openxmlformats.org/markup-compatibility/2006">
          <mc:Choice Requires="x14">
            <control shapeId="2109" r:id="rId62" name="Check Box 61">
              <controlPr defaultSize="0" autoFill="0" autoLine="0" autoPict="0">
                <anchor moveWithCells="1" sizeWithCells="1">
                  <from>
                    <xdr:col>15</xdr:col>
                    <xdr:colOff>57150</xdr:colOff>
                    <xdr:row>24</xdr:row>
                    <xdr:rowOff>0</xdr:rowOff>
                  </from>
                  <to>
                    <xdr:col>15</xdr:col>
                    <xdr:colOff>323850</xdr:colOff>
                    <xdr:row>25</xdr:row>
                    <xdr:rowOff>28575</xdr:rowOff>
                  </to>
                </anchor>
              </controlPr>
            </control>
          </mc:Choice>
        </mc:AlternateContent>
        <mc:AlternateContent xmlns:mc="http://schemas.openxmlformats.org/markup-compatibility/2006">
          <mc:Choice Requires="x14">
            <control shapeId="2110" r:id="rId63" name="Check Box 62">
              <controlPr defaultSize="0" autoFill="0" autoLine="0" autoPict="0">
                <anchor moveWithCells="1" sizeWithCells="1">
                  <from>
                    <xdr:col>0</xdr:col>
                    <xdr:colOff>57150</xdr:colOff>
                    <xdr:row>41</xdr:row>
                    <xdr:rowOff>0</xdr:rowOff>
                  </from>
                  <to>
                    <xdr:col>0</xdr:col>
                    <xdr:colOff>323850</xdr:colOff>
                    <xdr:row>42</xdr:row>
                    <xdr:rowOff>28575</xdr:rowOff>
                  </to>
                </anchor>
              </controlPr>
            </control>
          </mc:Choice>
        </mc:AlternateContent>
        <mc:AlternateContent xmlns:mc="http://schemas.openxmlformats.org/markup-compatibility/2006">
          <mc:Choice Requires="x14">
            <control shapeId="2111" r:id="rId64" name="Check Box 63">
              <controlPr defaultSize="0" autoFill="0" autoLine="0" autoPict="0">
                <anchor moveWithCells="1" sizeWithCells="1">
                  <from>
                    <xdr:col>0</xdr:col>
                    <xdr:colOff>57150</xdr:colOff>
                    <xdr:row>42</xdr:row>
                    <xdr:rowOff>0</xdr:rowOff>
                  </from>
                  <to>
                    <xdr:col>0</xdr:col>
                    <xdr:colOff>323850</xdr:colOff>
                    <xdr:row>43</xdr:row>
                    <xdr:rowOff>28575</xdr:rowOff>
                  </to>
                </anchor>
              </controlPr>
            </control>
          </mc:Choice>
        </mc:AlternateContent>
        <mc:AlternateContent xmlns:mc="http://schemas.openxmlformats.org/markup-compatibility/2006">
          <mc:Choice Requires="x14">
            <control shapeId="2112" r:id="rId65" name="Check Box 64">
              <controlPr defaultSize="0" autoFill="0" autoLine="0" autoPict="0">
                <anchor moveWithCells="1" sizeWithCells="1">
                  <from>
                    <xdr:col>7</xdr:col>
                    <xdr:colOff>133350</xdr:colOff>
                    <xdr:row>43</xdr:row>
                    <xdr:rowOff>171450</xdr:rowOff>
                  </from>
                  <to>
                    <xdr:col>8</xdr:col>
                    <xdr:colOff>47625</xdr:colOff>
                    <xdr:row>45</xdr:row>
                    <xdr:rowOff>9525</xdr:rowOff>
                  </to>
                </anchor>
              </controlPr>
            </control>
          </mc:Choice>
        </mc:AlternateContent>
        <mc:AlternateContent xmlns:mc="http://schemas.openxmlformats.org/markup-compatibility/2006">
          <mc:Choice Requires="x14">
            <control shapeId="2113" r:id="rId66" name="Check Box 65">
              <controlPr defaultSize="0" autoFill="0" autoLine="0" autoPict="0">
                <anchor moveWithCells="1" sizeWithCells="1">
                  <from>
                    <xdr:col>1</xdr:col>
                    <xdr:colOff>57150</xdr:colOff>
                    <xdr:row>13</xdr:row>
                    <xdr:rowOff>0</xdr:rowOff>
                  </from>
                  <to>
                    <xdr:col>1</xdr:col>
                    <xdr:colOff>323850</xdr:colOff>
                    <xdr:row>14</xdr:row>
                    <xdr:rowOff>28575</xdr:rowOff>
                  </to>
                </anchor>
              </controlPr>
            </control>
          </mc:Choice>
        </mc:AlternateContent>
        <mc:AlternateContent xmlns:mc="http://schemas.openxmlformats.org/markup-compatibility/2006">
          <mc:Choice Requires="x14">
            <control shapeId="2114" r:id="rId67" name="Check Box 66">
              <controlPr defaultSize="0" autoFill="0" autoLine="0" autoPict="0">
                <anchor moveWithCells="1" sizeWithCells="1">
                  <from>
                    <xdr:col>1</xdr:col>
                    <xdr:colOff>57150</xdr:colOff>
                    <xdr:row>15</xdr:row>
                    <xdr:rowOff>0</xdr:rowOff>
                  </from>
                  <to>
                    <xdr:col>1</xdr:col>
                    <xdr:colOff>323850</xdr:colOff>
                    <xdr:row>16</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77B75-D003-4380-957A-01B30164B083}">
  <sheetPr codeName="Sheet16">
    <tabColor theme="9" tint="0.59999389629810485"/>
  </sheetPr>
  <dimension ref="A1:AC113"/>
  <sheetViews>
    <sheetView showZeros="0" topLeftCell="A52" zoomScaleNormal="100" workbookViewId="0">
      <selection activeCell="T79" sqref="T79"/>
    </sheetView>
  </sheetViews>
  <sheetFormatPr defaultRowHeight="18.75" x14ac:dyDescent="0.4"/>
  <cols>
    <col min="1" max="4" width="3.625" customWidth="1"/>
    <col min="5" max="5" width="5.25" customWidth="1"/>
    <col min="6" max="6" width="3.125" customWidth="1"/>
    <col min="7" max="7" width="3.25" customWidth="1"/>
    <col min="8" max="9" width="3.625" customWidth="1"/>
    <col min="10" max="10" width="2.75" customWidth="1"/>
    <col min="11" max="11" width="3.625" customWidth="1"/>
    <col min="12" max="12" width="3" customWidth="1"/>
    <col min="13" max="14" width="3.625" customWidth="1"/>
    <col min="15" max="15" width="4.25" customWidth="1"/>
    <col min="16" max="27" width="3.625" customWidth="1"/>
  </cols>
  <sheetData>
    <row r="1" spans="1:23" ht="55.5" customHeight="1" x14ac:dyDescent="0.4"/>
    <row r="2" spans="1:23" ht="18.75" customHeight="1" x14ac:dyDescent="0.4">
      <c r="A2" s="1378" t="s">
        <v>54</v>
      </c>
      <c r="B2" s="1378"/>
      <c r="C2" s="1378"/>
      <c r="D2" s="1378"/>
      <c r="E2" s="1378"/>
      <c r="F2" s="1378"/>
      <c r="G2" s="1378"/>
      <c r="H2" s="1378"/>
      <c r="I2" s="1378"/>
      <c r="J2" s="1378"/>
      <c r="K2" s="1378"/>
      <c r="L2" s="1378"/>
      <c r="M2" s="1378"/>
      <c r="N2" s="1378"/>
      <c r="O2" s="1378"/>
      <c r="P2" s="1378"/>
      <c r="Q2" s="1378"/>
      <c r="R2" s="1378"/>
      <c r="S2" s="1378"/>
      <c r="T2" s="1378"/>
      <c r="U2" s="1378"/>
      <c r="V2" s="1378"/>
      <c r="W2" s="1378"/>
    </row>
    <row r="3" spans="1:23" x14ac:dyDescent="0.4">
      <c r="A3" s="1378"/>
      <c r="B3" s="1378"/>
      <c r="C3" s="1378"/>
      <c r="D3" s="1378"/>
      <c r="E3" s="1378"/>
      <c r="F3" s="1378"/>
      <c r="G3" s="1378"/>
      <c r="H3" s="1378"/>
      <c r="I3" s="1378"/>
      <c r="J3" s="1378"/>
      <c r="K3" s="1378"/>
      <c r="L3" s="1378"/>
      <c r="M3" s="1378"/>
      <c r="N3" s="1378"/>
      <c r="O3" s="1378"/>
      <c r="P3" s="1378"/>
      <c r="Q3" s="1378"/>
      <c r="R3" s="1378"/>
      <c r="S3" s="1378"/>
      <c r="T3" s="1378"/>
      <c r="U3" s="1378"/>
      <c r="V3" s="1378"/>
      <c r="W3" s="1378"/>
    </row>
    <row r="5" spans="1:23" ht="48" customHeight="1" x14ac:dyDescent="0.4"/>
    <row r="6" spans="1:23" x14ac:dyDescent="0.4">
      <c r="B6" s="10"/>
      <c r="C6" s="10"/>
      <c r="D6" s="10"/>
      <c r="E6" s="10"/>
      <c r="F6" s="10"/>
      <c r="G6" s="10"/>
      <c r="H6" s="10"/>
      <c r="I6" s="10"/>
      <c r="J6" s="10"/>
      <c r="K6" s="10"/>
      <c r="L6" s="10"/>
      <c r="M6" s="10"/>
      <c r="N6" s="9" t="s">
        <v>55</v>
      </c>
      <c r="O6" s="10"/>
      <c r="P6" s="10"/>
      <c r="Q6" s="10"/>
      <c r="R6" s="10"/>
      <c r="S6" s="10"/>
      <c r="T6" s="10"/>
      <c r="U6" s="10"/>
      <c r="V6" s="10"/>
    </row>
    <row r="7" spans="1:23" x14ac:dyDescent="0.4">
      <c r="B7" s="10"/>
      <c r="C7" s="10"/>
      <c r="D7" s="10"/>
      <c r="E7" s="10"/>
      <c r="F7" s="10"/>
      <c r="G7" s="10"/>
      <c r="H7" s="10"/>
      <c r="I7" s="10"/>
      <c r="J7" s="10"/>
      <c r="K7" s="10"/>
      <c r="L7" s="10"/>
      <c r="M7" s="10"/>
      <c r="N7" s="10" t="s">
        <v>56</v>
      </c>
      <c r="O7" s="10"/>
      <c r="P7" s="10"/>
      <c r="Q7" s="10"/>
      <c r="R7" s="10"/>
      <c r="S7" s="10"/>
      <c r="T7" s="10"/>
      <c r="U7" s="10"/>
      <c r="V7" s="10"/>
    </row>
    <row r="8" spans="1:23" x14ac:dyDescent="0.4">
      <c r="B8" s="10"/>
      <c r="C8" s="10"/>
      <c r="D8" s="10"/>
      <c r="E8" s="10"/>
      <c r="F8" s="10"/>
      <c r="G8" s="10"/>
      <c r="H8" s="10"/>
      <c r="I8" s="10"/>
      <c r="J8" s="10"/>
      <c r="K8" s="10"/>
      <c r="L8" s="10"/>
      <c r="M8" s="10"/>
      <c r="N8" s="10"/>
      <c r="O8" s="10" t="s">
        <v>57</v>
      </c>
      <c r="P8" s="10"/>
      <c r="Q8" s="10"/>
      <c r="R8" s="10"/>
      <c r="S8" s="10"/>
      <c r="T8" s="10"/>
      <c r="U8" s="10"/>
      <c r="V8" s="10"/>
    </row>
    <row r="9" spans="1:23" x14ac:dyDescent="0.4">
      <c r="B9" s="10"/>
      <c r="C9" s="10"/>
      <c r="D9" s="10"/>
      <c r="E9" s="10"/>
      <c r="F9" s="10"/>
      <c r="G9" s="10"/>
      <c r="H9" s="10"/>
      <c r="I9" s="10"/>
      <c r="J9" s="10"/>
      <c r="K9" s="10"/>
      <c r="L9" s="10"/>
      <c r="M9" s="10"/>
      <c r="N9" s="10"/>
      <c r="O9" s="10" t="s">
        <v>58</v>
      </c>
      <c r="P9" s="10"/>
      <c r="Q9" s="10"/>
      <c r="R9" s="10"/>
      <c r="S9" s="10"/>
      <c r="T9" s="10"/>
      <c r="U9" s="10"/>
      <c r="V9" s="10"/>
    </row>
    <row r="10" spans="1:23" x14ac:dyDescent="0.4">
      <c r="B10" s="10"/>
      <c r="C10" s="10"/>
      <c r="D10" s="10"/>
      <c r="E10" s="10"/>
      <c r="F10" s="10"/>
      <c r="G10" s="10"/>
      <c r="H10" s="10"/>
      <c r="I10" s="10"/>
      <c r="J10" s="10"/>
      <c r="K10" s="10"/>
      <c r="L10" s="10"/>
      <c r="M10" s="10"/>
      <c r="N10" s="10"/>
      <c r="O10" s="10" t="s">
        <v>53</v>
      </c>
      <c r="P10" s="10"/>
      <c r="Q10" s="10"/>
      <c r="R10" s="10"/>
      <c r="S10" s="10"/>
      <c r="T10" s="10"/>
      <c r="U10" s="10"/>
      <c r="V10" s="10"/>
    </row>
    <row r="11" spans="1:23" x14ac:dyDescent="0.4">
      <c r="B11" s="10"/>
      <c r="C11" s="10"/>
      <c r="D11" s="10"/>
      <c r="E11" s="10"/>
      <c r="F11" s="10"/>
      <c r="G11" s="10"/>
      <c r="H11" s="10"/>
      <c r="I11" s="10"/>
      <c r="J11" s="10"/>
      <c r="K11" s="10"/>
      <c r="L11" s="10"/>
      <c r="M11" s="10"/>
      <c r="N11" s="10"/>
      <c r="O11" s="10" t="s">
        <v>59</v>
      </c>
      <c r="P11" s="10"/>
      <c r="Q11" s="10"/>
      <c r="R11" s="10"/>
      <c r="S11" s="10"/>
      <c r="T11" s="10"/>
      <c r="U11" s="10"/>
      <c r="V11" s="10"/>
    </row>
    <row r="12" spans="1:23" x14ac:dyDescent="0.4">
      <c r="A12" s="1379" t="s">
        <v>60</v>
      </c>
      <c r="B12" s="1379"/>
      <c r="C12" s="1379"/>
      <c r="D12" s="1379"/>
      <c r="E12" s="1379"/>
      <c r="F12" s="1379"/>
      <c r="G12" s="1379"/>
      <c r="H12" s="1379"/>
      <c r="I12" s="1379"/>
      <c r="J12" s="1379"/>
      <c r="K12" s="1379"/>
      <c r="L12" s="1379"/>
      <c r="M12" s="1379"/>
      <c r="N12" s="1379"/>
      <c r="O12" s="10"/>
      <c r="P12" s="10"/>
      <c r="Q12" s="10"/>
      <c r="R12" s="10"/>
      <c r="S12" s="10"/>
      <c r="T12" s="10"/>
      <c r="U12" s="10"/>
      <c r="V12" s="10"/>
    </row>
    <row r="13" spans="1:23" x14ac:dyDescent="0.4">
      <c r="A13" s="1379" t="str">
        <f>A35</f>
        <v>永井病院　医療相談室</v>
      </c>
      <c r="B13" s="1379"/>
      <c r="C13" s="1379"/>
      <c r="D13" s="1379"/>
      <c r="E13" s="1379"/>
      <c r="F13" s="1379"/>
      <c r="G13" s="1379"/>
      <c r="H13" s="1379"/>
      <c r="I13" s="1379"/>
      <c r="J13" s="1379"/>
      <c r="K13" s="1379"/>
      <c r="L13" s="1379"/>
      <c r="M13" s="1379"/>
      <c r="N13" s="1379"/>
      <c r="O13" s="10"/>
      <c r="P13" s="10"/>
      <c r="Q13" s="10"/>
      <c r="R13" s="10"/>
      <c r="S13" s="10"/>
      <c r="T13" s="10"/>
      <c r="U13" s="10"/>
      <c r="V13" s="10"/>
    </row>
    <row r="14" spans="1:23" x14ac:dyDescent="0.4">
      <c r="A14" s="1380" t="s">
        <v>84</v>
      </c>
      <c r="B14" s="1380"/>
      <c r="C14" s="1380"/>
      <c r="D14" s="1380"/>
      <c r="E14" s="1380"/>
      <c r="F14" s="1380"/>
      <c r="G14" s="1380"/>
      <c r="H14" s="1380"/>
      <c r="I14" s="1380"/>
      <c r="J14" s="1380"/>
      <c r="K14" s="1380"/>
      <c r="L14" s="1380"/>
      <c r="M14" s="1380"/>
      <c r="N14" s="1380"/>
      <c r="O14" s="10"/>
      <c r="P14" s="10"/>
      <c r="Q14" s="10"/>
      <c r="R14" s="10"/>
      <c r="S14" s="10"/>
      <c r="T14" s="10"/>
      <c r="U14" s="10"/>
      <c r="V14" s="10"/>
    </row>
    <row r="15" spans="1:23" x14ac:dyDescent="0.15">
      <c r="B15" s="10"/>
      <c r="C15" s="11"/>
      <c r="D15" s="1381" t="s">
        <v>85</v>
      </c>
      <c r="E15" s="1381"/>
      <c r="F15" s="1382" t="str">
        <f>_xlfn.IFS(A35="津生協病院　地域連携室","059-225-2867",A35="永井病院　医療相談室","059-228-5181",A35="遠山病院　患者サポートセンター","059-224-7029",A35="武内病院　地域連携室","059-226-1111",A35="榊原温泉病院　医療相談室","059-252-1111",A35="榊原病院　地域医療連携室","059-252-0211",A35="三重大学医学部附属病院病院　総合サポートセンター","059-231-5105",A35="三重中央医療センター　地域連携室","059-259-1211",A35="三重病院","059-232-2531",A35="七栗記念病院　地域支援室","059-252-1555",A35="若葉病院　医療相談室","059-227-0207",A35="大門病院　地域連携室","059-226-5525",A35="こころの医療センター　地域支援室","059-235-2125",A35="久居病院　地域連携福祉室","059-255-2986",A35="鈴鹿回生病院　医療相談室","059-375-1212")</f>
        <v>059-228-5181</v>
      </c>
      <c r="G15" s="1382"/>
      <c r="H15" s="1382"/>
      <c r="I15" s="1382"/>
      <c r="J15" s="10"/>
      <c r="K15" s="10"/>
      <c r="L15" s="10"/>
      <c r="M15" s="10"/>
      <c r="N15" s="10"/>
      <c r="O15" s="10"/>
      <c r="P15" s="10"/>
      <c r="Q15" s="10"/>
      <c r="R15" s="10"/>
      <c r="S15" s="10"/>
      <c r="T15" s="10"/>
      <c r="U15" s="10"/>
      <c r="V15" s="10"/>
    </row>
    <row r="16" spans="1:23" ht="18.75" customHeight="1" x14ac:dyDescent="0.4">
      <c r="B16" s="10"/>
      <c r="C16" s="10"/>
      <c r="D16" s="1375" t="s">
        <v>87</v>
      </c>
      <c r="E16" s="1375"/>
      <c r="F16" s="1384" t="str">
        <f>_xlfn.IFS(A35="津生協病院　地域連携室","059-225-6166",A35="永井病院　医療相談室","059-223-3222",A35="遠山病院　患者サポートセンター","059-224-7020",A35="武内病院　地域連携室","059-223-0272",A35="榊原温泉病院　医療相談室","059-252-0522",A35="榊原病院　地域医療連携室","059-252-0411",A35="三重大学医学部附属病院病院　総合サポートセンター","059-231-5541",A35="三重中央医療センター　地域連携室","059-259-0771",A35="三重病院","059-232-2581",A35="七栗記念病院　地域支援室","059-252-1383",A35="若葉病院　医療相談室","059-228-3347",A35="大門病院　地域連携室","059-227-1233",A35="こころの医療センター　地域支援室","059-235-2135",A35="久居病院　地域連携福祉室","059-256-7444",A35="鈴鹿回生病院　医療相談室","059-375-1335")</f>
        <v>059-223-3222</v>
      </c>
      <c r="G16" s="1384"/>
      <c r="H16" s="1384"/>
      <c r="I16" s="1384"/>
      <c r="J16" s="10"/>
      <c r="K16" s="10"/>
      <c r="L16" s="10"/>
      <c r="M16" s="10"/>
      <c r="N16" s="10"/>
      <c r="O16" s="10"/>
      <c r="P16" s="10"/>
      <c r="Q16" s="10"/>
      <c r="R16" s="10"/>
      <c r="S16" s="10"/>
      <c r="T16" s="10"/>
      <c r="U16" s="10"/>
      <c r="V16" s="10"/>
    </row>
    <row r="17" spans="2:23" ht="18.75" customHeight="1" x14ac:dyDescent="0.4">
      <c r="B17" s="10"/>
      <c r="C17" s="10"/>
      <c r="D17" s="10"/>
      <c r="E17" s="10"/>
      <c r="F17" s="10"/>
      <c r="G17" s="10"/>
      <c r="H17" s="10"/>
      <c r="I17" s="10"/>
      <c r="J17" s="10"/>
      <c r="K17" s="10"/>
      <c r="L17" s="10"/>
      <c r="M17" s="12"/>
      <c r="N17" s="12"/>
      <c r="O17" s="1385">
        <f ca="1">TODAY()</f>
        <v>46096</v>
      </c>
      <c r="P17" s="1385"/>
      <c r="Q17" s="1385"/>
      <c r="R17" s="1385"/>
      <c r="S17" s="1385"/>
      <c r="T17" s="1385"/>
      <c r="U17" s="12"/>
      <c r="V17" s="12"/>
    </row>
    <row r="18" spans="2:23" x14ac:dyDescent="0.15">
      <c r="B18" s="10"/>
      <c r="C18" s="10"/>
      <c r="D18" s="10"/>
      <c r="E18" s="10"/>
      <c r="F18" s="10"/>
      <c r="G18" s="10"/>
      <c r="H18" s="10"/>
      <c r="I18" s="10"/>
      <c r="J18" s="10"/>
      <c r="K18" s="10"/>
      <c r="L18" s="10"/>
      <c r="M18" s="10"/>
      <c r="N18" s="10"/>
      <c r="O18" s="1383" t="s">
        <v>61</v>
      </c>
      <c r="P18" s="1383"/>
      <c r="Q18" s="1383"/>
      <c r="R18" s="1383"/>
      <c r="S18" s="1383"/>
      <c r="T18" s="1383"/>
      <c r="U18" s="10"/>
      <c r="V18" s="10"/>
    </row>
    <row r="19" spans="2:23" x14ac:dyDescent="0.4">
      <c r="B19" s="10"/>
      <c r="C19" s="10"/>
      <c r="D19" s="10"/>
      <c r="E19" s="10"/>
      <c r="F19" s="10"/>
      <c r="G19" s="10"/>
      <c r="H19" s="10"/>
      <c r="I19" s="10"/>
      <c r="J19" s="10"/>
      <c r="K19" s="10"/>
      <c r="L19" s="10"/>
      <c r="M19" s="1379" t="s">
        <v>62</v>
      </c>
      <c r="N19" s="1379"/>
      <c r="O19" s="1379"/>
      <c r="P19" s="1379"/>
      <c r="Q19" s="1379"/>
      <c r="R19" s="1379"/>
      <c r="S19" s="1379"/>
      <c r="T19" s="1379"/>
      <c r="U19" s="1379"/>
      <c r="V19" s="1379"/>
    </row>
    <row r="20" spans="2:23" x14ac:dyDescent="0.4">
      <c r="B20" s="10"/>
      <c r="C20" s="10"/>
      <c r="D20" s="10"/>
      <c r="E20" s="10"/>
      <c r="F20" s="10"/>
      <c r="G20" s="10"/>
      <c r="H20" s="10"/>
      <c r="I20" s="10"/>
      <c r="J20" s="10"/>
      <c r="K20" s="10"/>
      <c r="L20" s="10"/>
      <c r="M20" s="12"/>
      <c r="N20" s="12"/>
      <c r="O20" s="12"/>
      <c r="P20" s="1380">
        <f>'[2]（最新）アセスメントシート'!AG3</f>
        <v>0</v>
      </c>
      <c r="Q20" s="1380"/>
      <c r="R20" s="1380"/>
      <c r="S20" s="1380"/>
      <c r="T20" s="12"/>
      <c r="U20" s="12"/>
      <c r="V20" s="12"/>
    </row>
    <row r="21" spans="2:23" x14ac:dyDescent="0.15">
      <c r="B21" s="10"/>
      <c r="C21" s="10"/>
      <c r="D21" s="10"/>
      <c r="E21" s="10"/>
      <c r="F21" s="10"/>
      <c r="G21" s="10"/>
      <c r="H21" s="10"/>
      <c r="I21" s="10"/>
      <c r="J21" s="10"/>
      <c r="K21" s="10"/>
      <c r="L21" s="10"/>
      <c r="M21" s="10"/>
      <c r="N21" s="10"/>
      <c r="O21" s="1383" t="s">
        <v>63</v>
      </c>
      <c r="P21" s="1383"/>
      <c r="Q21" s="1383"/>
      <c r="R21" s="1383"/>
      <c r="S21" s="1383"/>
      <c r="T21" s="1383"/>
      <c r="U21" s="10"/>
      <c r="V21" s="10"/>
    </row>
    <row r="22" spans="2:23" x14ac:dyDescent="0.4">
      <c r="B22" s="10"/>
      <c r="C22" s="10"/>
      <c r="D22" s="10"/>
      <c r="E22" s="10"/>
      <c r="F22" s="10"/>
      <c r="G22" s="10"/>
      <c r="H22" s="10"/>
      <c r="I22" s="10"/>
      <c r="J22" s="10"/>
      <c r="K22" s="10"/>
      <c r="L22" s="10"/>
      <c r="M22" s="12"/>
      <c r="N22" s="12"/>
      <c r="O22" s="12"/>
      <c r="P22" s="1380" t="s">
        <v>64</v>
      </c>
      <c r="Q22" s="1380"/>
      <c r="R22" s="1380"/>
      <c r="S22" s="1380"/>
      <c r="T22" s="12"/>
      <c r="U22" s="12"/>
      <c r="V22" s="12"/>
    </row>
    <row r="23" spans="2:23" x14ac:dyDescent="0.4">
      <c r="B23" s="10"/>
      <c r="C23" s="10"/>
      <c r="D23" s="10"/>
      <c r="E23" s="10"/>
      <c r="F23" s="10"/>
      <c r="G23" s="10"/>
      <c r="H23" s="10"/>
      <c r="I23" s="10"/>
      <c r="J23" s="10"/>
      <c r="K23" s="10"/>
      <c r="L23" s="10"/>
      <c r="M23" s="10"/>
      <c r="N23" s="10"/>
      <c r="O23" s="10"/>
      <c r="P23" s="10"/>
      <c r="Q23" s="10"/>
      <c r="R23" s="1384" t="s">
        <v>65</v>
      </c>
      <c r="S23" s="1384"/>
      <c r="T23" s="1384"/>
      <c r="U23" s="1384"/>
      <c r="V23" s="10"/>
    </row>
    <row r="24" spans="2:23" ht="45" customHeight="1" x14ac:dyDescent="0.4">
      <c r="B24" s="10"/>
      <c r="C24" s="10"/>
      <c r="D24" s="10"/>
      <c r="E24" s="10"/>
      <c r="F24" s="10"/>
      <c r="G24" s="10"/>
      <c r="H24" s="10"/>
      <c r="I24" s="10"/>
      <c r="J24" s="10"/>
      <c r="K24" s="10"/>
      <c r="L24" s="10"/>
      <c r="M24" s="10"/>
      <c r="N24" s="10"/>
      <c r="O24" s="10"/>
      <c r="P24" s="10"/>
      <c r="Q24" s="10"/>
      <c r="R24" s="10"/>
      <c r="S24" s="10"/>
      <c r="T24" s="10"/>
      <c r="U24" s="10"/>
      <c r="V24" s="10"/>
    </row>
    <row r="25" spans="2:23" x14ac:dyDescent="0.4">
      <c r="B25" s="10" t="s">
        <v>66</v>
      </c>
      <c r="C25" s="10"/>
      <c r="D25" s="10"/>
      <c r="E25" s="10"/>
      <c r="F25" s="10"/>
      <c r="G25" s="10"/>
      <c r="H25" s="10"/>
      <c r="I25" s="10"/>
      <c r="J25" s="10"/>
      <c r="K25" s="10"/>
      <c r="L25" s="10"/>
      <c r="M25" s="10"/>
      <c r="N25" s="10"/>
      <c r="O25" s="10"/>
      <c r="P25" s="10"/>
      <c r="Q25" s="10"/>
      <c r="R25" s="10"/>
      <c r="S25" s="10"/>
      <c r="T25" s="10"/>
      <c r="U25" s="10"/>
      <c r="V25" s="10"/>
    </row>
    <row r="26" spans="2:23" x14ac:dyDescent="0.4">
      <c r="B26" s="9" t="s">
        <v>67</v>
      </c>
      <c r="C26" s="9"/>
      <c r="D26" s="9"/>
      <c r="E26" s="9"/>
      <c r="F26" s="9"/>
      <c r="G26" s="9"/>
      <c r="H26" s="9"/>
      <c r="I26" s="9"/>
      <c r="J26" s="1379">
        <f>D40</f>
        <v>0</v>
      </c>
      <c r="K26" s="1379"/>
      <c r="L26" s="1379"/>
      <c r="M26" s="1379"/>
      <c r="N26" s="9" t="s">
        <v>68</v>
      </c>
      <c r="O26" s="9"/>
      <c r="P26" s="9"/>
      <c r="Q26" s="9"/>
      <c r="R26" s="9"/>
      <c r="S26" s="9"/>
      <c r="T26" s="9"/>
      <c r="U26" s="9"/>
      <c r="V26" s="9"/>
      <c r="W26" s="10"/>
    </row>
    <row r="27" spans="2:23" x14ac:dyDescent="0.4">
      <c r="B27" s="1384" t="s">
        <v>1057</v>
      </c>
      <c r="C27" s="1384"/>
      <c r="D27" s="1384"/>
      <c r="E27" s="1384"/>
      <c r="F27" s="1384"/>
      <c r="G27" s="1384"/>
      <c r="H27" s="1384"/>
      <c r="I27" s="1384"/>
      <c r="J27" s="1384"/>
      <c r="K27" s="1384"/>
      <c r="L27" s="1384"/>
      <c r="M27" s="1384"/>
      <c r="N27" s="1384"/>
      <c r="O27" s="1384"/>
      <c r="P27" s="1384"/>
      <c r="Q27" s="1384"/>
      <c r="R27" s="1384"/>
      <c r="S27" s="1384"/>
      <c r="T27" s="1384"/>
      <c r="U27" s="1384"/>
      <c r="V27" s="1384"/>
      <c r="W27" s="10"/>
    </row>
    <row r="28" spans="2:23" x14ac:dyDescent="0.4">
      <c r="B28" s="10"/>
      <c r="C28" s="10"/>
      <c r="D28" s="10"/>
      <c r="E28" s="10"/>
      <c r="F28" s="10"/>
      <c r="G28" s="10"/>
      <c r="H28" s="10"/>
      <c r="I28" s="10"/>
      <c r="J28" s="10"/>
      <c r="K28" s="10"/>
      <c r="L28" s="10"/>
      <c r="M28" s="10"/>
      <c r="N28" s="10"/>
      <c r="O28" s="10"/>
      <c r="P28" s="10"/>
      <c r="Q28" s="10"/>
      <c r="R28" s="10"/>
      <c r="S28" s="10"/>
      <c r="T28" s="10"/>
      <c r="U28" s="1375" t="s">
        <v>69</v>
      </c>
      <c r="V28" s="1375"/>
    </row>
    <row r="29" spans="2:23" ht="42.75" customHeight="1" x14ac:dyDescent="0.4">
      <c r="B29" s="10"/>
      <c r="C29" s="10"/>
      <c r="D29" s="10"/>
      <c r="E29" s="10"/>
      <c r="F29" s="10"/>
      <c r="G29" s="10"/>
      <c r="H29" s="10"/>
      <c r="I29" s="10"/>
      <c r="J29" s="10"/>
      <c r="K29" s="10"/>
      <c r="L29" s="10"/>
      <c r="M29" s="10"/>
      <c r="N29" s="10"/>
      <c r="O29" s="10"/>
      <c r="P29" s="10"/>
      <c r="Q29" s="10"/>
      <c r="R29" s="10"/>
      <c r="S29" s="10"/>
      <c r="T29" s="10"/>
      <c r="U29" s="10"/>
      <c r="V29" s="10"/>
    </row>
    <row r="34" spans="1:29" ht="41.25" customHeight="1" x14ac:dyDescent="0.4">
      <c r="A34" s="1" t="s">
        <v>41</v>
      </c>
      <c r="B34" s="1"/>
      <c r="C34" s="1"/>
      <c r="D34" s="1"/>
      <c r="E34" s="1"/>
      <c r="F34" s="1"/>
      <c r="G34" s="1"/>
      <c r="H34" s="1"/>
      <c r="I34" s="1"/>
      <c r="J34" s="1"/>
      <c r="K34" s="1"/>
      <c r="L34" s="1"/>
      <c r="M34" s="1"/>
      <c r="N34" s="1"/>
      <c r="O34" s="1"/>
      <c r="P34" s="1"/>
      <c r="Q34" s="1"/>
      <c r="R34" s="1406"/>
      <c r="S34" s="1406"/>
      <c r="T34" s="1406"/>
      <c r="U34" s="1406"/>
      <c r="V34" s="1406"/>
      <c r="W34" s="1406"/>
    </row>
    <row r="35" spans="1:29" ht="20.25" customHeight="1" x14ac:dyDescent="0.4">
      <c r="A35" s="1407" t="s">
        <v>1078</v>
      </c>
      <c r="B35" s="1407"/>
      <c r="C35" s="1407"/>
      <c r="D35" s="1407"/>
      <c r="E35" s="1407"/>
      <c r="F35" s="1407"/>
      <c r="G35" s="1407"/>
      <c r="H35" s="1407"/>
      <c r="I35" s="1407"/>
      <c r="J35" s="1407"/>
      <c r="K35" s="1407"/>
      <c r="L35" s="1407"/>
      <c r="M35" s="1407"/>
      <c r="N35" s="1407"/>
      <c r="O35" s="1407"/>
      <c r="P35" s="1"/>
      <c r="Q35" s="1405" t="s">
        <v>89</v>
      </c>
      <c r="R35" s="1403"/>
      <c r="S35" s="1408">
        <f ca="1">TODAY()</f>
        <v>46096</v>
      </c>
      <c r="T35" s="1408"/>
      <c r="U35" s="1408"/>
      <c r="V35" s="1408"/>
      <c r="W35" s="1409"/>
    </row>
    <row r="36" spans="1:29" ht="20.25" customHeight="1" x14ac:dyDescent="0.4">
      <c r="A36" s="1410" t="s">
        <v>88</v>
      </c>
      <c r="B36" s="1410"/>
      <c r="C36" s="1410"/>
      <c r="D36" s="1410"/>
      <c r="E36" s="1410"/>
      <c r="F36" s="1410"/>
      <c r="G36" s="1410"/>
      <c r="H36" s="1410"/>
      <c r="I36" s="1410"/>
      <c r="J36" s="1410"/>
      <c r="K36" s="1410"/>
      <c r="L36" s="1410"/>
      <c r="M36" s="1410"/>
      <c r="N36" s="1410"/>
      <c r="O36" s="14"/>
      <c r="P36" s="1"/>
      <c r="Q36" s="1405" t="s">
        <v>90</v>
      </c>
      <c r="R36" s="1403"/>
      <c r="S36" s="1408"/>
      <c r="T36" s="1408"/>
      <c r="U36" s="1408"/>
      <c r="V36" s="1408"/>
      <c r="W36" s="1409"/>
      <c r="AB36" s="6"/>
    </row>
    <row r="37" spans="1:29" ht="14.25" customHeight="1" x14ac:dyDescent="0.4">
      <c r="A37" s="1"/>
      <c r="B37" s="1"/>
      <c r="C37" s="1"/>
      <c r="D37" s="1" t="s">
        <v>0</v>
      </c>
      <c r="E37" s="1"/>
      <c r="F37" s="1"/>
      <c r="G37" s="1"/>
      <c r="H37" s="1"/>
      <c r="I37" s="1"/>
      <c r="J37" s="1"/>
      <c r="K37" s="1"/>
      <c r="L37" s="1"/>
      <c r="M37" s="1"/>
      <c r="N37" s="1"/>
      <c r="O37" s="1"/>
      <c r="P37" s="1"/>
      <c r="Q37" s="1"/>
      <c r="R37" s="1"/>
      <c r="S37" s="1"/>
      <c r="T37" s="1"/>
      <c r="U37" s="1"/>
      <c r="V37" s="1"/>
      <c r="W37" s="1"/>
    </row>
    <row r="38" spans="1:29" ht="19.5" thickBot="1" x14ac:dyDescent="0.45">
      <c r="A38" s="1377" t="s">
        <v>1</v>
      </c>
      <c r="B38" s="1377"/>
      <c r="C38" s="1377"/>
      <c r="D38" s="1"/>
      <c r="E38" s="1"/>
      <c r="F38" s="1"/>
      <c r="G38" s="1"/>
      <c r="H38" s="1"/>
      <c r="I38" s="1"/>
      <c r="J38" s="1"/>
      <c r="K38" s="1"/>
      <c r="L38" s="1"/>
      <c r="M38" s="1"/>
      <c r="N38" s="1"/>
      <c r="O38" s="1"/>
      <c r="P38" s="1"/>
      <c r="Q38" s="1"/>
      <c r="R38" s="1"/>
      <c r="S38" s="1"/>
      <c r="T38" s="1"/>
      <c r="U38" s="1"/>
      <c r="V38" s="1"/>
      <c r="W38" s="1"/>
    </row>
    <row r="39" spans="1:29" ht="11.25" customHeight="1" x14ac:dyDescent="0.4">
      <c r="A39" s="1386" t="s">
        <v>11</v>
      </c>
      <c r="B39" s="1387"/>
      <c r="C39" s="1388"/>
      <c r="D39" s="1389" t="str">
        <f>PHONETIC('（最新）アセスメントシート'!D4)</f>
        <v/>
      </c>
      <c r="E39" s="1390"/>
      <c r="F39" s="1390"/>
      <c r="G39" s="1390"/>
      <c r="H39" s="1390"/>
      <c r="I39" s="1391"/>
      <c r="J39" s="1392" t="s">
        <v>2</v>
      </c>
      <c r="K39" s="1393"/>
      <c r="L39" s="1392">
        <f>'（最新）アセスメントシート'!R5</f>
        <v>0</v>
      </c>
      <c r="M39" s="1393"/>
      <c r="N39" s="1392" t="s">
        <v>3</v>
      </c>
      <c r="O39" s="1393"/>
      <c r="P39" s="1396">
        <f>'（最新）アセスメントシート'!X5</f>
        <v>0</v>
      </c>
      <c r="Q39" s="1397"/>
      <c r="R39" s="1397"/>
      <c r="S39" s="1397"/>
      <c r="T39" s="1397"/>
      <c r="U39" s="1397"/>
      <c r="V39" s="1397"/>
      <c r="W39" s="1398"/>
    </row>
    <row r="40" spans="1:29" ht="24.75" customHeight="1" x14ac:dyDescent="0.4">
      <c r="A40" s="1402" t="s">
        <v>12</v>
      </c>
      <c r="B40" s="1403"/>
      <c r="C40" s="1404"/>
      <c r="D40" s="1405">
        <f>'（最新）アセスメントシート'!D5</f>
        <v>0</v>
      </c>
      <c r="E40" s="1403"/>
      <c r="F40" s="1403"/>
      <c r="G40" s="1403"/>
      <c r="H40" s="1403"/>
      <c r="I40" s="1404"/>
      <c r="J40" s="1394"/>
      <c r="K40" s="1395"/>
      <c r="L40" s="1394"/>
      <c r="M40" s="1395"/>
      <c r="N40" s="1394"/>
      <c r="O40" s="1395"/>
      <c r="P40" s="1399"/>
      <c r="Q40" s="1400"/>
      <c r="R40" s="1400"/>
      <c r="S40" s="1400"/>
      <c r="T40" s="1400"/>
      <c r="U40" s="1400"/>
      <c r="V40" s="1400"/>
      <c r="W40" s="1401"/>
    </row>
    <row r="41" spans="1:29" x14ac:dyDescent="0.4">
      <c r="A41" s="1402" t="s">
        <v>4</v>
      </c>
      <c r="B41" s="1403"/>
      <c r="C41" s="1404"/>
      <c r="D41" s="1405">
        <f>'（最新）アセスメントシート'!D7</f>
        <v>0</v>
      </c>
      <c r="E41" s="1403"/>
      <c r="F41" s="1403"/>
      <c r="G41" s="1403"/>
      <c r="H41" s="1403"/>
      <c r="I41" s="1403"/>
      <c r="J41" s="1403"/>
      <c r="K41" s="1403"/>
      <c r="L41" s="1403"/>
      <c r="M41" s="1404"/>
      <c r="N41" s="1405" t="s">
        <v>5</v>
      </c>
      <c r="O41" s="1404"/>
      <c r="P41" s="1405"/>
      <c r="Q41" s="1403"/>
      <c r="R41" s="1403"/>
      <c r="S41" s="1403"/>
      <c r="T41" s="1403"/>
      <c r="U41" s="1403"/>
      <c r="V41" s="1403"/>
      <c r="W41" s="1411"/>
      <c r="AC41" s="13"/>
    </row>
    <row r="42" spans="1:29" ht="8.25" customHeight="1" x14ac:dyDescent="0.4">
      <c r="A42" s="1412" t="s">
        <v>6</v>
      </c>
      <c r="B42" s="1413"/>
      <c r="C42" s="1414"/>
      <c r="D42" s="1417">
        <f>'（最新）アセスメントシート'!C16</f>
        <v>0</v>
      </c>
      <c r="E42" s="1413"/>
      <c r="F42" s="1413"/>
      <c r="G42" s="1413"/>
      <c r="H42" s="1413"/>
      <c r="I42" s="1413"/>
      <c r="J42" s="1413"/>
      <c r="K42" s="1413"/>
      <c r="L42" s="1413"/>
      <c r="M42" s="1414"/>
      <c r="N42" s="1417" t="s">
        <v>7</v>
      </c>
      <c r="O42" s="1414"/>
      <c r="P42" s="1417">
        <f>'（最新）アセスメントシート'!I16</f>
        <v>0</v>
      </c>
      <c r="Q42" s="1414"/>
      <c r="R42" s="1417" t="s">
        <v>8</v>
      </c>
      <c r="S42" s="1413"/>
      <c r="T42" s="1414"/>
      <c r="U42" s="1417">
        <f>'（最新）アセスメントシート'!AA16</f>
        <v>0</v>
      </c>
      <c r="V42" s="1413"/>
      <c r="W42" s="1418"/>
      <c r="AC42" t="s">
        <v>13</v>
      </c>
    </row>
    <row r="43" spans="1:29" ht="9" customHeight="1" x14ac:dyDescent="0.4">
      <c r="A43" s="1415"/>
      <c r="B43" s="1416"/>
      <c r="C43" s="1395"/>
      <c r="D43" s="1394"/>
      <c r="E43" s="1416"/>
      <c r="F43" s="1416"/>
      <c r="G43" s="1416"/>
      <c r="H43" s="1416"/>
      <c r="I43" s="1416"/>
      <c r="J43" s="1416"/>
      <c r="K43" s="1416"/>
      <c r="L43" s="1416"/>
      <c r="M43" s="1395"/>
      <c r="N43" s="1394"/>
      <c r="O43" s="1395"/>
      <c r="P43" s="1394"/>
      <c r="Q43" s="1395"/>
      <c r="R43" s="1394"/>
      <c r="S43" s="1416"/>
      <c r="T43" s="1395"/>
      <c r="U43" s="1394"/>
      <c r="V43" s="1416"/>
      <c r="W43" s="1419"/>
    </row>
    <row r="44" spans="1:29" x14ac:dyDescent="0.4">
      <c r="A44" s="1402" t="s">
        <v>14</v>
      </c>
      <c r="B44" s="1403"/>
      <c r="C44" s="1404"/>
      <c r="D44" s="1405">
        <f>'（最新）アセスメントシート'!L16</f>
        <v>0</v>
      </c>
      <c r="E44" s="1403"/>
      <c r="F44" s="1403"/>
      <c r="G44" s="1403"/>
      <c r="H44" s="1403"/>
      <c r="I44" s="1403"/>
      <c r="J44" s="1403"/>
      <c r="K44" s="1403"/>
      <c r="L44" s="1403"/>
      <c r="M44" s="1404"/>
      <c r="N44" s="1405" t="s">
        <v>5</v>
      </c>
      <c r="O44" s="1404"/>
      <c r="P44" s="1405">
        <f>'（最新）アセスメントシート'!S16</f>
        <v>0</v>
      </c>
      <c r="Q44" s="1403"/>
      <c r="R44" s="1403"/>
      <c r="S44" s="1403"/>
      <c r="T44" s="1403"/>
      <c r="U44" s="1403"/>
      <c r="V44" s="1403"/>
      <c r="W44" s="1411"/>
    </row>
    <row r="45" spans="1:29" ht="15" customHeight="1" x14ac:dyDescent="0.4">
      <c r="A45" s="1402" t="s">
        <v>9</v>
      </c>
      <c r="B45" s="1403"/>
      <c r="C45" s="1404"/>
      <c r="D45" s="1405">
        <f>'（最新）アセスメントシート'!F21</f>
        <v>0</v>
      </c>
      <c r="E45" s="1403"/>
      <c r="F45" s="1403"/>
      <c r="G45" s="1403"/>
      <c r="H45" s="1403"/>
      <c r="I45" s="1403"/>
      <c r="J45" s="1403"/>
      <c r="K45" s="1403">
        <f>'（最新）アセスメントシート'!I21</f>
        <v>0</v>
      </c>
      <c r="L45" s="1403"/>
      <c r="M45" s="1403"/>
      <c r="N45" s="1403"/>
      <c r="O45" s="1403"/>
      <c r="P45" s="1403"/>
      <c r="Q45" s="3"/>
      <c r="R45" s="3"/>
      <c r="S45" s="3"/>
      <c r="T45" s="3"/>
      <c r="U45" s="3"/>
      <c r="V45" s="3"/>
      <c r="W45" s="5"/>
    </row>
    <row r="46" spans="1:29" ht="69.75" customHeight="1" thickBot="1" x14ac:dyDescent="0.45">
      <c r="A46" s="1420" t="s">
        <v>10</v>
      </c>
      <c r="B46" s="1421"/>
      <c r="C46" s="1422"/>
      <c r="D46" s="1423"/>
      <c r="E46" s="1424"/>
      <c r="F46" s="1424"/>
      <c r="G46" s="1425"/>
      <c r="H46" s="1426" t="s">
        <v>42</v>
      </c>
      <c r="I46" s="1421"/>
      <c r="J46" s="1422"/>
      <c r="K46" s="1427"/>
      <c r="L46" s="1428"/>
      <c r="M46" s="1428"/>
      <c r="N46" s="1428"/>
      <c r="O46" s="1428"/>
      <c r="P46" s="1428"/>
      <c r="Q46" s="1428"/>
      <c r="R46" s="1428"/>
      <c r="S46" s="1428"/>
      <c r="T46" s="1428"/>
      <c r="U46" s="1428"/>
      <c r="V46" s="1428"/>
      <c r="W46" s="1429"/>
    </row>
    <row r="47" spans="1:29" ht="19.5" thickBot="1" x14ac:dyDescent="0.45">
      <c r="A47" s="1376" t="s">
        <v>15</v>
      </c>
      <c r="B47" s="1376"/>
      <c r="C47" s="1376"/>
      <c r="D47" s="1376"/>
      <c r="E47" s="1376"/>
      <c r="F47" s="1"/>
      <c r="G47" s="1"/>
      <c r="H47" s="1"/>
      <c r="I47" s="1"/>
      <c r="J47" s="1"/>
      <c r="K47" s="1"/>
      <c r="L47" s="1"/>
      <c r="M47" s="1"/>
      <c r="N47" s="1"/>
      <c r="O47" s="1"/>
      <c r="P47" s="1"/>
      <c r="Q47" s="1"/>
      <c r="R47" s="1"/>
      <c r="S47" s="1"/>
      <c r="T47" s="1"/>
      <c r="U47" s="1"/>
      <c r="V47" s="1"/>
      <c r="W47" s="1"/>
    </row>
    <row r="48" spans="1:29" ht="13.5" customHeight="1" x14ac:dyDescent="0.4">
      <c r="A48" s="1430" t="s">
        <v>16</v>
      </c>
      <c r="B48" s="1390"/>
      <c r="C48" s="1390"/>
      <c r="D48" s="1390"/>
      <c r="E48" s="1390"/>
      <c r="F48" s="1390"/>
      <c r="G48" s="1390"/>
      <c r="H48" s="1390"/>
      <c r="I48" s="1391"/>
      <c r="J48" s="1389" t="s">
        <v>44</v>
      </c>
      <c r="K48" s="1390"/>
      <c r="L48" s="1390"/>
      <c r="M48" s="1390"/>
      <c r="N48" s="1390"/>
      <c r="O48" s="1390"/>
      <c r="P48" s="1390"/>
      <c r="Q48" s="1390"/>
      <c r="R48" s="1390"/>
      <c r="S48" s="1391"/>
      <c r="T48" s="1389" t="s">
        <v>17</v>
      </c>
      <c r="U48" s="1390"/>
      <c r="V48" s="1390"/>
      <c r="W48" s="1431"/>
    </row>
    <row r="49" spans="1:23" ht="13.5" customHeight="1" x14ac:dyDescent="0.4">
      <c r="A49" s="1402">
        <f>'（最新）アセスメントシート'!J10</f>
        <v>0</v>
      </c>
      <c r="B49" s="1403"/>
      <c r="C49" s="1403"/>
      <c r="D49" s="1403"/>
      <c r="E49" s="1403"/>
      <c r="F49" s="1403"/>
      <c r="G49" s="1403"/>
      <c r="H49" s="1403"/>
      <c r="I49" s="1404"/>
      <c r="J49" s="1437">
        <f>'（最新）アセスメントシート'!V10</f>
        <v>0</v>
      </c>
      <c r="K49" s="1438"/>
      <c r="L49" s="1438"/>
      <c r="M49" s="1438"/>
      <c r="N49" s="1438"/>
      <c r="O49" s="8" t="s">
        <v>43</v>
      </c>
      <c r="P49" s="1439">
        <f>'（最新）アセスメントシート'!AC10</f>
        <v>0</v>
      </c>
      <c r="Q49" s="1439"/>
      <c r="R49" s="1439"/>
      <c r="S49" s="1440"/>
      <c r="T49" s="1405">
        <f>'（最新）アセスメントシート'!E10</f>
        <v>0</v>
      </c>
      <c r="U49" s="1403"/>
      <c r="V49" s="1403"/>
      <c r="W49" s="1411"/>
    </row>
    <row r="50" spans="1:23" ht="13.5" customHeight="1" x14ac:dyDescent="0.4">
      <c r="A50" s="1441" t="s">
        <v>39</v>
      </c>
      <c r="B50" s="1442"/>
      <c r="C50" s="1442"/>
      <c r="D50" s="1443"/>
      <c r="E50" s="1447" t="s">
        <v>1058</v>
      </c>
      <c r="F50" s="1448"/>
      <c r="G50" s="1448"/>
      <c r="H50" s="1448"/>
      <c r="I50" s="1448"/>
      <c r="J50" s="1448"/>
      <c r="K50" s="1448"/>
      <c r="L50" s="1448"/>
      <c r="M50" s="1448"/>
      <c r="N50" s="1448"/>
      <c r="O50" s="1448"/>
      <c r="P50" s="1448"/>
      <c r="Q50" s="1448"/>
      <c r="R50" s="1448"/>
      <c r="S50" s="1448"/>
      <c r="T50" s="1448"/>
      <c r="U50" s="1448"/>
      <c r="V50" s="1448"/>
      <c r="W50" s="1449"/>
    </row>
    <row r="51" spans="1:23" ht="13.5" customHeight="1" x14ac:dyDescent="0.4">
      <c r="A51" s="1444"/>
      <c r="B51" s="1445"/>
      <c r="C51" s="1445"/>
      <c r="D51" s="1446"/>
      <c r="E51" s="1450" t="s">
        <v>1059</v>
      </c>
      <c r="F51" s="1451"/>
      <c r="G51" s="1451"/>
      <c r="H51" s="1451"/>
      <c r="I51" s="1451"/>
      <c r="J51" s="1451"/>
      <c r="K51" s="1451"/>
      <c r="L51" s="1451"/>
      <c r="M51" s="1451"/>
      <c r="N51" s="1451"/>
      <c r="O51" s="1451"/>
      <c r="P51" s="1451"/>
      <c r="Q51" s="1451"/>
      <c r="R51" s="1451"/>
      <c r="S51" s="1451"/>
      <c r="T51" s="1451"/>
      <c r="U51" s="1451"/>
      <c r="V51" s="1451"/>
      <c r="W51" s="1452"/>
    </row>
    <row r="52" spans="1:23" ht="19.5" thickBot="1" x14ac:dyDescent="0.45">
      <c r="A52" s="1420" t="s">
        <v>18</v>
      </c>
      <c r="B52" s="1421"/>
      <c r="C52" s="1421"/>
      <c r="D52" s="1422"/>
      <c r="E52" s="173" t="s">
        <v>424</v>
      </c>
      <c r="F52" s="174">
        <f>'（最新）アセスメントシート'!R13</f>
        <v>0</v>
      </c>
      <c r="G52" s="1432" t="s">
        <v>425</v>
      </c>
      <c r="H52" s="1432"/>
      <c r="I52" s="1433"/>
      <c r="J52" s="1433"/>
      <c r="K52" s="1433"/>
      <c r="L52" s="1433"/>
      <c r="M52" s="1433"/>
      <c r="N52" s="174" t="s">
        <v>427</v>
      </c>
      <c r="O52" s="174"/>
      <c r="P52" s="174">
        <f>'（最新）アセスメントシート'!M13</f>
        <v>0</v>
      </c>
      <c r="Q52" s="1421">
        <f>'（最新）アセスメントシート'!O13</f>
        <v>0</v>
      </c>
      <c r="R52" s="1421"/>
      <c r="S52" s="1432" t="s">
        <v>479</v>
      </c>
      <c r="T52" s="1432"/>
      <c r="U52" s="1432"/>
      <c r="V52" s="152">
        <f>'（最新）アセスメントシート'!V13</f>
        <v>0</v>
      </c>
      <c r="W52" s="175" t="s">
        <v>426</v>
      </c>
    </row>
    <row r="53" spans="1:23" s="4" customFormat="1" thickBot="1" x14ac:dyDescent="0.45">
      <c r="A53" s="1376" t="s">
        <v>19</v>
      </c>
      <c r="B53" s="1376"/>
      <c r="C53" s="1376"/>
      <c r="D53" s="1376"/>
      <c r="E53" s="1376"/>
      <c r="F53" s="2"/>
      <c r="G53" s="2"/>
      <c r="H53" s="2"/>
      <c r="I53" s="2"/>
      <c r="J53" s="2"/>
      <c r="K53" s="2"/>
      <c r="L53" s="2"/>
      <c r="M53" s="2"/>
      <c r="N53" s="2"/>
      <c r="O53" s="2"/>
      <c r="P53" s="2"/>
      <c r="Q53" s="2"/>
      <c r="R53" s="2"/>
      <c r="S53" s="2"/>
      <c r="T53" s="2"/>
      <c r="U53" s="2"/>
      <c r="V53" s="2"/>
      <c r="W53" s="2"/>
    </row>
    <row r="54" spans="1:23" ht="15" customHeight="1" x14ac:dyDescent="0.4">
      <c r="A54" s="1434" t="s">
        <v>20</v>
      </c>
      <c r="B54" s="1435"/>
      <c r="C54" s="1435"/>
      <c r="D54" s="1435"/>
      <c r="E54" s="1435"/>
      <c r="F54" s="1435"/>
      <c r="G54" s="1435"/>
      <c r="H54" s="1436"/>
      <c r="I54" s="1389">
        <f>'（最新）アセスメントシート'!Z13</f>
        <v>0</v>
      </c>
      <c r="J54" s="1390"/>
      <c r="K54" s="1390"/>
      <c r="L54" s="1390"/>
      <c r="M54" s="1390"/>
      <c r="N54" s="1390"/>
      <c r="O54" s="1390"/>
      <c r="P54" s="1390"/>
      <c r="Q54" s="1390"/>
      <c r="R54" s="1390"/>
      <c r="S54" s="1390"/>
      <c r="T54" s="1390"/>
      <c r="U54" s="1390"/>
      <c r="V54" s="1390"/>
      <c r="W54" s="1431"/>
    </row>
    <row r="55" spans="1:23" ht="15" customHeight="1" x14ac:dyDescent="0.4">
      <c r="A55" s="1453" t="s">
        <v>21</v>
      </c>
      <c r="B55" s="1454"/>
      <c r="C55" s="1454"/>
      <c r="D55" s="1454"/>
      <c r="E55" s="1454"/>
      <c r="F55" s="1454"/>
      <c r="G55" s="1454"/>
      <c r="H55" s="1455"/>
      <c r="I55" s="1405">
        <f>'（最新）アセスメントシート'!AF13</f>
        <v>0</v>
      </c>
      <c r="J55" s="1403"/>
      <c r="K55" s="1403"/>
      <c r="L55" s="1403"/>
      <c r="M55" s="1403"/>
      <c r="N55" s="1403"/>
      <c r="O55" s="1403"/>
      <c r="P55" s="1403"/>
      <c r="Q55" s="1403"/>
      <c r="R55" s="1403"/>
      <c r="S55" s="1403"/>
      <c r="T55" s="1403"/>
      <c r="U55" s="1403"/>
      <c r="V55" s="1403"/>
      <c r="W55" s="1411"/>
    </row>
    <row r="56" spans="1:23" ht="15" customHeight="1" x14ac:dyDescent="0.4">
      <c r="A56" s="1402" t="s">
        <v>22</v>
      </c>
      <c r="B56" s="1403"/>
      <c r="C56" s="1403"/>
      <c r="D56" s="1403"/>
      <c r="E56" s="1403"/>
      <c r="F56" s="1403"/>
      <c r="G56" s="1403"/>
      <c r="H56" s="1404"/>
      <c r="I56" s="1456"/>
      <c r="J56" s="1457"/>
      <c r="K56" s="1457"/>
      <c r="L56" s="1457"/>
      <c r="M56" s="1457"/>
      <c r="N56" s="1457"/>
      <c r="O56" s="1457"/>
      <c r="P56" s="1457"/>
      <c r="Q56" s="1457"/>
      <c r="R56" s="1457"/>
      <c r="S56" s="1457"/>
      <c r="T56" s="1457"/>
      <c r="U56" s="1457"/>
      <c r="V56" s="1457"/>
      <c r="W56" s="1458"/>
    </row>
    <row r="57" spans="1:23" ht="15" customHeight="1" x14ac:dyDescent="0.4">
      <c r="A57" s="1412" t="s">
        <v>23</v>
      </c>
      <c r="B57" s="1413"/>
      <c r="C57" s="1413"/>
      <c r="D57" s="1413"/>
      <c r="E57" s="1413"/>
      <c r="F57" s="1413"/>
      <c r="G57" s="1413"/>
      <c r="H57" s="1414"/>
      <c r="I57" s="1405">
        <f>'（最新）アセスメントシート'!B25</f>
        <v>0</v>
      </c>
      <c r="J57" s="1403"/>
      <c r="K57" s="1403"/>
      <c r="L57" s="1403"/>
      <c r="M57" s="1459"/>
      <c r="N57" s="1460">
        <f>'（最新）アセスメントシート'!B27</f>
        <v>0</v>
      </c>
      <c r="O57" s="1403"/>
      <c r="P57" s="1403"/>
      <c r="Q57" s="1403"/>
      <c r="R57" s="1459"/>
      <c r="S57" s="1460">
        <f>'（最新）アセスメントシート'!B29</f>
        <v>0</v>
      </c>
      <c r="T57" s="1403"/>
      <c r="U57" s="1403"/>
      <c r="V57" s="1403"/>
      <c r="W57" s="1411"/>
    </row>
    <row r="58" spans="1:23" ht="15" customHeight="1" x14ac:dyDescent="0.4">
      <c r="A58" s="1415"/>
      <c r="B58" s="1416"/>
      <c r="C58" s="1416"/>
      <c r="D58" s="1416"/>
      <c r="E58" s="1416"/>
      <c r="F58" s="1416"/>
      <c r="G58" s="1416"/>
      <c r="H58" s="1395"/>
      <c r="I58" s="1456"/>
      <c r="J58" s="1457"/>
      <c r="K58" s="1457"/>
      <c r="L58" s="1457"/>
      <c r="M58" s="1461"/>
      <c r="N58" s="1462"/>
      <c r="O58" s="1457"/>
      <c r="P58" s="1457"/>
      <c r="Q58" s="1457"/>
      <c r="R58" s="1461"/>
      <c r="S58" s="1462"/>
      <c r="T58" s="1457"/>
      <c r="U58" s="1457"/>
      <c r="V58" s="1457"/>
      <c r="W58" s="1458"/>
    </row>
    <row r="59" spans="1:23" ht="15" customHeight="1" x14ac:dyDescent="0.4">
      <c r="A59" s="1402" t="s">
        <v>24</v>
      </c>
      <c r="B59" s="1403"/>
      <c r="C59" s="1403"/>
      <c r="D59" s="1403"/>
      <c r="E59" s="1403"/>
      <c r="F59" s="1403"/>
      <c r="G59" s="1403"/>
      <c r="H59" s="1404"/>
      <c r="I59" s="1456"/>
      <c r="J59" s="1457"/>
      <c r="K59" s="1457"/>
      <c r="L59" s="1457"/>
      <c r="M59" s="1457"/>
      <c r="N59" s="1466"/>
      <c r="O59" s="1405" t="s">
        <v>25</v>
      </c>
      <c r="P59" s="1403"/>
      <c r="Q59" s="1404"/>
      <c r="R59" s="1456"/>
      <c r="S59" s="1457"/>
      <c r="T59" s="1457"/>
      <c r="U59" s="1457"/>
      <c r="V59" s="1457"/>
      <c r="W59" s="1458"/>
    </row>
    <row r="60" spans="1:23" ht="15" customHeight="1" x14ac:dyDescent="0.4">
      <c r="A60" s="1467" t="s">
        <v>26</v>
      </c>
      <c r="B60" s="1417" t="s">
        <v>27</v>
      </c>
      <c r="C60" s="1413"/>
      <c r="D60" s="1413"/>
      <c r="E60" s="1414"/>
      <c r="F60" s="1470" t="s">
        <v>27</v>
      </c>
      <c r="G60" s="1454"/>
      <c r="H60" s="1455"/>
      <c r="I60" s="1463">
        <f>'（最新）アセスメントシート'!I81</f>
        <v>0</v>
      </c>
      <c r="J60" s="1464"/>
      <c r="K60" s="1464"/>
      <c r="L60" s="1464"/>
      <c r="M60" s="1464"/>
      <c r="N60" s="1464"/>
      <c r="O60" s="1464"/>
      <c r="P60" s="1464"/>
      <c r="Q60" s="1464"/>
      <c r="R60" s="1464"/>
      <c r="S60" s="1464"/>
      <c r="T60" s="1464"/>
      <c r="U60" s="1464"/>
      <c r="V60" s="1464"/>
      <c r="W60" s="1465"/>
    </row>
    <row r="61" spans="1:23" ht="15" customHeight="1" x14ac:dyDescent="0.4">
      <c r="A61" s="1468"/>
      <c r="B61" s="1394"/>
      <c r="C61" s="1416"/>
      <c r="D61" s="1416"/>
      <c r="E61" s="1395"/>
      <c r="F61" s="1470" t="s">
        <v>28</v>
      </c>
      <c r="G61" s="1454"/>
      <c r="H61" s="1455"/>
      <c r="I61" s="1463" t="s">
        <v>45</v>
      </c>
      <c r="J61" s="1464"/>
      <c r="K61" s="1464">
        <f>'（最新）アセスメントシート'!I84</f>
        <v>0</v>
      </c>
      <c r="L61" s="1464"/>
      <c r="M61" s="1464"/>
      <c r="N61" s="1464" t="s">
        <v>46</v>
      </c>
      <c r="O61" s="1464"/>
      <c r="P61" s="1464">
        <f>'（最新）アセスメントシート'!I85</f>
        <v>0</v>
      </c>
      <c r="Q61" s="1464"/>
      <c r="R61" s="1464"/>
      <c r="S61" s="1464" t="s">
        <v>1062</v>
      </c>
      <c r="T61" s="1464"/>
      <c r="U61" s="1464">
        <f>'（最新）アセスメントシート'!I86</f>
        <v>0</v>
      </c>
      <c r="V61" s="1464"/>
      <c r="W61" s="1465"/>
    </row>
    <row r="62" spans="1:23" ht="15" customHeight="1" x14ac:dyDescent="0.4">
      <c r="A62" s="1468"/>
      <c r="B62" s="1417" t="s">
        <v>40</v>
      </c>
      <c r="C62" s="1414"/>
      <c r="D62" s="1405" t="s">
        <v>52</v>
      </c>
      <c r="E62" s="1403"/>
      <c r="F62" s="1403"/>
      <c r="G62" s="1403"/>
      <c r="H62" s="1404"/>
      <c r="I62" s="1463">
        <f>'（最新）アセスメントシート'!I96</f>
        <v>0</v>
      </c>
      <c r="J62" s="1464"/>
      <c r="K62" s="1464"/>
      <c r="L62" s="1464"/>
      <c r="M62" s="1464"/>
      <c r="N62" s="1464"/>
      <c r="O62" s="1464"/>
      <c r="P62" s="1464"/>
      <c r="Q62" s="1464"/>
      <c r="R62" s="1464"/>
      <c r="S62" s="1464"/>
      <c r="T62" s="1464"/>
      <c r="U62" s="1464"/>
      <c r="V62" s="1464"/>
      <c r="W62" s="1465"/>
    </row>
    <row r="63" spans="1:23" ht="15" customHeight="1" x14ac:dyDescent="0.4">
      <c r="A63" s="1468"/>
      <c r="B63" s="1471"/>
      <c r="C63" s="1472"/>
      <c r="D63" s="1417" t="s">
        <v>50</v>
      </c>
      <c r="E63" s="1414"/>
      <c r="F63" s="1470" t="s">
        <v>29</v>
      </c>
      <c r="G63" s="1454"/>
      <c r="H63" s="1455"/>
      <c r="I63" s="1463">
        <f>'（最新）アセスメントシート'!I100</f>
        <v>0</v>
      </c>
      <c r="J63" s="1464"/>
      <c r="K63" s="1464"/>
      <c r="L63" s="1464"/>
      <c r="M63" s="1464"/>
      <c r="N63" s="1464"/>
      <c r="O63" s="1464"/>
      <c r="P63" s="1464"/>
      <c r="Q63" s="1464"/>
      <c r="R63" s="1464"/>
      <c r="S63" s="1464"/>
      <c r="T63" s="1464"/>
      <c r="U63" s="1464"/>
      <c r="V63" s="1464"/>
      <c r="W63" s="1465"/>
    </row>
    <row r="64" spans="1:23" ht="15" customHeight="1" x14ac:dyDescent="0.4">
      <c r="A64" s="1468"/>
      <c r="B64" s="1471"/>
      <c r="C64" s="1472"/>
      <c r="D64" s="1394"/>
      <c r="E64" s="1395"/>
      <c r="F64" s="1470" t="s">
        <v>30</v>
      </c>
      <c r="G64" s="1454"/>
      <c r="H64" s="1455"/>
      <c r="I64" s="1463" t="s">
        <v>47</v>
      </c>
      <c r="J64" s="1464"/>
      <c r="K64" s="1464">
        <f>'（最新）アセスメントシート'!I103</f>
        <v>0</v>
      </c>
      <c r="L64" s="1464"/>
      <c r="M64" s="1464"/>
      <c r="N64" s="1464"/>
      <c r="O64" s="1464"/>
      <c r="P64" s="1464" t="s">
        <v>48</v>
      </c>
      <c r="Q64" s="1464"/>
      <c r="R64" s="1464"/>
      <c r="S64" s="1464" t="str">
        <f>'（最新）アセスメントシート'!I104</f>
        <v>掃除</v>
      </c>
      <c r="T64" s="1464"/>
      <c r="U64" s="1464"/>
      <c r="V64" s="1464"/>
      <c r="W64" s="1465"/>
    </row>
    <row r="65" spans="1:23" ht="15" customHeight="1" x14ac:dyDescent="0.4">
      <c r="A65" s="1468"/>
      <c r="B65" s="1471"/>
      <c r="C65" s="1472"/>
      <c r="D65" s="1417" t="s">
        <v>51</v>
      </c>
      <c r="E65" s="1414"/>
      <c r="F65" s="1470" t="s">
        <v>29</v>
      </c>
      <c r="G65" s="1454"/>
      <c r="H65" s="1455"/>
      <c r="I65" s="1463">
        <f>'（最新）アセスメントシート'!I102</f>
        <v>0</v>
      </c>
      <c r="J65" s="1464"/>
      <c r="K65" s="1464"/>
      <c r="L65" s="1464"/>
      <c r="M65" s="1464"/>
      <c r="N65" s="1464"/>
      <c r="O65" s="1464"/>
      <c r="P65" s="1464"/>
      <c r="Q65" s="1464"/>
      <c r="R65" s="1464"/>
      <c r="S65" s="1464"/>
      <c r="T65" s="1464"/>
      <c r="U65" s="1464"/>
      <c r="V65" s="1464"/>
      <c r="W65" s="1465"/>
    </row>
    <row r="66" spans="1:23" ht="15" customHeight="1" x14ac:dyDescent="0.4">
      <c r="A66" s="1468"/>
      <c r="B66" s="1394"/>
      <c r="C66" s="1395"/>
      <c r="D66" s="1394"/>
      <c r="E66" s="1395"/>
      <c r="F66" s="1470" t="s">
        <v>30</v>
      </c>
      <c r="G66" s="1454"/>
      <c r="H66" s="1455"/>
      <c r="I66" s="1463" t="s">
        <v>47</v>
      </c>
      <c r="J66" s="1464"/>
      <c r="K66" s="1464">
        <f>'（最新）アセスメントシート'!I103</f>
        <v>0</v>
      </c>
      <c r="L66" s="1464"/>
      <c r="M66" s="1464"/>
      <c r="N66" s="1464"/>
      <c r="O66" s="1464"/>
      <c r="P66" s="1464" t="s">
        <v>48</v>
      </c>
      <c r="Q66" s="1464"/>
      <c r="R66" s="1464"/>
      <c r="S66" s="1464" t="str">
        <f>'（最新）アセスメントシート'!I104</f>
        <v>掃除</v>
      </c>
      <c r="T66" s="1464"/>
      <c r="U66" s="1464"/>
      <c r="V66" s="1464"/>
      <c r="W66" s="1465"/>
    </row>
    <row r="67" spans="1:23" ht="15" customHeight="1" x14ac:dyDescent="0.4">
      <c r="A67" s="1468"/>
      <c r="B67" s="1417" t="s">
        <v>31</v>
      </c>
      <c r="C67" s="1413"/>
      <c r="D67" s="1413"/>
      <c r="E67" s="1414"/>
      <c r="F67" s="1470" t="s">
        <v>32</v>
      </c>
      <c r="G67" s="1454"/>
      <c r="H67" s="1455"/>
      <c r="I67" s="1463">
        <f>'（最新）アセスメントシート'!I96</f>
        <v>0</v>
      </c>
      <c r="J67" s="1464"/>
      <c r="K67" s="1464"/>
      <c r="L67" s="1464"/>
      <c r="M67" s="1464"/>
      <c r="N67" s="1464"/>
      <c r="O67" s="1464"/>
      <c r="P67" s="1464"/>
      <c r="Q67" s="1464"/>
      <c r="R67" s="1464"/>
      <c r="S67" s="1464"/>
      <c r="T67" s="1464"/>
      <c r="U67" s="1464"/>
      <c r="V67" s="1464"/>
      <c r="W67" s="1465"/>
    </row>
    <row r="68" spans="1:23" ht="15" customHeight="1" x14ac:dyDescent="0.4">
      <c r="A68" s="1468"/>
      <c r="B68" s="1394"/>
      <c r="C68" s="1416"/>
      <c r="D68" s="1416"/>
      <c r="E68" s="1395"/>
      <c r="F68" s="1488" t="s">
        <v>33</v>
      </c>
      <c r="G68" s="1489"/>
      <c r="H68" s="1490"/>
      <c r="I68" s="1463">
        <f>'（最新）アセスメントシート'!I97</f>
        <v>0</v>
      </c>
      <c r="J68" s="1464"/>
      <c r="K68" s="1464"/>
      <c r="L68" s="1464"/>
      <c r="M68" s="1464"/>
      <c r="N68" s="1464"/>
      <c r="O68" s="1464"/>
      <c r="P68" s="1464"/>
      <c r="Q68" s="1464"/>
      <c r="R68" s="1464"/>
      <c r="S68" s="1464"/>
      <c r="T68" s="1464"/>
      <c r="U68" s="1464"/>
      <c r="V68" s="1464"/>
      <c r="W68" s="1465"/>
    </row>
    <row r="69" spans="1:23" ht="15" customHeight="1" x14ac:dyDescent="0.4">
      <c r="A69" s="1468"/>
      <c r="B69" s="1417" t="s">
        <v>34</v>
      </c>
      <c r="C69" s="1413"/>
      <c r="D69" s="1413"/>
      <c r="E69" s="1414"/>
      <c r="F69" s="1470" t="s">
        <v>49</v>
      </c>
      <c r="G69" s="1454"/>
      <c r="H69" s="1455"/>
      <c r="I69" s="1463">
        <f>'（最新）アセスメントシート'!I77</f>
        <v>0</v>
      </c>
      <c r="J69" s="1464"/>
      <c r="K69" s="1464"/>
      <c r="L69" s="1464"/>
      <c r="M69" s="1464"/>
      <c r="N69" s="1464"/>
      <c r="O69" s="1464"/>
      <c r="P69" s="1464"/>
      <c r="Q69" s="1464"/>
      <c r="R69" s="1464"/>
      <c r="S69" s="1464"/>
      <c r="T69" s="1464"/>
      <c r="U69" s="1464"/>
      <c r="V69" s="1464"/>
      <c r="W69" s="1465"/>
    </row>
    <row r="70" spans="1:23" ht="15" customHeight="1" x14ac:dyDescent="0.4">
      <c r="A70" s="1468"/>
      <c r="B70" s="1471"/>
      <c r="C70" s="1406"/>
      <c r="D70" s="1406"/>
      <c r="E70" s="1472"/>
      <c r="F70" s="1470" t="s">
        <v>35</v>
      </c>
      <c r="G70" s="1454"/>
      <c r="H70" s="1455"/>
      <c r="I70" s="1463">
        <f>'（最新）アセスメントシート'!I76</f>
        <v>0</v>
      </c>
      <c r="J70" s="1464"/>
      <c r="K70" s="1464"/>
      <c r="L70" s="1464"/>
      <c r="M70" s="1464"/>
      <c r="N70" s="1464"/>
      <c r="O70" s="1464"/>
      <c r="P70" s="1464"/>
      <c r="Q70" s="1464"/>
      <c r="R70" s="1464"/>
      <c r="S70" s="1464"/>
      <c r="T70" s="1464"/>
      <c r="U70" s="1464"/>
      <c r="V70" s="1464"/>
      <c r="W70" s="1465"/>
    </row>
    <row r="71" spans="1:23" ht="15" customHeight="1" x14ac:dyDescent="0.4">
      <c r="A71" s="1468"/>
      <c r="B71" s="1394"/>
      <c r="C71" s="1416"/>
      <c r="D71" s="1416"/>
      <c r="E71" s="1395"/>
      <c r="F71" s="1470" t="s">
        <v>36</v>
      </c>
      <c r="G71" s="1454"/>
      <c r="H71" s="1455"/>
      <c r="I71" s="1463">
        <f>'（最新）アセスメントシート'!I78</f>
        <v>0</v>
      </c>
      <c r="J71" s="1464"/>
      <c r="K71" s="1464"/>
      <c r="L71" s="1464"/>
      <c r="M71" s="1464"/>
      <c r="N71" s="1464"/>
      <c r="O71" s="1464"/>
      <c r="P71" s="1464"/>
      <c r="Q71" s="1464"/>
      <c r="R71" s="1464"/>
      <c r="S71" s="1464"/>
      <c r="T71" s="1464"/>
      <c r="U71" s="1464"/>
      <c r="V71" s="1464"/>
      <c r="W71" s="1465"/>
    </row>
    <row r="72" spans="1:23" ht="12.75" customHeight="1" x14ac:dyDescent="0.4">
      <c r="A72" s="1468"/>
      <c r="B72" s="1417" t="s">
        <v>37</v>
      </c>
      <c r="C72" s="1413"/>
      <c r="D72" s="1413"/>
      <c r="E72" s="1413"/>
      <c r="F72" s="1413"/>
      <c r="G72" s="1413"/>
      <c r="H72" s="1414"/>
      <c r="I72" s="1473">
        <f>'（最新）アセスメントシート'!D110</f>
        <v>0</v>
      </c>
      <c r="J72" s="1474"/>
      <c r="K72" s="1474"/>
      <c r="L72" s="1474"/>
      <c r="M72" s="1474"/>
      <c r="N72" s="1474"/>
      <c r="O72" s="1474"/>
      <c r="P72" s="1474"/>
      <c r="Q72" s="1474"/>
      <c r="R72" s="1474"/>
      <c r="S72" s="1474"/>
      <c r="T72" s="1474"/>
      <c r="U72" s="1474"/>
      <c r="V72" s="1474"/>
      <c r="W72" s="1475"/>
    </row>
    <row r="73" spans="1:23" ht="12.75" customHeight="1" x14ac:dyDescent="0.4">
      <c r="A73" s="1468"/>
      <c r="B73" s="1394"/>
      <c r="C73" s="1416"/>
      <c r="D73" s="1416"/>
      <c r="E73" s="1416"/>
      <c r="F73" s="1416"/>
      <c r="G73" s="1416"/>
      <c r="H73" s="1395"/>
      <c r="I73" s="1476"/>
      <c r="J73" s="1477"/>
      <c r="K73" s="1477"/>
      <c r="L73" s="1477"/>
      <c r="M73" s="1477"/>
      <c r="N73" s="1477"/>
      <c r="O73" s="1477"/>
      <c r="P73" s="1477"/>
      <c r="Q73" s="1477"/>
      <c r="R73" s="1477"/>
      <c r="S73" s="1477"/>
      <c r="T73" s="1477"/>
      <c r="U73" s="1477"/>
      <c r="V73" s="1477"/>
      <c r="W73" s="1478"/>
    </row>
    <row r="74" spans="1:23" ht="18.75" customHeight="1" x14ac:dyDescent="0.4">
      <c r="A74" s="1468"/>
      <c r="B74" s="1417" t="s">
        <v>38</v>
      </c>
      <c r="C74" s="1413"/>
      <c r="D74" s="1413"/>
      <c r="E74" s="1413"/>
      <c r="F74" s="1413"/>
      <c r="G74" s="1413"/>
      <c r="H74" s="1414"/>
      <c r="I74" s="1482"/>
      <c r="J74" s="1483"/>
      <c r="K74" s="1483"/>
      <c r="L74" s="1483"/>
      <c r="M74" s="1483"/>
      <c r="N74" s="1483"/>
      <c r="O74" s="1483"/>
      <c r="P74" s="1483"/>
      <c r="Q74" s="1483"/>
      <c r="R74" s="1483"/>
      <c r="S74" s="1483"/>
      <c r="T74" s="1483"/>
      <c r="U74" s="1483"/>
      <c r="V74" s="1483"/>
      <c r="W74" s="1484"/>
    </row>
    <row r="75" spans="1:23" ht="18.75" customHeight="1" thickBot="1" x14ac:dyDescent="0.45">
      <c r="A75" s="1469"/>
      <c r="B75" s="1479"/>
      <c r="C75" s="1480"/>
      <c r="D75" s="1480"/>
      <c r="E75" s="1480"/>
      <c r="F75" s="1480"/>
      <c r="G75" s="1480"/>
      <c r="H75" s="1481"/>
      <c r="I75" s="1485"/>
      <c r="J75" s="1486"/>
      <c r="K75" s="1486"/>
      <c r="L75" s="1486"/>
      <c r="M75" s="1486"/>
      <c r="N75" s="1486"/>
      <c r="O75" s="1486"/>
      <c r="P75" s="1486"/>
      <c r="Q75" s="1486"/>
      <c r="R75" s="1486"/>
      <c r="S75" s="1486"/>
      <c r="T75" s="1486"/>
      <c r="U75" s="1486"/>
      <c r="V75" s="1486"/>
      <c r="W75" s="1487"/>
    </row>
    <row r="76" spans="1:23" ht="15.95" customHeight="1" x14ac:dyDescent="0.4"/>
    <row r="79" spans="1:23" ht="18.75" customHeight="1" x14ac:dyDescent="0.4"/>
    <row r="80" spans="1:23" ht="18.75" customHeight="1" x14ac:dyDescent="0.4"/>
    <row r="92" customFormat="1" ht="22.5" customHeight="1" x14ac:dyDescent="0.4"/>
    <row r="110" customFormat="1" ht="29.25" customHeight="1" x14ac:dyDescent="0.4"/>
    <row r="111" customFormat="1" ht="29.25" customHeight="1" x14ac:dyDescent="0.4"/>
    <row r="113" spans="2:22" x14ac:dyDescent="0.4">
      <c r="B113" s="10"/>
      <c r="C113" s="10"/>
      <c r="D113" s="10"/>
      <c r="E113" s="10"/>
      <c r="F113" s="10"/>
      <c r="G113" s="10"/>
      <c r="H113" s="10"/>
      <c r="I113" s="10"/>
      <c r="J113" s="10"/>
      <c r="K113" s="10"/>
      <c r="L113" s="10"/>
      <c r="M113" s="10"/>
      <c r="N113" s="10"/>
      <c r="O113" s="10"/>
      <c r="P113" s="10"/>
      <c r="Q113" s="10"/>
      <c r="R113" s="10"/>
      <c r="S113" s="10"/>
      <c r="T113" s="10"/>
      <c r="U113" s="10"/>
      <c r="V113" s="10"/>
    </row>
  </sheetData>
  <mergeCells count="135">
    <mergeCell ref="F71:H71"/>
    <mergeCell ref="I71:W71"/>
    <mergeCell ref="B72:H73"/>
    <mergeCell ref="I72:W73"/>
    <mergeCell ref="B74:H75"/>
    <mergeCell ref="I74:W75"/>
    <mergeCell ref="B67:E68"/>
    <mergeCell ref="F67:H67"/>
    <mergeCell ref="I67:W67"/>
    <mergeCell ref="F68:H68"/>
    <mergeCell ref="I68:W68"/>
    <mergeCell ref="B69:E71"/>
    <mergeCell ref="F69:H69"/>
    <mergeCell ref="I69:W69"/>
    <mergeCell ref="F70:H70"/>
    <mergeCell ref="I70:W70"/>
    <mergeCell ref="K64:O64"/>
    <mergeCell ref="P64:R64"/>
    <mergeCell ref="S64:W64"/>
    <mergeCell ref="D65:E66"/>
    <mergeCell ref="F65:H65"/>
    <mergeCell ref="I65:W65"/>
    <mergeCell ref="F66:H66"/>
    <mergeCell ref="I66:J66"/>
    <mergeCell ref="K66:O66"/>
    <mergeCell ref="P66:R66"/>
    <mergeCell ref="S66:W66"/>
    <mergeCell ref="I61:J61"/>
    <mergeCell ref="K61:M61"/>
    <mergeCell ref="N61:O61"/>
    <mergeCell ref="P61:R61"/>
    <mergeCell ref="S61:T61"/>
    <mergeCell ref="U61:W61"/>
    <mergeCell ref="S58:W58"/>
    <mergeCell ref="A59:H59"/>
    <mergeCell ref="I59:N59"/>
    <mergeCell ref="O59:Q59"/>
    <mergeCell ref="R59:W59"/>
    <mergeCell ref="A60:A75"/>
    <mergeCell ref="B60:E61"/>
    <mergeCell ref="F60:H60"/>
    <mergeCell ref="I60:W60"/>
    <mergeCell ref="F61:H61"/>
    <mergeCell ref="B62:C66"/>
    <mergeCell ref="D62:H62"/>
    <mergeCell ref="I62:W62"/>
    <mergeCell ref="D63:E64"/>
    <mergeCell ref="F63:H63"/>
    <mergeCell ref="I63:W63"/>
    <mergeCell ref="F64:H64"/>
    <mergeCell ref="I64:J64"/>
    <mergeCell ref="A55:H55"/>
    <mergeCell ref="I55:W55"/>
    <mergeCell ref="A56:H56"/>
    <mergeCell ref="I56:W56"/>
    <mergeCell ref="A57:H58"/>
    <mergeCell ref="I57:M57"/>
    <mergeCell ref="N57:R57"/>
    <mergeCell ref="S57:W57"/>
    <mergeCell ref="I58:M58"/>
    <mergeCell ref="N58:R58"/>
    <mergeCell ref="A52:D52"/>
    <mergeCell ref="G52:H52"/>
    <mergeCell ref="I52:M52"/>
    <mergeCell ref="Q52:R52"/>
    <mergeCell ref="S52:U52"/>
    <mergeCell ref="A54:H54"/>
    <mergeCell ref="I54:W54"/>
    <mergeCell ref="A49:I49"/>
    <mergeCell ref="J49:N49"/>
    <mergeCell ref="P49:S49"/>
    <mergeCell ref="T49:W49"/>
    <mergeCell ref="A50:D51"/>
    <mergeCell ref="E50:W50"/>
    <mergeCell ref="E51:W51"/>
    <mergeCell ref="A46:C46"/>
    <mergeCell ref="D46:G46"/>
    <mergeCell ref="H46:J46"/>
    <mergeCell ref="K46:W46"/>
    <mergeCell ref="A48:I48"/>
    <mergeCell ref="J48:S48"/>
    <mergeCell ref="T48:W48"/>
    <mergeCell ref="A44:C44"/>
    <mergeCell ref="D44:M44"/>
    <mergeCell ref="N44:O44"/>
    <mergeCell ref="P44:W44"/>
    <mergeCell ref="A45:C45"/>
    <mergeCell ref="D45:J45"/>
    <mergeCell ref="K45:P45"/>
    <mergeCell ref="A41:C41"/>
    <mergeCell ref="D41:M41"/>
    <mergeCell ref="N41:O41"/>
    <mergeCell ref="P41:W41"/>
    <mergeCell ref="A42:C43"/>
    <mergeCell ref="D42:M43"/>
    <mergeCell ref="N42:O43"/>
    <mergeCell ref="P42:Q43"/>
    <mergeCell ref="R42:T43"/>
    <mergeCell ref="U42:W43"/>
    <mergeCell ref="L39:M40"/>
    <mergeCell ref="N39:O40"/>
    <mergeCell ref="P39:W40"/>
    <mergeCell ref="A40:C40"/>
    <mergeCell ref="D40:I40"/>
    <mergeCell ref="R34:W34"/>
    <mergeCell ref="A35:O35"/>
    <mergeCell ref="Q35:R35"/>
    <mergeCell ref="S35:W35"/>
    <mergeCell ref="A36:N36"/>
    <mergeCell ref="Q36:R36"/>
    <mergeCell ref="S36:W36"/>
    <mergeCell ref="U28:V28"/>
    <mergeCell ref="A47:E47"/>
    <mergeCell ref="A38:C38"/>
    <mergeCell ref="A53:E53"/>
    <mergeCell ref="A2:W3"/>
    <mergeCell ref="A12:N12"/>
    <mergeCell ref="A13:N13"/>
    <mergeCell ref="A14:N14"/>
    <mergeCell ref="D15:E15"/>
    <mergeCell ref="F15:I15"/>
    <mergeCell ref="O21:T21"/>
    <mergeCell ref="P22:S22"/>
    <mergeCell ref="R23:U23"/>
    <mergeCell ref="J26:M26"/>
    <mergeCell ref="B27:V27"/>
    <mergeCell ref="D16:E16"/>
    <mergeCell ref="F16:I16"/>
    <mergeCell ref="O17:T17"/>
    <mergeCell ref="O18:T18"/>
    <mergeCell ref="M19:V19"/>
    <mergeCell ref="P20:S20"/>
    <mergeCell ref="A39:C39"/>
    <mergeCell ref="D39:I39"/>
    <mergeCell ref="J39:K40"/>
  </mergeCells>
  <phoneticPr fontId="1"/>
  <pageMargins left="0.51181102362204722" right="0.51181102362204722" top="0.74803149606299213" bottom="0.74803149606299213" header="0.31496062992125984" footer="0.31496062992125984"/>
  <pageSetup paperSize="9" orientation="portrait" blackAndWhite="1" r:id="rId1"/>
  <rowBreaks count="1" manualBreakCount="1">
    <brk id="33"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A686A-8B53-4732-8AF8-AE7A9934C5C1}">
  <sheetPr codeName="Sheet17">
    <tabColor theme="9" tint="0.59999389629810485"/>
  </sheetPr>
  <dimension ref="A1:AC113"/>
  <sheetViews>
    <sheetView showZeros="0" topLeftCell="A32" zoomScaleNormal="100" workbookViewId="0">
      <selection activeCell="I53" sqref="I53"/>
    </sheetView>
  </sheetViews>
  <sheetFormatPr defaultRowHeight="18.75" x14ac:dyDescent="0.4"/>
  <cols>
    <col min="1" max="4" width="3.625" customWidth="1"/>
    <col min="5" max="5" width="5.25" customWidth="1"/>
    <col min="6" max="6" width="3.125" customWidth="1"/>
    <col min="7" max="7" width="3.25" customWidth="1"/>
    <col min="8" max="9" width="3.625" customWidth="1"/>
    <col min="10" max="10" width="2.75" customWidth="1"/>
    <col min="11" max="11" width="3.625" customWidth="1"/>
    <col min="12" max="12" width="3" customWidth="1"/>
    <col min="13" max="14" width="3.625" customWidth="1"/>
    <col min="15" max="15" width="4.25" customWidth="1"/>
    <col min="16" max="27" width="3.625" customWidth="1"/>
  </cols>
  <sheetData>
    <row r="1" spans="1:23" ht="55.5" customHeight="1" x14ac:dyDescent="0.4"/>
    <row r="2" spans="1:23" ht="18.75" customHeight="1" x14ac:dyDescent="0.4">
      <c r="A2" s="1378" t="s">
        <v>54</v>
      </c>
      <c r="B2" s="1378"/>
      <c r="C2" s="1378"/>
      <c r="D2" s="1378"/>
      <c r="E2" s="1378"/>
      <c r="F2" s="1378"/>
      <c r="G2" s="1378"/>
      <c r="H2" s="1378"/>
      <c r="I2" s="1378"/>
      <c r="J2" s="1378"/>
      <c r="K2" s="1378"/>
      <c r="L2" s="1378"/>
      <c r="M2" s="1378"/>
      <c r="N2" s="1378"/>
      <c r="O2" s="1378"/>
      <c r="P2" s="1378"/>
      <c r="Q2" s="1378"/>
      <c r="R2" s="1378"/>
      <c r="S2" s="1378"/>
      <c r="T2" s="1378"/>
      <c r="U2" s="1378"/>
      <c r="V2" s="1378"/>
      <c r="W2" s="1378"/>
    </row>
    <row r="3" spans="1:23" x14ac:dyDescent="0.4">
      <c r="A3" s="1378"/>
      <c r="B3" s="1378"/>
      <c r="C3" s="1378"/>
      <c r="D3" s="1378"/>
      <c r="E3" s="1378"/>
      <c r="F3" s="1378"/>
      <c r="G3" s="1378"/>
      <c r="H3" s="1378"/>
      <c r="I3" s="1378"/>
      <c r="J3" s="1378"/>
      <c r="K3" s="1378"/>
      <c r="L3" s="1378"/>
      <c r="M3" s="1378"/>
      <c r="N3" s="1378"/>
      <c r="O3" s="1378"/>
      <c r="P3" s="1378"/>
      <c r="Q3" s="1378"/>
      <c r="R3" s="1378"/>
      <c r="S3" s="1378"/>
      <c r="T3" s="1378"/>
      <c r="U3" s="1378"/>
      <c r="V3" s="1378"/>
      <c r="W3" s="1378"/>
    </row>
    <row r="5" spans="1:23" ht="48" customHeight="1" x14ac:dyDescent="0.4"/>
    <row r="6" spans="1:23" x14ac:dyDescent="0.4">
      <c r="B6" s="10"/>
      <c r="C6" s="10"/>
      <c r="D6" s="10"/>
      <c r="E6" s="10"/>
      <c r="F6" s="10"/>
      <c r="G6" s="10"/>
      <c r="H6" s="10"/>
      <c r="I6" s="10"/>
      <c r="J6" s="10"/>
      <c r="K6" s="10"/>
      <c r="L6" s="10"/>
      <c r="M6" s="10"/>
      <c r="N6" s="9" t="s">
        <v>55</v>
      </c>
      <c r="O6" s="10"/>
      <c r="P6" s="10"/>
      <c r="Q6" s="10"/>
      <c r="R6" s="10"/>
      <c r="S6" s="10"/>
      <c r="T6" s="10"/>
      <c r="U6" s="10"/>
      <c r="V6" s="10"/>
    </row>
    <row r="7" spans="1:23" x14ac:dyDescent="0.4">
      <c r="B7" s="10"/>
      <c r="C7" s="10"/>
      <c r="D7" s="10"/>
      <c r="E7" s="10"/>
      <c r="F7" s="10"/>
      <c r="G7" s="10"/>
      <c r="H7" s="10"/>
      <c r="I7" s="10"/>
      <c r="J7" s="10"/>
      <c r="K7" s="10"/>
      <c r="L7" s="10"/>
      <c r="M7" s="10"/>
      <c r="N7" s="10" t="s">
        <v>56</v>
      </c>
      <c r="O7" s="10"/>
      <c r="P7" s="10"/>
      <c r="Q7" s="10"/>
      <c r="R7" s="10"/>
      <c r="S7" s="10"/>
      <c r="T7" s="10"/>
      <c r="U7" s="10"/>
      <c r="V7" s="10"/>
    </row>
    <row r="8" spans="1:23" x14ac:dyDescent="0.4">
      <c r="B8" s="10"/>
      <c r="C8" s="10"/>
      <c r="D8" s="10"/>
      <c r="E8" s="10"/>
      <c r="F8" s="10"/>
      <c r="G8" s="10"/>
      <c r="H8" s="10"/>
      <c r="I8" s="10"/>
      <c r="J8" s="10"/>
      <c r="K8" s="10"/>
      <c r="L8" s="10"/>
      <c r="M8" s="10"/>
      <c r="N8" s="10"/>
      <c r="O8" s="10" t="s">
        <v>57</v>
      </c>
      <c r="P8" s="10"/>
      <c r="Q8" s="10"/>
      <c r="R8" s="10"/>
      <c r="S8" s="10"/>
      <c r="T8" s="10"/>
      <c r="U8" s="10"/>
      <c r="V8" s="10"/>
    </row>
    <row r="9" spans="1:23" x14ac:dyDescent="0.4">
      <c r="B9" s="10"/>
      <c r="C9" s="10"/>
      <c r="D9" s="10"/>
      <c r="E9" s="10"/>
      <c r="F9" s="10"/>
      <c r="G9" s="10"/>
      <c r="H9" s="10"/>
      <c r="I9" s="10"/>
      <c r="J9" s="10"/>
      <c r="K9" s="10"/>
      <c r="L9" s="10"/>
      <c r="M9" s="10"/>
      <c r="N9" s="10"/>
      <c r="O9" s="10" t="s">
        <v>58</v>
      </c>
      <c r="P9" s="10"/>
      <c r="Q9" s="10"/>
      <c r="R9" s="10"/>
      <c r="S9" s="10"/>
      <c r="T9" s="10"/>
      <c r="U9" s="10"/>
      <c r="V9" s="10"/>
    </row>
    <row r="10" spans="1:23" x14ac:dyDescent="0.4">
      <c r="B10" s="10"/>
      <c r="C10" s="10"/>
      <c r="D10" s="10"/>
      <c r="E10" s="10"/>
      <c r="F10" s="10"/>
      <c r="G10" s="10"/>
      <c r="H10" s="10"/>
      <c r="I10" s="10"/>
      <c r="J10" s="10"/>
      <c r="K10" s="10"/>
      <c r="L10" s="10"/>
      <c r="M10" s="10"/>
      <c r="N10" s="10"/>
      <c r="O10" s="10" t="s">
        <v>53</v>
      </c>
      <c r="P10" s="10"/>
      <c r="Q10" s="10"/>
      <c r="R10" s="10"/>
      <c r="S10" s="10"/>
      <c r="T10" s="10"/>
      <c r="U10" s="10"/>
      <c r="V10" s="10"/>
    </row>
    <row r="11" spans="1:23" x14ac:dyDescent="0.4">
      <c r="B11" s="10"/>
      <c r="C11" s="10"/>
      <c r="D11" s="10"/>
      <c r="E11" s="10"/>
      <c r="F11" s="10"/>
      <c r="G11" s="10"/>
      <c r="H11" s="10"/>
      <c r="I11" s="10"/>
      <c r="J11" s="10"/>
      <c r="K11" s="10"/>
      <c r="L11" s="10"/>
      <c r="M11" s="10"/>
      <c r="N11" s="10"/>
      <c r="O11" s="10" t="s">
        <v>59</v>
      </c>
      <c r="P11" s="10"/>
      <c r="Q11" s="10"/>
      <c r="R11" s="10"/>
      <c r="S11" s="10"/>
      <c r="T11" s="10"/>
      <c r="U11" s="10"/>
      <c r="V11" s="10"/>
    </row>
    <row r="12" spans="1:23" x14ac:dyDescent="0.4">
      <c r="A12" s="1379" t="s">
        <v>60</v>
      </c>
      <c r="B12" s="1379"/>
      <c r="C12" s="1379"/>
      <c r="D12" s="1379"/>
      <c r="E12" s="1379"/>
      <c r="F12" s="1379"/>
      <c r="G12" s="1379"/>
      <c r="H12" s="1379"/>
      <c r="I12" s="1379"/>
      <c r="J12" s="1379"/>
      <c r="K12" s="1379"/>
      <c r="L12" s="1379"/>
      <c r="M12" s="1379"/>
      <c r="N12" s="1379"/>
      <c r="O12" s="10"/>
      <c r="P12" s="10"/>
      <c r="Q12" s="10"/>
      <c r="R12" s="10"/>
      <c r="S12" s="10"/>
      <c r="T12" s="10"/>
      <c r="U12" s="10"/>
      <c r="V12" s="10"/>
    </row>
    <row r="13" spans="1:23" x14ac:dyDescent="0.4">
      <c r="A13" s="1379" t="str">
        <f>A35</f>
        <v>津生協病院　地域連携室</v>
      </c>
      <c r="B13" s="1379"/>
      <c r="C13" s="1379"/>
      <c r="D13" s="1379"/>
      <c r="E13" s="1379"/>
      <c r="F13" s="1379"/>
      <c r="G13" s="1379"/>
      <c r="H13" s="1379"/>
      <c r="I13" s="1379"/>
      <c r="J13" s="1379"/>
      <c r="K13" s="1379"/>
      <c r="L13" s="1379"/>
      <c r="M13" s="1379"/>
      <c r="N13" s="1379"/>
      <c r="O13" s="10"/>
      <c r="P13" s="10"/>
      <c r="Q13" s="10"/>
      <c r="R13" s="10"/>
      <c r="S13" s="10"/>
      <c r="T13" s="10"/>
      <c r="U13" s="10"/>
      <c r="V13" s="10"/>
    </row>
    <row r="14" spans="1:23" x14ac:dyDescent="0.4">
      <c r="A14" s="1380" t="s">
        <v>84</v>
      </c>
      <c r="B14" s="1380"/>
      <c r="C14" s="1380"/>
      <c r="D14" s="1380"/>
      <c r="E14" s="1380"/>
      <c r="F14" s="1380"/>
      <c r="G14" s="1380"/>
      <c r="H14" s="1380"/>
      <c r="I14" s="1380"/>
      <c r="J14" s="1380"/>
      <c r="K14" s="1380"/>
      <c r="L14" s="1380"/>
      <c r="M14" s="1380"/>
      <c r="N14" s="1380"/>
      <c r="O14" s="10"/>
      <c r="P14" s="10"/>
      <c r="Q14" s="10"/>
      <c r="R14" s="10"/>
      <c r="S14" s="10"/>
      <c r="T14" s="10"/>
      <c r="U14" s="10"/>
      <c r="V14" s="10"/>
    </row>
    <row r="15" spans="1:23" x14ac:dyDescent="0.15">
      <c r="B15" s="10"/>
      <c r="C15" s="11"/>
      <c r="D15" s="1381" t="s">
        <v>85</v>
      </c>
      <c r="E15" s="1381"/>
      <c r="F15" s="1382" t="str">
        <f>_xlfn.IFS(A35="津生協病院　地域連携室","059-225-2867",A35="永井病院　医療相談室","059-228-5181",A35="遠山病院　患者サポートセンター","059-224-7029",A35="武内病院　地域連携室","059-226-1111",A35="榊原温泉病院　医療相談室","059-252-1111",A35="榊原病院　地域医療連携室","059-252-0211",A35="三重大学医学部附属病院病院　総合サポートセンター","059-231-5105",A35="三重中央医療センター　地域連携室","059-259-1211",A35="三重病院","059-232-2531",A35="七栗記念病院　地域支援室","059-252-1555",A35="若葉病院　医療相談室","059-227-0207",A35="大門病院　地域連携室","059-226-5525",A35="こころの医療センター　地域支援室","059-235-2125",A35="久居病院　地域連携福祉室","059-255-2986",A35="鈴鹿回生病院　医療相談室","059-375-1212")</f>
        <v>059-225-2867</v>
      </c>
      <c r="G15" s="1382"/>
      <c r="H15" s="1382"/>
      <c r="I15" s="1382"/>
      <c r="J15" s="10"/>
      <c r="K15" s="10"/>
      <c r="L15" s="10"/>
      <c r="M15" s="10"/>
      <c r="N15" s="10"/>
      <c r="O15" s="10"/>
      <c r="P15" s="10"/>
      <c r="Q15" s="10"/>
      <c r="R15" s="10"/>
      <c r="S15" s="10"/>
      <c r="T15" s="10"/>
      <c r="U15" s="10"/>
      <c r="V15" s="10"/>
    </row>
    <row r="16" spans="1:23" ht="18.75" customHeight="1" x14ac:dyDescent="0.4">
      <c r="B16" s="10"/>
      <c r="C16" s="10"/>
      <c r="D16" s="1375" t="s">
        <v>87</v>
      </c>
      <c r="E16" s="1375"/>
      <c r="F16" s="1384" t="str">
        <f>_xlfn.IFS(A35="津生協病院　地域連携室","059-225-6166",A35="永井病院　医療相談室","059-223-3222",A35="遠山病院　患者サポートセンター","059-224-7020",A35="武内病院　地域連携室","059-223-0272",A35="榊原温泉病院　医療相談室","059-252-0522",A35="榊原病院　地域医療連携室","059-252-0411",A35="三重大学医学部附属病院病院　総合サポートセンター","059-231-5541",A35="三重中央医療センター　地域連携室","059-259-0771",A35="三重病院","059-232-2581",A35="七栗記念病院　地域支援室","059-252-1383",A35="若葉病院　医療相談室","059-228-3347",A35="大門病院　地域連携室","059-227-1233",A35="こころの医療センター　地域支援室","059-235-2135",A35="久居病院　地域連携福祉室","059-256-7444",A35="鈴鹿回生病院　医療相談室","059-375-1335")</f>
        <v>059-225-6166</v>
      </c>
      <c r="G16" s="1384"/>
      <c r="H16" s="1384"/>
      <c r="I16" s="1384"/>
      <c r="J16" s="10"/>
      <c r="K16" s="10"/>
      <c r="L16" s="10"/>
      <c r="M16" s="10"/>
      <c r="N16" s="10"/>
      <c r="O16" s="10"/>
      <c r="P16" s="10"/>
      <c r="Q16" s="10"/>
      <c r="R16" s="10"/>
      <c r="S16" s="10"/>
      <c r="T16" s="10"/>
      <c r="U16" s="10"/>
      <c r="V16" s="10"/>
    </row>
    <row r="17" spans="2:23" ht="18.75" customHeight="1" x14ac:dyDescent="0.4">
      <c r="B17" s="10"/>
      <c r="C17" s="10"/>
      <c r="D17" s="10"/>
      <c r="E17" s="10"/>
      <c r="F17" s="10"/>
      <c r="G17" s="10"/>
      <c r="H17" s="10"/>
      <c r="I17" s="10"/>
      <c r="J17" s="10"/>
      <c r="K17" s="10"/>
      <c r="L17" s="10"/>
      <c r="M17" s="12"/>
      <c r="N17" s="12"/>
      <c r="O17" s="1385">
        <f ca="1">TODAY()</f>
        <v>46096</v>
      </c>
      <c r="P17" s="1385"/>
      <c r="Q17" s="1385"/>
      <c r="R17" s="1385"/>
      <c r="S17" s="1385"/>
      <c r="T17" s="1385"/>
      <c r="U17" s="12"/>
      <c r="V17" s="12"/>
    </row>
    <row r="18" spans="2:23" x14ac:dyDescent="0.15">
      <c r="B18" s="10"/>
      <c r="C18" s="10"/>
      <c r="D18" s="10"/>
      <c r="E18" s="10"/>
      <c r="F18" s="10"/>
      <c r="G18" s="10"/>
      <c r="H18" s="10"/>
      <c r="I18" s="10"/>
      <c r="J18" s="10"/>
      <c r="K18" s="10"/>
      <c r="L18" s="10"/>
      <c r="M18" s="10"/>
      <c r="N18" s="10"/>
      <c r="O18" s="1383" t="s">
        <v>61</v>
      </c>
      <c r="P18" s="1383"/>
      <c r="Q18" s="1383"/>
      <c r="R18" s="1383"/>
      <c r="S18" s="1383"/>
      <c r="T18" s="1383"/>
      <c r="U18" s="10"/>
      <c r="V18" s="10"/>
    </row>
    <row r="19" spans="2:23" x14ac:dyDescent="0.4">
      <c r="B19" s="10"/>
      <c r="C19" s="10"/>
      <c r="D19" s="10"/>
      <c r="E19" s="10"/>
      <c r="F19" s="10"/>
      <c r="G19" s="10"/>
      <c r="H19" s="10"/>
      <c r="I19" s="10"/>
      <c r="J19" s="10"/>
      <c r="K19" s="10"/>
      <c r="L19" s="10"/>
      <c r="M19" s="1379" t="s">
        <v>62</v>
      </c>
      <c r="N19" s="1379"/>
      <c r="O19" s="1379"/>
      <c r="P19" s="1379"/>
      <c r="Q19" s="1379"/>
      <c r="R19" s="1379"/>
      <c r="S19" s="1379"/>
      <c r="T19" s="1379"/>
      <c r="U19" s="1379"/>
      <c r="V19" s="1379"/>
    </row>
    <row r="20" spans="2:23" x14ac:dyDescent="0.4">
      <c r="B20" s="10"/>
      <c r="C20" s="10"/>
      <c r="D20" s="10"/>
      <c r="E20" s="10"/>
      <c r="F20" s="10"/>
      <c r="G20" s="10"/>
      <c r="H20" s="10"/>
      <c r="I20" s="10"/>
      <c r="J20" s="10"/>
      <c r="K20" s="10"/>
      <c r="L20" s="10"/>
      <c r="M20" s="12"/>
      <c r="N20" s="12"/>
      <c r="O20" s="12"/>
      <c r="P20" s="1380">
        <f>'[2]（最新）アセスメントシート'!AG3</f>
        <v>0</v>
      </c>
      <c r="Q20" s="1380"/>
      <c r="R20" s="1380"/>
      <c r="S20" s="1380"/>
      <c r="T20" s="12"/>
      <c r="U20" s="12"/>
      <c r="V20" s="12"/>
    </row>
    <row r="21" spans="2:23" x14ac:dyDescent="0.15">
      <c r="B21" s="10"/>
      <c r="C21" s="10"/>
      <c r="D21" s="10"/>
      <c r="E21" s="10"/>
      <c r="F21" s="10"/>
      <c r="G21" s="10"/>
      <c r="H21" s="10"/>
      <c r="I21" s="10"/>
      <c r="J21" s="10"/>
      <c r="K21" s="10"/>
      <c r="L21" s="10"/>
      <c r="M21" s="10"/>
      <c r="N21" s="10"/>
      <c r="O21" s="1383" t="s">
        <v>63</v>
      </c>
      <c r="P21" s="1383"/>
      <c r="Q21" s="1383"/>
      <c r="R21" s="1383"/>
      <c r="S21" s="1383"/>
      <c r="T21" s="1383"/>
      <c r="U21" s="10"/>
      <c r="V21" s="10"/>
    </row>
    <row r="22" spans="2:23" x14ac:dyDescent="0.4">
      <c r="B22" s="10"/>
      <c r="C22" s="10"/>
      <c r="D22" s="10"/>
      <c r="E22" s="10"/>
      <c r="F22" s="10"/>
      <c r="G22" s="10"/>
      <c r="H22" s="10"/>
      <c r="I22" s="10"/>
      <c r="J22" s="10"/>
      <c r="K22" s="10"/>
      <c r="L22" s="10"/>
      <c r="M22" s="12"/>
      <c r="N22" s="12"/>
      <c r="O22" s="12"/>
      <c r="P22" s="1380" t="s">
        <v>64</v>
      </c>
      <c r="Q22" s="1380"/>
      <c r="R22" s="1380"/>
      <c r="S22" s="1380"/>
      <c r="T22" s="12"/>
      <c r="U22" s="12"/>
      <c r="V22" s="12"/>
    </row>
    <row r="23" spans="2:23" x14ac:dyDescent="0.4">
      <c r="B23" s="10"/>
      <c r="C23" s="10"/>
      <c r="D23" s="10"/>
      <c r="E23" s="10"/>
      <c r="F23" s="10"/>
      <c r="G23" s="10"/>
      <c r="H23" s="10"/>
      <c r="I23" s="10"/>
      <c r="J23" s="10"/>
      <c r="K23" s="10"/>
      <c r="L23" s="10"/>
      <c r="M23" s="10"/>
      <c r="N23" s="10"/>
      <c r="O23" s="10"/>
      <c r="P23" s="10"/>
      <c r="Q23" s="10"/>
      <c r="R23" s="1384" t="s">
        <v>65</v>
      </c>
      <c r="S23" s="1384"/>
      <c r="T23" s="1384"/>
      <c r="U23" s="1384"/>
      <c r="V23" s="10"/>
    </row>
    <row r="24" spans="2:23" ht="45" customHeight="1" x14ac:dyDescent="0.4">
      <c r="B24" s="10"/>
      <c r="C24" s="10"/>
      <c r="D24" s="10"/>
      <c r="E24" s="10"/>
      <c r="F24" s="10"/>
      <c r="G24" s="10"/>
      <c r="H24" s="10"/>
      <c r="I24" s="10"/>
      <c r="J24" s="10"/>
      <c r="K24" s="10"/>
      <c r="L24" s="10"/>
      <c r="M24" s="10"/>
      <c r="N24" s="10"/>
      <c r="O24" s="10"/>
      <c r="P24" s="10"/>
      <c r="Q24" s="10"/>
      <c r="R24" s="10"/>
      <c r="S24" s="10"/>
      <c r="T24" s="10"/>
      <c r="U24" s="10"/>
      <c r="V24" s="10"/>
    </row>
    <row r="25" spans="2:23" x14ac:dyDescent="0.4">
      <c r="B25" s="10" t="s">
        <v>66</v>
      </c>
      <c r="C25" s="10"/>
      <c r="D25" s="10"/>
      <c r="E25" s="10"/>
      <c r="F25" s="10"/>
      <c r="G25" s="10"/>
      <c r="H25" s="10"/>
      <c r="I25" s="10"/>
      <c r="J25" s="10"/>
      <c r="K25" s="10"/>
      <c r="L25" s="10"/>
      <c r="M25" s="10"/>
      <c r="N25" s="10"/>
      <c r="O25" s="10"/>
      <c r="P25" s="10"/>
      <c r="Q25" s="10"/>
      <c r="R25" s="10"/>
      <c r="S25" s="10"/>
      <c r="T25" s="10"/>
      <c r="U25" s="10"/>
      <c r="V25" s="10"/>
    </row>
    <row r="26" spans="2:23" x14ac:dyDescent="0.4">
      <c r="B26" s="9" t="s">
        <v>67</v>
      </c>
      <c r="C26" s="9"/>
      <c r="D26" s="9"/>
      <c r="E26" s="9"/>
      <c r="F26" s="9"/>
      <c r="G26" s="9"/>
      <c r="H26" s="9"/>
      <c r="I26" s="9"/>
      <c r="J26" s="1379">
        <f>D40</f>
        <v>0</v>
      </c>
      <c r="K26" s="1379"/>
      <c r="L26" s="1379"/>
      <c r="M26" s="1379"/>
      <c r="N26" s="9" t="s">
        <v>68</v>
      </c>
      <c r="O26" s="9"/>
      <c r="P26" s="9"/>
      <c r="Q26" s="9"/>
      <c r="R26" s="9"/>
      <c r="S26" s="9"/>
      <c r="T26" s="9"/>
      <c r="U26" s="9"/>
      <c r="V26" s="9"/>
      <c r="W26" s="10"/>
    </row>
    <row r="27" spans="2:23" x14ac:dyDescent="0.4">
      <c r="B27" s="1384" t="s">
        <v>1057</v>
      </c>
      <c r="C27" s="1384"/>
      <c r="D27" s="1384"/>
      <c r="E27" s="1384"/>
      <c r="F27" s="1384"/>
      <c r="G27" s="1384"/>
      <c r="H27" s="1384"/>
      <c r="I27" s="1384"/>
      <c r="J27" s="1384"/>
      <c r="K27" s="1384"/>
      <c r="L27" s="1384"/>
      <c r="M27" s="1384"/>
      <c r="N27" s="1384"/>
      <c r="O27" s="1384"/>
      <c r="P27" s="1384"/>
      <c r="Q27" s="1384"/>
      <c r="R27" s="1384"/>
      <c r="S27" s="1384"/>
      <c r="T27" s="1384"/>
      <c r="U27" s="1384"/>
      <c r="V27" s="1384"/>
      <c r="W27" s="10"/>
    </row>
    <row r="28" spans="2:23" x14ac:dyDescent="0.4">
      <c r="B28" s="10"/>
      <c r="C28" s="10"/>
      <c r="D28" s="10"/>
      <c r="E28" s="10"/>
      <c r="F28" s="10"/>
      <c r="G28" s="10"/>
      <c r="H28" s="10"/>
      <c r="I28" s="10"/>
      <c r="J28" s="10"/>
      <c r="K28" s="10"/>
      <c r="L28" s="10"/>
      <c r="M28" s="10"/>
      <c r="N28" s="10"/>
      <c r="O28" s="10"/>
      <c r="P28" s="10"/>
      <c r="Q28" s="10"/>
      <c r="R28" s="10"/>
      <c r="S28" s="10"/>
      <c r="T28" s="10"/>
      <c r="U28" s="1375" t="s">
        <v>69</v>
      </c>
      <c r="V28" s="1375"/>
    </row>
    <row r="29" spans="2:23" ht="42.75" customHeight="1" x14ac:dyDescent="0.4">
      <c r="B29" s="10"/>
      <c r="C29" s="10"/>
      <c r="D29" s="10"/>
      <c r="E29" s="10"/>
      <c r="F29" s="10"/>
      <c r="G29" s="10"/>
      <c r="H29" s="10"/>
      <c r="I29" s="10"/>
      <c r="J29" s="10"/>
      <c r="K29" s="10"/>
      <c r="L29" s="10"/>
      <c r="M29" s="10"/>
      <c r="N29" s="10"/>
      <c r="O29" s="10"/>
      <c r="P29" s="10"/>
      <c r="Q29" s="10"/>
      <c r="R29" s="10"/>
      <c r="S29" s="10"/>
      <c r="T29" s="10"/>
      <c r="U29" s="10"/>
      <c r="V29" s="10"/>
    </row>
    <row r="34" spans="1:29" ht="31.5" customHeight="1" x14ac:dyDescent="0.4">
      <c r="A34" s="1" t="s">
        <v>41</v>
      </c>
      <c r="B34" s="1"/>
      <c r="C34" s="1"/>
      <c r="D34" s="1"/>
      <c r="E34" s="1"/>
      <c r="F34" s="1"/>
      <c r="G34" s="1"/>
      <c r="H34" s="1"/>
      <c r="I34" s="1"/>
      <c r="J34" s="1"/>
      <c r="K34" s="1"/>
      <c r="L34" s="1"/>
      <c r="M34" s="1"/>
      <c r="N34" s="1"/>
      <c r="O34" s="1"/>
      <c r="P34" s="1"/>
      <c r="Q34" s="1"/>
      <c r="R34" s="1406"/>
      <c r="S34" s="1406"/>
      <c r="T34" s="1406"/>
      <c r="U34" s="1406"/>
      <c r="V34" s="1406"/>
      <c r="W34" s="1406"/>
    </row>
    <row r="35" spans="1:29" ht="20.25" customHeight="1" x14ac:dyDescent="0.4">
      <c r="A35" s="1407" t="s">
        <v>91</v>
      </c>
      <c r="B35" s="1407"/>
      <c r="C35" s="1407"/>
      <c r="D35" s="1407"/>
      <c r="E35" s="1407"/>
      <c r="F35" s="1407"/>
      <c r="G35" s="1407"/>
      <c r="H35" s="1407"/>
      <c r="I35" s="1407"/>
      <c r="J35" s="1407"/>
      <c r="K35" s="1407"/>
      <c r="L35" s="1407"/>
      <c r="M35" s="1407"/>
      <c r="N35" s="1407"/>
      <c r="O35" s="1407"/>
      <c r="P35" s="1"/>
      <c r="Q35" s="1405" t="s">
        <v>89</v>
      </c>
      <c r="R35" s="1403"/>
      <c r="S35" s="1408">
        <f ca="1">TODAY()</f>
        <v>46096</v>
      </c>
      <c r="T35" s="1408"/>
      <c r="U35" s="1408"/>
      <c r="V35" s="1408"/>
      <c r="W35" s="1409"/>
    </row>
    <row r="36" spans="1:29" ht="20.25" customHeight="1" x14ac:dyDescent="0.4">
      <c r="A36" s="1410" t="s">
        <v>88</v>
      </c>
      <c r="B36" s="1410"/>
      <c r="C36" s="1410"/>
      <c r="D36" s="1410"/>
      <c r="E36" s="1410"/>
      <c r="F36" s="1410"/>
      <c r="G36" s="1410"/>
      <c r="H36" s="1410"/>
      <c r="I36" s="1410"/>
      <c r="J36" s="1410"/>
      <c r="K36" s="1410"/>
      <c r="L36" s="1410"/>
      <c r="M36" s="1410"/>
      <c r="N36" s="1410"/>
      <c r="O36" s="14"/>
      <c r="P36" s="1"/>
      <c r="Q36" s="1405" t="s">
        <v>90</v>
      </c>
      <c r="R36" s="1403"/>
      <c r="S36" s="1408"/>
      <c r="T36" s="1408"/>
      <c r="U36" s="1408"/>
      <c r="V36" s="1408"/>
      <c r="W36" s="1409"/>
      <c r="AB36" s="6"/>
    </row>
    <row r="37" spans="1:29" ht="14.25" customHeight="1" x14ac:dyDescent="0.4">
      <c r="A37" s="1"/>
      <c r="B37" s="1"/>
      <c r="C37" s="1"/>
      <c r="D37" s="1" t="s">
        <v>0</v>
      </c>
      <c r="E37" s="1"/>
      <c r="F37" s="1"/>
      <c r="G37" s="1"/>
      <c r="H37" s="1"/>
      <c r="I37" s="1"/>
      <c r="J37" s="1"/>
      <c r="K37" s="1"/>
      <c r="L37" s="1"/>
      <c r="M37" s="1"/>
      <c r="N37" s="1"/>
      <c r="O37" s="1"/>
      <c r="P37" s="1"/>
      <c r="Q37" s="1"/>
      <c r="R37" s="1"/>
      <c r="S37" s="1"/>
      <c r="T37" s="1"/>
      <c r="U37" s="1"/>
      <c r="V37" s="1"/>
      <c r="W37" s="1"/>
    </row>
    <row r="38" spans="1:29" ht="19.5" thickBot="1" x14ac:dyDescent="0.45">
      <c r="A38" s="2" t="s">
        <v>1</v>
      </c>
      <c r="B38" s="1"/>
      <c r="C38" s="1"/>
      <c r="D38" s="1"/>
      <c r="E38" s="1"/>
      <c r="F38" s="1"/>
      <c r="G38" s="1"/>
      <c r="H38" s="1"/>
      <c r="I38" s="1"/>
      <c r="J38" s="1"/>
      <c r="K38" s="1"/>
      <c r="L38" s="1"/>
      <c r="M38" s="1"/>
      <c r="N38" s="1"/>
      <c r="O38" s="1"/>
      <c r="P38" s="1"/>
      <c r="Q38" s="1"/>
      <c r="R38" s="1"/>
      <c r="S38" s="1"/>
      <c r="T38" s="1"/>
      <c r="U38" s="1"/>
      <c r="V38" s="1"/>
      <c r="W38" s="1"/>
    </row>
    <row r="39" spans="1:29" ht="11.25" customHeight="1" x14ac:dyDescent="0.4">
      <c r="A39" s="1386" t="s">
        <v>11</v>
      </c>
      <c r="B39" s="1387"/>
      <c r="C39" s="1388"/>
      <c r="D39" s="1389" t="str">
        <f>PHONETIC('（最新）アセスメントシート'!D4)</f>
        <v/>
      </c>
      <c r="E39" s="1390"/>
      <c r="F39" s="1390"/>
      <c r="G39" s="1390"/>
      <c r="H39" s="1390"/>
      <c r="I39" s="1391"/>
      <c r="J39" s="1392" t="s">
        <v>2</v>
      </c>
      <c r="K39" s="1393"/>
      <c r="L39" s="1392">
        <f>'（最新）アセスメントシート'!R5</f>
        <v>0</v>
      </c>
      <c r="M39" s="1393"/>
      <c r="N39" s="1392" t="s">
        <v>3</v>
      </c>
      <c r="O39" s="1393"/>
      <c r="P39" s="1396">
        <f>'（最新）アセスメントシート'!X5</f>
        <v>0</v>
      </c>
      <c r="Q39" s="1397"/>
      <c r="R39" s="1397"/>
      <c r="S39" s="1397"/>
      <c r="T39" s="1397"/>
      <c r="U39" s="1397"/>
      <c r="V39" s="1397"/>
      <c r="W39" s="1398"/>
    </row>
    <row r="40" spans="1:29" ht="24.75" customHeight="1" x14ac:dyDescent="0.4">
      <c r="A40" s="1402" t="s">
        <v>12</v>
      </c>
      <c r="B40" s="1403"/>
      <c r="C40" s="1404"/>
      <c r="D40" s="1405">
        <f>'（最新）アセスメントシート'!D5</f>
        <v>0</v>
      </c>
      <c r="E40" s="1403"/>
      <c r="F40" s="1403"/>
      <c r="G40" s="1403"/>
      <c r="H40" s="1403"/>
      <c r="I40" s="1404"/>
      <c r="J40" s="1394"/>
      <c r="K40" s="1395"/>
      <c r="L40" s="1394"/>
      <c r="M40" s="1395"/>
      <c r="N40" s="1394"/>
      <c r="O40" s="1395"/>
      <c r="P40" s="1399"/>
      <c r="Q40" s="1400"/>
      <c r="R40" s="1400"/>
      <c r="S40" s="1400"/>
      <c r="T40" s="1400"/>
      <c r="U40" s="1400"/>
      <c r="V40" s="1400"/>
      <c r="W40" s="1401"/>
    </row>
    <row r="41" spans="1:29" x14ac:dyDescent="0.4">
      <c r="A41" s="1402" t="s">
        <v>4</v>
      </c>
      <c r="B41" s="1403"/>
      <c r="C41" s="1404"/>
      <c r="D41" s="1405">
        <f>'（最新）アセスメントシート'!D7</f>
        <v>0</v>
      </c>
      <c r="E41" s="1403"/>
      <c r="F41" s="1403"/>
      <c r="G41" s="1403"/>
      <c r="H41" s="1403"/>
      <c r="I41" s="1403"/>
      <c r="J41" s="1403"/>
      <c r="K41" s="1403"/>
      <c r="L41" s="1403"/>
      <c r="M41" s="1404"/>
      <c r="N41" s="1405" t="s">
        <v>5</v>
      </c>
      <c r="O41" s="1404"/>
      <c r="P41" s="1405"/>
      <c r="Q41" s="1403"/>
      <c r="R41" s="1403"/>
      <c r="S41" s="1403"/>
      <c r="T41" s="1403"/>
      <c r="U41" s="1403"/>
      <c r="V41" s="1403"/>
      <c r="W41" s="1411"/>
      <c r="AC41" s="13"/>
    </row>
    <row r="42" spans="1:29" ht="8.25" customHeight="1" x14ac:dyDescent="0.4">
      <c r="A42" s="1412" t="s">
        <v>6</v>
      </c>
      <c r="B42" s="1413"/>
      <c r="C42" s="1414"/>
      <c r="D42" s="1417">
        <f>'（最新）アセスメントシート'!C16</f>
        <v>0</v>
      </c>
      <c r="E42" s="1413"/>
      <c r="F42" s="1413"/>
      <c r="G42" s="1413"/>
      <c r="H42" s="1413"/>
      <c r="I42" s="1413"/>
      <c r="J42" s="1413"/>
      <c r="K42" s="1413"/>
      <c r="L42" s="1413"/>
      <c r="M42" s="1414"/>
      <c r="N42" s="1417" t="s">
        <v>7</v>
      </c>
      <c r="O42" s="1414"/>
      <c r="P42" s="1417">
        <f>'（最新）アセスメントシート'!I16</f>
        <v>0</v>
      </c>
      <c r="Q42" s="1414"/>
      <c r="R42" s="1417" t="s">
        <v>8</v>
      </c>
      <c r="S42" s="1413"/>
      <c r="T42" s="1414"/>
      <c r="U42" s="1417">
        <f>'（最新）アセスメントシート'!AA16</f>
        <v>0</v>
      </c>
      <c r="V42" s="1413"/>
      <c r="W42" s="1418"/>
      <c r="AC42" t="s">
        <v>13</v>
      </c>
    </row>
    <row r="43" spans="1:29" ht="9" customHeight="1" x14ac:dyDescent="0.4">
      <c r="A43" s="1415"/>
      <c r="B43" s="1416"/>
      <c r="C43" s="1395"/>
      <c r="D43" s="1394"/>
      <c r="E43" s="1416"/>
      <c r="F43" s="1416"/>
      <c r="G43" s="1416"/>
      <c r="H43" s="1416"/>
      <c r="I43" s="1416"/>
      <c r="J43" s="1416"/>
      <c r="K43" s="1416"/>
      <c r="L43" s="1416"/>
      <c r="M43" s="1395"/>
      <c r="N43" s="1394"/>
      <c r="O43" s="1395"/>
      <c r="P43" s="1394"/>
      <c r="Q43" s="1395"/>
      <c r="R43" s="1394"/>
      <c r="S43" s="1416"/>
      <c r="T43" s="1395"/>
      <c r="U43" s="1394"/>
      <c r="V43" s="1416"/>
      <c r="W43" s="1419"/>
    </row>
    <row r="44" spans="1:29" x14ac:dyDescent="0.4">
      <c r="A44" s="1402" t="s">
        <v>14</v>
      </c>
      <c r="B44" s="1403"/>
      <c r="C44" s="1404"/>
      <c r="D44" s="1405">
        <f>'（最新）アセスメントシート'!L16</f>
        <v>0</v>
      </c>
      <c r="E44" s="1403"/>
      <c r="F44" s="1403"/>
      <c r="G44" s="1403"/>
      <c r="H44" s="1403"/>
      <c r="I44" s="1403"/>
      <c r="J44" s="1403"/>
      <c r="K44" s="1403"/>
      <c r="L44" s="1403"/>
      <c r="M44" s="1404"/>
      <c r="N44" s="1405" t="s">
        <v>5</v>
      </c>
      <c r="O44" s="1404"/>
      <c r="P44" s="1405">
        <f>'（最新）アセスメントシート'!Z16</f>
        <v>0</v>
      </c>
      <c r="Q44" s="1403"/>
      <c r="R44" s="1403"/>
      <c r="S44" s="1403"/>
      <c r="T44" s="1403"/>
      <c r="U44" s="1403"/>
      <c r="V44" s="1403"/>
      <c r="W44" s="1411"/>
    </row>
    <row r="45" spans="1:29" ht="15" customHeight="1" x14ac:dyDescent="0.4">
      <c r="A45" s="1402" t="s">
        <v>9</v>
      </c>
      <c r="B45" s="1403"/>
      <c r="C45" s="1404"/>
      <c r="D45" s="1405">
        <f>'（最新）アセスメントシート'!F21</f>
        <v>0</v>
      </c>
      <c r="E45" s="1403"/>
      <c r="F45" s="1403"/>
      <c r="G45" s="1403"/>
      <c r="H45" s="1403"/>
      <c r="I45" s="1403"/>
      <c r="J45" s="1403"/>
      <c r="K45" s="1403">
        <f>'（最新）アセスメントシート'!I21</f>
        <v>0</v>
      </c>
      <c r="L45" s="1403"/>
      <c r="M45" s="1403"/>
      <c r="N45" s="1403"/>
      <c r="O45" s="1403"/>
      <c r="P45" s="1403"/>
      <c r="Q45" s="3"/>
      <c r="R45" s="3"/>
      <c r="S45" s="3"/>
      <c r="T45" s="3"/>
      <c r="U45" s="3"/>
      <c r="V45" s="3"/>
      <c r="W45" s="5"/>
    </row>
    <row r="46" spans="1:29" ht="69" customHeight="1" thickBot="1" x14ac:dyDescent="0.45">
      <c r="A46" s="1420" t="s">
        <v>10</v>
      </c>
      <c r="B46" s="1421"/>
      <c r="C46" s="1422"/>
      <c r="D46" s="1491"/>
      <c r="E46" s="1492"/>
      <c r="F46" s="1492"/>
      <c r="G46" s="1492"/>
      <c r="H46" s="1426" t="s">
        <v>42</v>
      </c>
      <c r="I46" s="1421"/>
      <c r="J46" s="1422"/>
      <c r="K46" s="1493"/>
      <c r="L46" s="1493"/>
      <c r="M46" s="1493"/>
      <c r="N46" s="1493"/>
      <c r="O46" s="1493"/>
      <c r="P46" s="1493"/>
      <c r="Q46" s="1493"/>
      <c r="R46" s="1493"/>
      <c r="S46" s="1493"/>
      <c r="T46" s="1493"/>
      <c r="U46" s="1493"/>
      <c r="V46" s="1493"/>
      <c r="W46" s="1494"/>
    </row>
    <row r="47" spans="1:29" ht="19.5" thickBot="1" x14ac:dyDescent="0.45">
      <c r="A47" s="2" t="s">
        <v>15</v>
      </c>
      <c r="B47" s="1"/>
      <c r="C47" s="1"/>
      <c r="D47" s="1"/>
      <c r="E47" s="1"/>
      <c r="F47" s="1"/>
      <c r="G47" s="1"/>
      <c r="H47" s="1"/>
      <c r="I47" s="1"/>
      <c r="J47" s="1"/>
      <c r="K47" s="1"/>
      <c r="L47" s="1"/>
      <c r="M47" s="1"/>
      <c r="N47" s="1"/>
      <c r="O47" s="1"/>
      <c r="P47" s="1"/>
      <c r="Q47" s="1"/>
      <c r="R47" s="1"/>
      <c r="S47" s="1"/>
      <c r="T47" s="1"/>
      <c r="U47" s="1"/>
      <c r="V47" s="1"/>
      <c r="W47" s="1"/>
    </row>
    <row r="48" spans="1:29" ht="13.5" customHeight="1" x14ac:dyDescent="0.4">
      <c r="A48" s="1430" t="s">
        <v>16</v>
      </c>
      <c r="B48" s="1390"/>
      <c r="C48" s="1390"/>
      <c r="D48" s="1390"/>
      <c r="E48" s="1390"/>
      <c r="F48" s="1390"/>
      <c r="G48" s="1390"/>
      <c r="H48" s="1390"/>
      <c r="I48" s="1391"/>
      <c r="J48" s="1389" t="s">
        <v>44</v>
      </c>
      <c r="K48" s="1390"/>
      <c r="L48" s="1390"/>
      <c r="M48" s="1390"/>
      <c r="N48" s="1390"/>
      <c r="O48" s="1390"/>
      <c r="P48" s="1390"/>
      <c r="Q48" s="1390"/>
      <c r="R48" s="1390"/>
      <c r="S48" s="1391"/>
      <c r="T48" s="1389" t="s">
        <v>17</v>
      </c>
      <c r="U48" s="1390"/>
      <c r="V48" s="1390"/>
      <c r="W48" s="1431"/>
    </row>
    <row r="49" spans="1:23" ht="13.5" customHeight="1" x14ac:dyDescent="0.4">
      <c r="A49" s="1402">
        <f>'（最新）アセスメントシート'!J10</f>
        <v>0</v>
      </c>
      <c r="B49" s="1403"/>
      <c r="C49" s="1403"/>
      <c r="D49" s="1403"/>
      <c r="E49" s="1403"/>
      <c r="F49" s="1403"/>
      <c r="G49" s="1403"/>
      <c r="H49" s="1403"/>
      <c r="I49" s="1404"/>
      <c r="J49" s="1437">
        <f>'（最新）アセスメントシート'!V10</f>
        <v>0</v>
      </c>
      <c r="K49" s="1438"/>
      <c r="L49" s="1438"/>
      <c r="M49" s="1438"/>
      <c r="N49" s="1438"/>
      <c r="O49" s="8" t="s">
        <v>43</v>
      </c>
      <c r="P49" s="1439">
        <f>'（最新）アセスメントシート'!AC10</f>
        <v>0</v>
      </c>
      <c r="Q49" s="1439"/>
      <c r="R49" s="1439"/>
      <c r="S49" s="1440"/>
      <c r="T49" s="1405">
        <f>'（最新）アセスメントシート'!E10</f>
        <v>0</v>
      </c>
      <c r="U49" s="1403"/>
      <c r="V49" s="1403"/>
      <c r="W49" s="1411"/>
    </row>
    <row r="50" spans="1:23" ht="13.5" customHeight="1" x14ac:dyDescent="0.4">
      <c r="A50" s="1441" t="s">
        <v>39</v>
      </c>
      <c r="B50" s="1442"/>
      <c r="C50" s="1442"/>
      <c r="D50" s="1443"/>
      <c r="E50" s="1497" t="s">
        <v>1058</v>
      </c>
      <c r="F50" s="1498"/>
      <c r="G50" s="1498"/>
      <c r="H50" s="1498"/>
      <c r="I50" s="1498"/>
      <c r="J50" s="1498"/>
      <c r="K50" s="1498"/>
      <c r="L50" s="1498"/>
      <c r="M50" s="1498"/>
      <c r="N50" s="1498"/>
      <c r="O50" s="1498"/>
      <c r="P50" s="1498"/>
      <c r="Q50" s="1498"/>
      <c r="R50" s="1498"/>
      <c r="S50" s="1498"/>
      <c r="T50" s="1498"/>
      <c r="U50" s="1498"/>
      <c r="V50" s="1498"/>
      <c r="W50" s="1499"/>
    </row>
    <row r="51" spans="1:23" ht="13.5" customHeight="1" x14ac:dyDescent="0.4">
      <c r="A51" s="1444"/>
      <c r="B51" s="1445"/>
      <c r="C51" s="1445"/>
      <c r="D51" s="1446"/>
      <c r="E51" s="1500" t="s">
        <v>1059</v>
      </c>
      <c r="F51" s="1501"/>
      <c r="G51" s="1501"/>
      <c r="H51" s="1501"/>
      <c r="I51" s="1501"/>
      <c r="J51" s="1501"/>
      <c r="K51" s="1501"/>
      <c r="L51" s="1501"/>
      <c r="M51" s="1501"/>
      <c r="N51" s="1501"/>
      <c r="O51" s="1501"/>
      <c r="P51" s="1501"/>
      <c r="Q51" s="1501"/>
      <c r="R51" s="1501"/>
      <c r="S51" s="1501"/>
      <c r="T51" s="1501"/>
      <c r="U51" s="1501"/>
      <c r="V51" s="1501"/>
      <c r="W51" s="1502"/>
    </row>
    <row r="52" spans="1:23" ht="19.5" thickBot="1" x14ac:dyDescent="0.45">
      <c r="A52" s="1420" t="s">
        <v>18</v>
      </c>
      <c r="B52" s="1421"/>
      <c r="C52" s="1421"/>
      <c r="D52" s="1422"/>
      <c r="E52" s="173" t="s">
        <v>424</v>
      </c>
      <c r="F52" s="174">
        <f>'[2]（最新）アセスメントシート'!R13</f>
        <v>0</v>
      </c>
      <c r="G52" s="1432" t="s">
        <v>425</v>
      </c>
      <c r="H52" s="1432"/>
      <c r="I52" s="1433"/>
      <c r="J52" s="1433"/>
      <c r="K52" s="1433"/>
      <c r="L52" s="1433"/>
      <c r="M52" s="1433"/>
      <c r="N52" s="174" t="s">
        <v>427</v>
      </c>
      <c r="O52" s="174"/>
      <c r="P52" s="174">
        <f>'[2]（最新）アセスメントシート'!M13</f>
        <v>0</v>
      </c>
      <c r="Q52" s="1421"/>
      <c r="R52" s="1421"/>
      <c r="S52" s="1432" t="s">
        <v>479</v>
      </c>
      <c r="T52" s="1432"/>
      <c r="U52" s="1432"/>
      <c r="V52" s="152">
        <f>'[2]（最新）アセスメントシート'!V13</f>
        <v>0</v>
      </c>
      <c r="W52" s="175" t="s">
        <v>426</v>
      </c>
    </row>
    <row r="53" spans="1:23" s="4" customFormat="1" thickBot="1" x14ac:dyDescent="0.45">
      <c r="A53" s="2" t="s">
        <v>19</v>
      </c>
      <c r="B53" s="2"/>
      <c r="C53" s="2"/>
      <c r="D53" s="2"/>
      <c r="E53" s="2"/>
      <c r="F53" s="2"/>
      <c r="G53" s="2"/>
      <c r="H53" s="2"/>
      <c r="I53" s="2"/>
      <c r="J53" s="2"/>
      <c r="K53" s="2"/>
      <c r="L53" s="2"/>
      <c r="M53" s="2"/>
      <c r="N53" s="2"/>
      <c r="O53" s="2"/>
      <c r="P53" s="2"/>
      <c r="Q53" s="2"/>
      <c r="R53" s="2"/>
      <c r="S53" s="2"/>
      <c r="T53" s="2"/>
      <c r="U53" s="2"/>
      <c r="V53" s="2"/>
      <c r="W53" s="2"/>
    </row>
    <row r="54" spans="1:23" ht="15" customHeight="1" x14ac:dyDescent="0.4">
      <c r="A54" s="1495" t="s">
        <v>20</v>
      </c>
      <c r="B54" s="1496"/>
      <c r="C54" s="1496"/>
      <c r="D54" s="1496"/>
      <c r="E54" s="1496"/>
      <c r="F54" s="1496"/>
      <c r="G54" s="1496"/>
      <c r="H54" s="1496"/>
      <c r="I54" s="1389"/>
      <c r="J54" s="1390"/>
      <c r="K54" s="1390"/>
      <c r="L54" s="1390"/>
      <c r="M54" s="1390"/>
      <c r="N54" s="1390"/>
      <c r="O54" s="1390"/>
      <c r="P54" s="1390"/>
      <c r="Q54" s="1390"/>
      <c r="R54" s="1390"/>
      <c r="S54" s="1390"/>
      <c r="T54" s="1390"/>
      <c r="U54" s="1390"/>
      <c r="V54" s="1390"/>
      <c r="W54" s="1431"/>
    </row>
    <row r="55" spans="1:23" ht="15" customHeight="1" x14ac:dyDescent="0.4">
      <c r="A55" s="1503" t="s">
        <v>21</v>
      </c>
      <c r="B55" s="1504"/>
      <c r="C55" s="1504"/>
      <c r="D55" s="1504"/>
      <c r="E55" s="1504"/>
      <c r="F55" s="1504"/>
      <c r="G55" s="1504"/>
      <c r="H55" s="1504"/>
      <c r="I55" s="1405"/>
      <c r="J55" s="1403"/>
      <c r="K55" s="1403"/>
      <c r="L55" s="1403"/>
      <c r="M55" s="1403"/>
      <c r="N55" s="1403"/>
      <c r="O55" s="1403"/>
      <c r="P55" s="1403"/>
      <c r="Q55" s="1403"/>
      <c r="R55" s="1403"/>
      <c r="S55" s="1403"/>
      <c r="T55" s="1403"/>
      <c r="U55" s="1403"/>
      <c r="V55" s="1403"/>
      <c r="W55" s="1411"/>
    </row>
    <row r="56" spans="1:23" ht="15" customHeight="1" x14ac:dyDescent="0.4">
      <c r="A56" s="1505" t="s">
        <v>22</v>
      </c>
      <c r="B56" s="1506"/>
      <c r="C56" s="1506"/>
      <c r="D56" s="1506"/>
      <c r="E56" s="1506"/>
      <c r="F56" s="1506"/>
      <c r="G56" s="1506"/>
      <c r="H56" s="1506"/>
      <c r="I56" s="1405"/>
      <c r="J56" s="1403"/>
      <c r="K56" s="1403"/>
      <c r="L56" s="1403"/>
      <c r="M56" s="1403"/>
      <c r="N56" s="1403"/>
      <c r="O56" s="1403"/>
      <c r="P56" s="1403"/>
      <c r="Q56" s="1403"/>
      <c r="R56" s="1403"/>
      <c r="S56" s="1403"/>
      <c r="T56" s="1403"/>
      <c r="U56" s="1403"/>
      <c r="V56" s="1403"/>
      <c r="W56" s="1411"/>
    </row>
    <row r="57" spans="1:23" ht="15" customHeight="1" x14ac:dyDescent="0.4">
      <c r="A57" s="1412" t="s">
        <v>23</v>
      </c>
      <c r="B57" s="1413"/>
      <c r="C57" s="1413"/>
      <c r="D57" s="1413"/>
      <c r="E57" s="1413"/>
      <c r="F57" s="1413"/>
      <c r="G57" s="1413"/>
      <c r="H57" s="1414"/>
      <c r="I57" s="1405"/>
      <c r="J57" s="1403"/>
      <c r="K57" s="1403"/>
      <c r="L57" s="1403"/>
      <c r="M57" s="1403"/>
      <c r="N57" s="1460"/>
      <c r="O57" s="1403"/>
      <c r="P57" s="1403"/>
      <c r="Q57" s="1403"/>
      <c r="R57" s="1403"/>
      <c r="S57" s="1460"/>
      <c r="T57" s="1403"/>
      <c r="U57" s="1403"/>
      <c r="V57" s="1403"/>
      <c r="W57" s="1411"/>
    </row>
    <row r="58" spans="1:23" ht="15" customHeight="1" x14ac:dyDescent="0.4">
      <c r="A58" s="1415"/>
      <c r="B58" s="1416"/>
      <c r="C58" s="1416"/>
      <c r="D58" s="1416"/>
      <c r="E58" s="1416"/>
      <c r="F58" s="1416"/>
      <c r="G58" s="1416"/>
      <c r="H58" s="1395"/>
      <c r="I58" s="1405"/>
      <c r="J58" s="1403"/>
      <c r="K58" s="1403"/>
      <c r="L58" s="1403"/>
      <c r="M58" s="1403"/>
      <c r="N58" s="1460"/>
      <c r="O58" s="1403"/>
      <c r="P58" s="1403"/>
      <c r="Q58" s="1403"/>
      <c r="R58" s="1403"/>
      <c r="S58" s="1460"/>
      <c r="T58" s="1403"/>
      <c r="U58" s="1403"/>
      <c r="V58" s="1403"/>
      <c r="W58" s="1411"/>
    </row>
    <row r="59" spans="1:23" ht="15" customHeight="1" x14ac:dyDescent="0.4">
      <c r="A59" s="1505" t="s">
        <v>24</v>
      </c>
      <c r="B59" s="1506"/>
      <c r="C59" s="1506"/>
      <c r="D59" s="1506"/>
      <c r="E59" s="1506"/>
      <c r="F59" s="1506"/>
      <c r="G59" s="1506"/>
      <c r="H59" s="1506"/>
      <c r="I59" s="1405"/>
      <c r="J59" s="1403"/>
      <c r="K59" s="1403"/>
      <c r="L59" s="1403"/>
      <c r="M59" s="1403"/>
      <c r="N59" s="1404"/>
      <c r="O59" s="1417" t="s">
        <v>25</v>
      </c>
      <c r="P59" s="1413"/>
      <c r="Q59" s="1414"/>
      <c r="R59" s="1405" t="s">
        <v>890</v>
      </c>
      <c r="S59" s="1403"/>
      <c r="T59" s="1403"/>
      <c r="U59" s="1403"/>
      <c r="V59" s="1403"/>
      <c r="W59" s="1411"/>
    </row>
    <row r="60" spans="1:23" ht="15" customHeight="1" x14ac:dyDescent="0.4">
      <c r="A60" s="1467" t="s">
        <v>26</v>
      </c>
      <c r="B60" s="1417" t="s">
        <v>27</v>
      </c>
      <c r="C60" s="1413"/>
      <c r="D60" s="1413"/>
      <c r="E60" s="1414"/>
      <c r="F60" s="1470" t="s">
        <v>27</v>
      </c>
      <c r="G60" s="1454"/>
      <c r="H60" s="1455"/>
      <c r="I60" s="1463"/>
      <c r="J60" s="1464"/>
      <c r="K60" s="1464"/>
      <c r="L60" s="1464"/>
      <c r="M60" s="1464"/>
      <c r="N60" s="1464"/>
      <c r="O60" s="1464"/>
      <c r="P60" s="1464"/>
      <c r="Q60" s="1464"/>
      <c r="R60" s="1464"/>
      <c r="S60" s="1464"/>
      <c r="T60" s="1464"/>
      <c r="U60" s="1464"/>
      <c r="V60" s="1464"/>
      <c r="W60" s="1465"/>
    </row>
    <row r="61" spans="1:23" ht="15" customHeight="1" x14ac:dyDescent="0.4">
      <c r="A61" s="1468"/>
      <c r="B61" s="1394"/>
      <c r="C61" s="1416"/>
      <c r="D61" s="1416"/>
      <c r="E61" s="1395"/>
      <c r="F61" s="1470" t="s">
        <v>28</v>
      </c>
      <c r="G61" s="1454"/>
      <c r="H61" s="1455"/>
      <c r="I61" s="1463" t="s">
        <v>45</v>
      </c>
      <c r="J61" s="1464"/>
      <c r="K61" s="1464"/>
      <c r="L61" s="1464"/>
      <c r="M61" s="1464"/>
      <c r="N61" s="1464" t="s">
        <v>46</v>
      </c>
      <c r="O61" s="1464"/>
      <c r="P61" s="1464"/>
      <c r="Q61" s="1464"/>
      <c r="R61" s="1464"/>
      <c r="S61" s="1464" t="s">
        <v>1062</v>
      </c>
      <c r="T61" s="1464"/>
      <c r="U61" s="1464"/>
      <c r="V61" s="1464"/>
      <c r="W61" s="1465"/>
    </row>
    <row r="62" spans="1:23" ht="15" customHeight="1" x14ac:dyDescent="0.4">
      <c r="A62" s="1468"/>
      <c r="B62" s="1417" t="s">
        <v>40</v>
      </c>
      <c r="C62" s="1414"/>
      <c r="D62" s="1405" t="s">
        <v>1060</v>
      </c>
      <c r="E62" s="1403"/>
      <c r="F62" s="1403"/>
      <c r="G62" s="1403"/>
      <c r="H62" s="1404"/>
      <c r="I62" s="1463"/>
      <c r="J62" s="1464"/>
      <c r="K62" s="1464"/>
      <c r="L62" s="1464"/>
      <c r="M62" s="1464"/>
      <c r="N62" s="1464"/>
      <c r="O62" s="1464"/>
      <c r="P62" s="1464"/>
      <c r="Q62" s="1464"/>
      <c r="R62" s="1464"/>
      <c r="S62" s="1464"/>
      <c r="T62" s="1464"/>
      <c r="U62" s="1464"/>
      <c r="V62" s="1464"/>
      <c r="W62" s="1465"/>
    </row>
    <row r="63" spans="1:23" ht="15" customHeight="1" x14ac:dyDescent="0.4">
      <c r="A63" s="1468"/>
      <c r="B63" s="1471"/>
      <c r="C63" s="1472"/>
      <c r="D63" s="1471" t="s">
        <v>50</v>
      </c>
      <c r="E63" s="1472"/>
      <c r="F63" s="1507" t="s">
        <v>29</v>
      </c>
      <c r="G63" s="1508"/>
      <c r="H63" s="1509"/>
      <c r="I63" s="1463"/>
      <c r="J63" s="1464"/>
      <c r="K63" s="1464"/>
      <c r="L63" s="1464"/>
      <c r="M63" s="1464"/>
      <c r="N63" s="1464"/>
      <c r="O63" s="1464"/>
      <c r="P63" s="1464"/>
      <c r="Q63" s="1464"/>
      <c r="R63" s="1464"/>
      <c r="S63" s="1464"/>
      <c r="T63" s="1464"/>
      <c r="U63" s="1464"/>
      <c r="V63" s="1464"/>
      <c r="W63" s="1465"/>
    </row>
    <row r="64" spans="1:23" ht="15" customHeight="1" x14ac:dyDescent="0.4">
      <c r="A64" s="1468"/>
      <c r="B64" s="1471"/>
      <c r="C64" s="1472"/>
      <c r="D64" s="1394"/>
      <c r="E64" s="1395"/>
      <c r="F64" s="1470" t="s">
        <v>30</v>
      </c>
      <c r="G64" s="1454"/>
      <c r="H64" s="1455"/>
      <c r="I64" s="1463" t="s">
        <v>47</v>
      </c>
      <c r="J64" s="1464"/>
      <c r="K64" s="1464"/>
      <c r="L64" s="1464"/>
      <c r="M64" s="1464"/>
      <c r="N64" s="1464"/>
      <c r="O64" s="1464"/>
      <c r="P64" s="1464" t="s">
        <v>48</v>
      </c>
      <c r="Q64" s="1464"/>
      <c r="R64" s="1464"/>
      <c r="S64" s="1464"/>
      <c r="T64" s="1464"/>
      <c r="U64" s="1464"/>
      <c r="V64" s="1464"/>
      <c r="W64" s="1465"/>
    </row>
    <row r="65" spans="1:23" ht="15" customHeight="1" x14ac:dyDescent="0.4">
      <c r="A65" s="1468"/>
      <c r="B65" s="1471"/>
      <c r="C65" s="1472"/>
      <c r="D65" s="1471" t="s">
        <v>51</v>
      </c>
      <c r="E65" s="1406"/>
      <c r="F65" s="1470" t="s">
        <v>29</v>
      </c>
      <c r="G65" s="1454"/>
      <c r="H65" s="1455"/>
      <c r="I65" s="1463"/>
      <c r="J65" s="1464"/>
      <c r="K65" s="1464"/>
      <c r="L65" s="1464"/>
      <c r="M65" s="1464"/>
      <c r="N65" s="1464"/>
      <c r="O65" s="1464"/>
      <c r="P65" s="1464"/>
      <c r="Q65" s="1464"/>
      <c r="R65" s="1464"/>
      <c r="S65" s="1464"/>
      <c r="T65" s="1464"/>
      <c r="U65" s="1464"/>
      <c r="V65" s="1464"/>
      <c r="W65" s="1465"/>
    </row>
    <row r="66" spans="1:23" ht="15" customHeight="1" x14ac:dyDescent="0.4">
      <c r="A66" s="1468"/>
      <c r="B66" s="1394"/>
      <c r="C66" s="1395"/>
      <c r="D66" s="1394"/>
      <c r="E66" s="1416"/>
      <c r="F66" s="1470" t="s">
        <v>30</v>
      </c>
      <c r="G66" s="1454"/>
      <c r="H66" s="1455"/>
      <c r="I66" s="1463" t="s">
        <v>47</v>
      </c>
      <c r="J66" s="1464"/>
      <c r="K66" s="1464"/>
      <c r="L66" s="1464"/>
      <c r="M66" s="1464"/>
      <c r="N66" s="1464"/>
      <c r="O66" s="1464"/>
      <c r="P66" s="1464" t="s">
        <v>48</v>
      </c>
      <c r="Q66" s="1464"/>
      <c r="R66" s="1464"/>
      <c r="S66" s="1464"/>
      <c r="T66" s="1464"/>
      <c r="U66" s="1464"/>
      <c r="V66" s="1464"/>
      <c r="W66" s="1465"/>
    </row>
    <row r="67" spans="1:23" ht="15" customHeight="1" x14ac:dyDescent="0.4">
      <c r="A67" s="1468"/>
      <c r="B67" s="1506" t="s">
        <v>31</v>
      </c>
      <c r="C67" s="1506"/>
      <c r="D67" s="1506"/>
      <c r="E67" s="1405"/>
      <c r="F67" s="1470" t="s">
        <v>32</v>
      </c>
      <c r="G67" s="1454"/>
      <c r="H67" s="1455"/>
      <c r="I67" s="1463"/>
      <c r="J67" s="1464"/>
      <c r="K67" s="1464"/>
      <c r="L67" s="1464"/>
      <c r="M67" s="1464"/>
      <c r="N67" s="1464"/>
      <c r="O67" s="1464"/>
      <c r="P67" s="1464"/>
      <c r="Q67" s="1464"/>
      <c r="R67" s="1464"/>
      <c r="S67" s="1464"/>
      <c r="T67" s="1464"/>
      <c r="U67" s="1464"/>
      <c r="V67" s="1464"/>
      <c r="W67" s="1465"/>
    </row>
    <row r="68" spans="1:23" ht="15" customHeight="1" x14ac:dyDescent="0.4">
      <c r="A68" s="1468"/>
      <c r="B68" s="1506"/>
      <c r="C68" s="1506"/>
      <c r="D68" s="1506"/>
      <c r="E68" s="1405"/>
      <c r="F68" s="1488" t="s">
        <v>33</v>
      </c>
      <c r="G68" s="1489"/>
      <c r="H68" s="1490"/>
      <c r="I68" s="1463"/>
      <c r="J68" s="1464"/>
      <c r="K68" s="1464"/>
      <c r="L68" s="1464"/>
      <c r="M68" s="1464"/>
      <c r="N68" s="1464"/>
      <c r="O68" s="1464"/>
      <c r="P68" s="1464"/>
      <c r="Q68" s="1464"/>
      <c r="R68" s="1464"/>
      <c r="S68" s="1464"/>
      <c r="T68" s="1464"/>
      <c r="U68" s="1464"/>
      <c r="V68" s="1464"/>
      <c r="W68" s="1465"/>
    </row>
    <row r="69" spans="1:23" ht="15" customHeight="1" x14ac:dyDescent="0.4">
      <c r="A69" s="1468"/>
      <c r="B69" s="1506" t="s">
        <v>34</v>
      </c>
      <c r="C69" s="1506"/>
      <c r="D69" s="1506"/>
      <c r="E69" s="1405"/>
      <c r="F69" s="1470" t="s">
        <v>1060</v>
      </c>
      <c r="G69" s="1454"/>
      <c r="H69" s="1455"/>
      <c r="I69" s="1463"/>
      <c r="J69" s="1464"/>
      <c r="K69" s="1464"/>
      <c r="L69" s="1464"/>
      <c r="M69" s="1464"/>
      <c r="N69" s="1464"/>
      <c r="O69" s="1464"/>
      <c r="P69" s="1464"/>
      <c r="Q69" s="1464"/>
      <c r="R69" s="1464"/>
      <c r="S69" s="1464"/>
      <c r="T69" s="1464"/>
      <c r="U69" s="1464"/>
      <c r="V69" s="1464"/>
      <c r="W69" s="1465"/>
    </row>
    <row r="70" spans="1:23" ht="15" customHeight="1" x14ac:dyDescent="0.4">
      <c r="A70" s="1468"/>
      <c r="B70" s="1506"/>
      <c r="C70" s="1506"/>
      <c r="D70" s="1506"/>
      <c r="E70" s="1405"/>
      <c r="F70" s="1470" t="s">
        <v>35</v>
      </c>
      <c r="G70" s="1454"/>
      <c r="H70" s="1455"/>
      <c r="I70" s="1463"/>
      <c r="J70" s="1464"/>
      <c r="K70" s="1464"/>
      <c r="L70" s="1464"/>
      <c r="M70" s="1464"/>
      <c r="N70" s="1464"/>
      <c r="O70" s="1464"/>
      <c r="P70" s="1464"/>
      <c r="Q70" s="1464"/>
      <c r="R70" s="1464"/>
      <c r="S70" s="1464"/>
      <c r="T70" s="1464"/>
      <c r="U70" s="1464"/>
      <c r="V70" s="1464"/>
      <c r="W70" s="1465"/>
    </row>
    <row r="71" spans="1:23" ht="15" customHeight="1" x14ac:dyDescent="0.4">
      <c r="A71" s="1468"/>
      <c r="B71" s="1506"/>
      <c r="C71" s="1506"/>
      <c r="D71" s="1506"/>
      <c r="E71" s="1405"/>
      <c r="F71" s="1470" t="s">
        <v>36</v>
      </c>
      <c r="G71" s="1454"/>
      <c r="H71" s="1455"/>
      <c r="I71" s="1463"/>
      <c r="J71" s="1464"/>
      <c r="K71" s="1464"/>
      <c r="L71" s="1464"/>
      <c r="M71" s="1464"/>
      <c r="N71" s="1464"/>
      <c r="O71" s="1464"/>
      <c r="P71" s="1464"/>
      <c r="Q71" s="1464"/>
      <c r="R71" s="1464"/>
      <c r="S71" s="1464"/>
      <c r="T71" s="1464"/>
      <c r="U71" s="1464"/>
      <c r="V71" s="1464"/>
      <c r="W71" s="1465"/>
    </row>
    <row r="72" spans="1:23" ht="18.75" customHeight="1" x14ac:dyDescent="0.4">
      <c r="A72" s="1468"/>
      <c r="B72" s="1417" t="s">
        <v>37</v>
      </c>
      <c r="C72" s="1413"/>
      <c r="D72" s="1413"/>
      <c r="E72" s="1413"/>
      <c r="F72" s="1413"/>
      <c r="G72" s="1413"/>
      <c r="H72" s="1414"/>
      <c r="I72" s="1510"/>
      <c r="J72" s="1511"/>
      <c r="K72" s="1511"/>
      <c r="L72" s="1511"/>
      <c r="M72" s="1511"/>
      <c r="N72" s="1511"/>
      <c r="O72" s="1511"/>
      <c r="P72" s="1511"/>
      <c r="Q72" s="1511"/>
      <c r="R72" s="1511"/>
      <c r="S72" s="1511"/>
      <c r="T72" s="1511"/>
      <c r="U72" s="1511"/>
      <c r="V72" s="1511"/>
      <c r="W72" s="1512"/>
    </row>
    <row r="73" spans="1:23" ht="18.75" customHeight="1" x14ac:dyDescent="0.4">
      <c r="A73" s="1468"/>
      <c r="B73" s="1394"/>
      <c r="C73" s="1416"/>
      <c r="D73" s="1416"/>
      <c r="E73" s="1416"/>
      <c r="F73" s="1416"/>
      <c r="G73" s="1416"/>
      <c r="H73" s="1395"/>
      <c r="I73" s="1513"/>
      <c r="J73" s="1514"/>
      <c r="K73" s="1514"/>
      <c r="L73" s="1514"/>
      <c r="M73" s="1514"/>
      <c r="N73" s="1514"/>
      <c r="O73" s="1514"/>
      <c r="P73" s="1514"/>
      <c r="Q73" s="1514"/>
      <c r="R73" s="1514"/>
      <c r="S73" s="1514"/>
      <c r="T73" s="1514"/>
      <c r="U73" s="1514"/>
      <c r="V73" s="1514"/>
      <c r="W73" s="1515"/>
    </row>
    <row r="74" spans="1:23" ht="18.75" customHeight="1" x14ac:dyDescent="0.4">
      <c r="A74" s="1468"/>
      <c r="B74" s="1417" t="s">
        <v>38</v>
      </c>
      <c r="C74" s="1413"/>
      <c r="D74" s="1413"/>
      <c r="E74" s="1413"/>
      <c r="F74" s="1413"/>
      <c r="G74" s="1413"/>
      <c r="H74" s="1414"/>
      <c r="I74" s="1510"/>
      <c r="J74" s="1511"/>
      <c r="K74" s="1511"/>
      <c r="L74" s="1511"/>
      <c r="M74" s="1511"/>
      <c r="N74" s="1511"/>
      <c r="O74" s="1511"/>
      <c r="P74" s="1511"/>
      <c r="Q74" s="1511"/>
      <c r="R74" s="1511"/>
      <c r="S74" s="1511"/>
      <c r="T74" s="1511"/>
      <c r="U74" s="1511"/>
      <c r="V74" s="1511"/>
      <c r="W74" s="1512"/>
    </row>
    <row r="75" spans="1:23" ht="18.75" customHeight="1" thickBot="1" x14ac:dyDescent="0.45">
      <c r="A75" s="1469"/>
      <c r="B75" s="1479"/>
      <c r="C75" s="1480"/>
      <c r="D75" s="1480"/>
      <c r="E75" s="1480"/>
      <c r="F75" s="1480"/>
      <c r="G75" s="1480"/>
      <c r="H75" s="1481"/>
      <c r="I75" s="1516"/>
      <c r="J75" s="1517"/>
      <c r="K75" s="1517"/>
      <c r="L75" s="1517"/>
      <c r="M75" s="1517"/>
      <c r="N75" s="1517"/>
      <c r="O75" s="1517"/>
      <c r="P75" s="1517"/>
      <c r="Q75" s="1517"/>
      <c r="R75" s="1517"/>
      <c r="S75" s="1517"/>
      <c r="T75" s="1517"/>
      <c r="U75" s="1517"/>
      <c r="V75" s="1517"/>
      <c r="W75" s="1518"/>
    </row>
    <row r="76" spans="1:23" ht="15.95" customHeight="1" x14ac:dyDescent="0.4"/>
    <row r="79" spans="1:23" ht="18.75" customHeight="1" x14ac:dyDescent="0.4"/>
    <row r="80" spans="1:23" ht="18.75" customHeight="1" x14ac:dyDescent="0.4"/>
    <row r="92" customFormat="1" ht="22.5" customHeight="1" x14ac:dyDescent="0.4"/>
    <row r="110" customFormat="1" ht="29.25" customHeight="1" x14ac:dyDescent="0.4"/>
    <row r="111" customFormat="1" ht="29.25" customHeight="1" x14ac:dyDescent="0.4"/>
    <row r="113" spans="2:22" x14ac:dyDescent="0.4">
      <c r="B113" s="10"/>
      <c r="C113" s="10"/>
      <c r="D113" s="10"/>
      <c r="E113" s="10"/>
      <c r="F113" s="10"/>
      <c r="G113" s="10"/>
      <c r="H113" s="10"/>
      <c r="I113" s="10"/>
      <c r="J113" s="10"/>
      <c r="K113" s="10"/>
      <c r="L113" s="10"/>
      <c r="M113" s="10"/>
      <c r="N113" s="10"/>
      <c r="O113" s="10"/>
      <c r="P113" s="10"/>
      <c r="Q113" s="10"/>
      <c r="R113" s="10"/>
      <c r="S113" s="10"/>
      <c r="T113" s="10"/>
      <c r="U113" s="10"/>
      <c r="V113" s="10"/>
    </row>
  </sheetData>
  <mergeCells count="132">
    <mergeCell ref="F71:H71"/>
    <mergeCell ref="I71:W71"/>
    <mergeCell ref="B72:H73"/>
    <mergeCell ref="I72:W73"/>
    <mergeCell ref="B74:H75"/>
    <mergeCell ref="I74:W75"/>
    <mergeCell ref="B67:E68"/>
    <mergeCell ref="F67:H67"/>
    <mergeCell ref="I67:W67"/>
    <mergeCell ref="F68:H68"/>
    <mergeCell ref="I68:W68"/>
    <mergeCell ref="B69:E71"/>
    <mergeCell ref="F69:H69"/>
    <mergeCell ref="I69:W69"/>
    <mergeCell ref="F70:H70"/>
    <mergeCell ref="I70:W70"/>
    <mergeCell ref="K64:O64"/>
    <mergeCell ref="P64:R64"/>
    <mergeCell ref="S64:W64"/>
    <mergeCell ref="D65:E66"/>
    <mergeCell ref="F65:H65"/>
    <mergeCell ref="I65:W65"/>
    <mergeCell ref="F66:H66"/>
    <mergeCell ref="I66:J66"/>
    <mergeCell ref="K66:O66"/>
    <mergeCell ref="P66:R66"/>
    <mergeCell ref="S66:W66"/>
    <mergeCell ref="I61:J61"/>
    <mergeCell ref="K61:M61"/>
    <mergeCell ref="N61:O61"/>
    <mergeCell ref="P61:R61"/>
    <mergeCell ref="S61:T61"/>
    <mergeCell ref="U61:W61"/>
    <mergeCell ref="S58:W58"/>
    <mergeCell ref="A59:H59"/>
    <mergeCell ref="I59:N59"/>
    <mergeCell ref="O59:Q59"/>
    <mergeCell ref="R59:W59"/>
    <mergeCell ref="A60:A75"/>
    <mergeCell ref="B60:E61"/>
    <mergeCell ref="F60:H60"/>
    <mergeCell ref="I60:W60"/>
    <mergeCell ref="F61:H61"/>
    <mergeCell ref="B62:C66"/>
    <mergeCell ref="D62:H62"/>
    <mergeCell ref="I62:W62"/>
    <mergeCell ref="D63:E64"/>
    <mergeCell ref="F63:H63"/>
    <mergeCell ref="I63:W63"/>
    <mergeCell ref="F64:H64"/>
    <mergeCell ref="I64:J64"/>
    <mergeCell ref="A55:H55"/>
    <mergeCell ref="I55:W55"/>
    <mergeCell ref="A56:H56"/>
    <mergeCell ref="I56:W56"/>
    <mergeCell ref="A57:H58"/>
    <mergeCell ref="I57:M57"/>
    <mergeCell ref="N57:R57"/>
    <mergeCell ref="S57:W57"/>
    <mergeCell ref="I58:M58"/>
    <mergeCell ref="N58:R58"/>
    <mergeCell ref="A52:D52"/>
    <mergeCell ref="G52:H52"/>
    <mergeCell ref="I52:M52"/>
    <mergeCell ref="Q52:R52"/>
    <mergeCell ref="S52:U52"/>
    <mergeCell ref="A54:H54"/>
    <mergeCell ref="I54:W54"/>
    <mergeCell ref="A49:I49"/>
    <mergeCell ref="J49:N49"/>
    <mergeCell ref="P49:S49"/>
    <mergeCell ref="T49:W49"/>
    <mergeCell ref="A50:D51"/>
    <mergeCell ref="E50:W50"/>
    <mergeCell ref="E51:W51"/>
    <mergeCell ref="A46:C46"/>
    <mergeCell ref="D46:G46"/>
    <mergeCell ref="H46:J46"/>
    <mergeCell ref="K46:W46"/>
    <mergeCell ref="A48:I48"/>
    <mergeCell ref="J48:S48"/>
    <mergeCell ref="T48:W48"/>
    <mergeCell ref="A44:C44"/>
    <mergeCell ref="D44:M44"/>
    <mergeCell ref="N44:O44"/>
    <mergeCell ref="P44:W44"/>
    <mergeCell ref="A45:C45"/>
    <mergeCell ref="D45:J45"/>
    <mergeCell ref="K45:P45"/>
    <mergeCell ref="A41:C41"/>
    <mergeCell ref="D41:M41"/>
    <mergeCell ref="N41:O41"/>
    <mergeCell ref="P41:W41"/>
    <mergeCell ref="A42:C43"/>
    <mergeCell ref="D42:M43"/>
    <mergeCell ref="N42:O43"/>
    <mergeCell ref="P42:Q43"/>
    <mergeCell ref="R42:T43"/>
    <mergeCell ref="U42:W43"/>
    <mergeCell ref="A39:C39"/>
    <mergeCell ref="D39:I39"/>
    <mergeCell ref="J39:K40"/>
    <mergeCell ref="L39:M40"/>
    <mergeCell ref="N39:O40"/>
    <mergeCell ref="P39:W40"/>
    <mergeCell ref="A40:C40"/>
    <mergeCell ref="D40:I40"/>
    <mergeCell ref="R34:W34"/>
    <mergeCell ref="A35:O35"/>
    <mergeCell ref="Q35:R35"/>
    <mergeCell ref="S35:W35"/>
    <mergeCell ref="A36:N36"/>
    <mergeCell ref="Q36:R36"/>
    <mergeCell ref="S36:W36"/>
    <mergeCell ref="J26:M26"/>
    <mergeCell ref="B27:V27"/>
    <mergeCell ref="U28:V28"/>
    <mergeCell ref="D16:E16"/>
    <mergeCell ref="F16:I16"/>
    <mergeCell ref="O17:T17"/>
    <mergeCell ref="O18:T18"/>
    <mergeCell ref="M19:V19"/>
    <mergeCell ref="P20:S20"/>
    <mergeCell ref="A2:W3"/>
    <mergeCell ref="A12:N12"/>
    <mergeCell ref="A13:N13"/>
    <mergeCell ref="A14:N14"/>
    <mergeCell ref="D15:E15"/>
    <mergeCell ref="F15:I15"/>
    <mergeCell ref="O21:T21"/>
    <mergeCell ref="P22:S22"/>
    <mergeCell ref="R23:U23"/>
  </mergeCells>
  <phoneticPr fontId="1"/>
  <pageMargins left="0.51181102362204722" right="0.51181102362204722" top="0.74803149606299213" bottom="0.74803149606299213" header="0.31496062992125984" footer="0.31496062992125984"/>
  <pageSetup paperSize="9" orientation="portrait" blackAndWhite="1" r:id="rId1"/>
  <rowBreaks count="1" manualBreakCount="1">
    <brk id="33" max="16383" man="1"/>
  </row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9881E-302D-4DF4-8DD7-5F4383F666D3}">
  <sheetPr codeName="Sheet6">
    <tabColor theme="9" tint="0.79998168889431442"/>
  </sheetPr>
  <dimension ref="A1:AC108"/>
  <sheetViews>
    <sheetView showZeros="0" zoomScaleNormal="100" workbookViewId="0">
      <selection activeCell="Y21" sqref="Y21"/>
    </sheetView>
  </sheetViews>
  <sheetFormatPr defaultRowHeight="18.75" x14ac:dyDescent="0.4"/>
  <cols>
    <col min="1" max="1" width="2" style="245" customWidth="1"/>
    <col min="2" max="2" width="4.25" style="245" customWidth="1"/>
    <col min="3" max="4" width="6.75" style="245" customWidth="1"/>
    <col min="5" max="7" width="3.375" style="245" customWidth="1"/>
    <col min="8" max="8" width="2.125" style="245" customWidth="1"/>
    <col min="9" max="12" width="2.5" style="245" customWidth="1"/>
    <col min="13" max="13" width="2.125" style="245" customWidth="1"/>
    <col min="14" max="16" width="3.125" style="245" customWidth="1"/>
    <col min="17" max="17" width="4.375" style="245" customWidth="1"/>
    <col min="18" max="18" width="3.125" style="245" customWidth="1"/>
    <col min="19" max="19" width="2.125" style="245" customWidth="1"/>
    <col min="20" max="20" width="7.5" style="245" customWidth="1"/>
    <col min="21" max="21" width="7.75" style="245" customWidth="1"/>
    <col min="22" max="22" width="1.875" style="245" customWidth="1"/>
    <col min="23" max="24" width="5" style="245" customWidth="1"/>
    <col min="25" max="26" width="9" style="245"/>
    <col min="27" max="27" width="3.5" style="245" customWidth="1"/>
    <col min="28" max="28" width="18.125" style="282" customWidth="1"/>
    <col min="29" max="16384" width="9" style="245"/>
  </cols>
  <sheetData>
    <row r="1" spans="1:29" ht="18" customHeight="1" x14ac:dyDescent="0.4">
      <c r="A1" s="1519" t="s">
        <v>814</v>
      </c>
      <c r="B1" s="1519"/>
      <c r="C1" s="1519"/>
      <c r="D1" s="1519"/>
      <c r="E1" s="1519"/>
      <c r="F1" s="274"/>
      <c r="G1" s="274"/>
      <c r="H1" s="275"/>
      <c r="I1" s="1549" t="s">
        <v>815</v>
      </c>
      <c r="J1" s="1521"/>
      <c r="K1" s="1521"/>
      <c r="L1" s="1521"/>
      <c r="M1" s="1520">
        <f>'[2]（最新）アセスメントシート'!D5</f>
        <v>0</v>
      </c>
      <c r="N1" s="1520"/>
      <c r="O1" s="1520"/>
      <c r="P1" s="1520"/>
      <c r="Q1" s="1520"/>
      <c r="R1" s="243" t="s">
        <v>816</v>
      </c>
      <c r="S1" s="1549" t="s">
        <v>817</v>
      </c>
      <c r="T1" s="1521"/>
      <c r="U1" s="1521">
        <f>'[2]（最新）アセスメントシート'!AG3</f>
        <v>0</v>
      </c>
      <c r="V1" s="1521"/>
      <c r="W1" s="1521"/>
      <c r="X1" s="244" t="s">
        <v>818</v>
      </c>
    </row>
    <row r="2" spans="1:29" ht="15.75" customHeight="1" x14ac:dyDescent="0.4">
      <c r="A2" s="246" t="s">
        <v>819</v>
      </c>
      <c r="B2" s="246"/>
      <c r="C2" s="246"/>
      <c r="D2" s="246"/>
      <c r="E2" s="247"/>
      <c r="F2" s="1550"/>
      <c r="G2" s="1550"/>
      <c r="H2" s="1550"/>
      <c r="I2" s="1550"/>
      <c r="J2" s="1550"/>
      <c r="K2" s="248" t="s">
        <v>43</v>
      </c>
      <c r="L2" s="1551"/>
      <c r="M2" s="1551"/>
      <c r="N2" s="1551"/>
      <c r="O2" s="1551"/>
      <c r="P2" s="1551"/>
      <c r="Q2" s="1521" t="s">
        <v>820</v>
      </c>
      <c r="R2" s="1521"/>
      <c r="S2" s="1522"/>
      <c r="T2" s="1522"/>
      <c r="U2" s="1522"/>
      <c r="V2" s="1522"/>
      <c r="W2" s="1522"/>
      <c r="X2" s="1522"/>
    </row>
    <row r="3" spans="1:29" ht="18" customHeight="1" x14ac:dyDescent="0.4">
      <c r="A3" s="249" t="s">
        <v>821</v>
      </c>
      <c r="B3" s="250" t="e">
        <f>MONTH(U3)</f>
        <v>#VALUE!</v>
      </c>
      <c r="C3" s="278" t="s">
        <v>822</v>
      </c>
      <c r="D3" s="273"/>
      <c r="E3" s="1526" t="s">
        <v>823</v>
      </c>
      <c r="F3" s="1527"/>
      <c r="G3" s="1527"/>
      <c r="H3" s="1528"/>
      <c r="I3" s="279"/>
      <c r="J3" s="280"/>
      <c r="K3" s="1527" t="s">
        <v>440</v>
      </c>
      <c r="L3" s="1527"/>
      <c r="M3" s="1527"/>
      <c r="N3" s="280"/>
      <c r="O3" s="1527" t="s">
        <v>5</v>
      </c>
      <c r="P3" s="1527"/>
      <c r="Q3" s="1527"/>
      <c r="R3" s="281"/>
      <c r="S3" s="1526" t="s">
        <v>824</v>
      </c>
      <c r="T3" s="1528"/>
      <c r="U3" s="1523" t="str">
        <f>AB4</f>
        <v>モニタリングシート!J3</v>
      </c>
      <c r="V3" s="1524"/>
      <c r="W3" s="1524"/>
      <c r="X3" s="1525"/>
    </row>
    <row r="4" spans="1:29" ht="15" customHeight="1" x14ac:dyDescent="0.4">
      <c r="A4" s="1530" t="s">
        <v>831</v>
      </c>
      <c r="B4" s="1531"/>
      <c r="C4" s="1531"/>
      <c r="D4" s="1531"/>
      <c r="E4" s="1531"/>
      <c r="F4" s="1531"/>
      <c r="G4" s="1531"/>
      <c r="H4" s="276"/>
      <c r="I4" s="1531" t="s">
        <v>829</v>
      </c>
      <c r="J4" s="1531"/>
      <c r="K4" s="1531"/>
      <c r="L4" s="1531"/>
      <c r="M4" s="276"/>
      <c r="N4" s="1531" t="s">
        <v>830</v>
      </c>
      <c r="O4" s="1531"/>
      <c r="P4" s="1531"/>
      <c r="Q4" s="1531"/>
      <c r="R4" s="1531"/>
      <c r="S4" s="276"/>
      <c r="T4" s="1531" t="s">
        <v>836</v>
      </c>
      <c r="U4" s="1536"/>
      <c r="V4" s="252"/>
      <c r="W4" s="253"/>
      <c r="X4" s="254"/>
      <c r="AA4" s="1552" t="s">
        <v>851</v>
      </c>
      <c r="AB4" s="1553" t="s">
        <v>1240</v>
      </c>
    </row>
    <row r="5" spans="1:29" ht="15" customHeight="1" x14ac:dyDescent="0.4">
      <c r="A5" s="1537" t="s">
        <v>825</v>
      </c>
      <c r="B5" s="1538"/>
      <c r="C5" s="1541"/>
      <c r="D5" s="1541"/>
      <c r="E5" s="1541"/>
      <c r="F5" s="1541"/>
      <c r="G5" s="1541"/>
      <c r="H5" s="1541"/>
      <c r="I5" s="1541"/>
      <c r="J5" s="1541"/>
      <c r="K5" s="1541"/>
      <c r="L5" s="1541"/>
      <c r="M5" s="1541"/>
      <c r="N5" s="1541"/>
      <c r="O5" s="1541"/>
      <c r="P5" s="1541"/>
      <c r="Q5" s="1541"/>
      <c r="R5" s="1541"/>
      <c r="S5" s="1541"/>
      <c r="T5" s="1541"/>
      <c r="U5" s="1542"/>
      <c r="V5" s="255"/>
      <c r="W5" s="256"/>
      <c r="X5" s="257"/>
      <c r="AA5" s="1552"/>
      <c r="AB5" s="1553"/>
    </row>
    <row r="6" spans="1:29" ht="15" customHeight="1" x14ac:dyDescent="0.4">
      <c r="A6" s="1539"/>
      <c r="B6" s="1540"/>
      <c r="C6" s="1543"/>
      <c r="D6" s="1543"/>
      <c r="E6" s="1543"/>
      <c r="F6" s="1543"/>
      <c r="G6" s="1543"/>
      <c r="H6" s="1543"/>
      <c r="I6" s="1543"/>
      <c r="J6" s="1543"/>
      <c r="K6" s="1543"/>
      <c r="L6" s="1543"/>
      <c r="M6" s="1543"/>
      <c r="N6" s="1543"/>
      <c r="O6" s="1543"/>
      <c r="P6" s="1543"/>
      <c r="Q6" s="1543"/>
      <c r="R6" s="1543"/>
      <c r="S6" s="1543"/>
      <c r="T6" s="1543"/>
      <c r="U6" s="1544"/>
      <c r="V6" s="255"/>
      <c r="W6" s="256"/>
      <c r="X6" s="257"/>
      <c r="AA6" s="1552" t="s">
        <v>852</v>
      </c>
      <c r="AB6" s="1553" t="s">
        <v>1245</v>
      </c>
      <c r="AC6" s="259"/>
    </row>
    <row r="7" spans="1:29" ht="15" customHeight="1" x14ac:dyDescent="0.4">
      <c r="A7" s="260" t="s">
        <v>833</v>
      </c>
      <c r="B7" s="261"/>
      <c r="C7" s="261"/>
      <c r="D7" s="261"/>
      <c r="E7" s="261"/>
      <c r="F7" s="261"/>
      <c r="G7" s="261"/>
      <c r="H7" s="1531" t="s">
        <v>832</v>
      </c>
      <c r="I7" s="1531"/>
      <c r="J7" s="1531"/>
      <c r="K7" s="1531"/>
      <c r="L7" s="1531"/>
      <c r="M7" s="276"/>
      <c r="N7" s="276" t="s">
        <v>834</v>
      </c>
      <c r="O7" s="276"/>
      <c r="P7" s="276"/>
      <c r="Q7" s="276"/>
      <c r="R7" s="276"/>
      <c r="S7" s="1531" t="s">
        <v>835</v>
      </c>
      <c r="T7" s="1531"/>
      <c r="U7" s="1536"/>
      <c r="V7" s="262"/>
      <c r="W7" s="263"/>
      <c r="X7" s="257"/>
      <c r="AA7" s="1552"/>
      <c r="AB7" s="1553"/>
    </row>
    <row r="8" spans="1:29" ht="15" customHeight="1" x14ac:dyDescent="0.4">
      <c r="A8" s="1537" t="s">
        <v>825</v>
      </c>
      <c r="B8" s="1538"/>
      <c r="C8" s="1541"/>
      <c r="D8" s="1541"/>
      <c r="E8" s="1541"/>
      <c r="F8" s="1541"/>
      <c r="G8" s="1541"/>
      <c r="H8" s="1541"/>
      <c r="I8" s="1541"/>
      <c r="J8" s="1541"/>
      <c r="K8" s="1541"/>
      <c r="L8" s="1541"/>
      <c r="M8" s="1541"/>
      <c r="N8" s="1541"/>
      <c r="O8" s="1541"/>
      <c r="P8" s="1541"/>
      <c r="Q8" s="1541"/>
      <c r="R8" s="1541"/>
      <c r="S8" s="1541"/>
      <c r="T8" s="1541"/>
      <c r="U8" s="1542"/>
      <c r="V8" s="255"/>
      <c r="W8" s="256"/>
      <c r="X8" s="257"/>
      <c r="AA8" s="1552" t="s">
        <v>853</v>
      </c>
      <c r="AB8" s="1553" t="s">
        <v>1241</v>
      </c>
    </row>
    <row r="9" spans="1:29" ht="15" customHeight="1" x14ac:dyDescent="0.4">
      <c r="A9" s="1539"/>
      <c r="B9" s="1540"/>
      <c r="C9" s="1543"/>
      <c r="D9" s="1543"/>
      <c r="E9" s="1543"/>
      <c r="F9" s="1543"/>
      <c r="G9" s="1543"/>
      <c r="H9" s="1543"/>
      <c r="I9" s="1543"/>
      <c r="J9" s="1543"/>
      <c r="K9" s="1543"/>
      <c r="L9" s="1543"/>
      <c r="M9" s="1543"/>
      <c r="N9" s="1543"/>
      <c r="O9" s="1543"/>
      <c r="P9" s="1543"/>
      <c r="Q9" s="1543"/>
      <c r="R9" s="1543"/>
      <c r="S9" s="1543"/>
      <c r="T9" s="1543"/>
      <c r="U9" s="1544"/>
      <c r="V9" s="264" t="s">
        <v>826</v>
      </c>
      <c r="W9" s="265" t="e">
        <f>MOD(B3,12)+1</f>
        <v>#VALUE!</v>
      </c>
      <c r="X9" s="266" t="s">
        <v>827</v>
      </c>
      <c r="AA9" s="1552"/>
      <c r="AB9" s="1553"/>
    </row>
    <row r="10" spans="1:29" ht="15" customHeight="1" x14ac:dyDescent="0.4">
      <c r="A10" s="1530" t="s">
        <v>837</v>
      </c>
      <c r="B10" s="1531"/>
      <c r="C10" s="1531"/>
      <c r="D10" s="1531"/>
      <c r="E10" s="1531"/>
      <c r="F10" s="1531" t="s">
        <v>838</v>
      </c>
      <c r="G10" s="1531"/>
      <c r="H10" s="276"/>
      <c r="I10" s="1531" t="s">
        <v>839</v>
      </c>
      <c r="J10" s="1531"/>
      <c r="K10" s="1531"/>
      <c r="L10" s="1531"/>
      <c r="M10" s="1531"/>
      <c r="N10" s="276"/>
      <c r="O10" s="1531" t="s">
        <v>840</v>
      </c>
      <c r="P10" s="1531"/>
      <c r="Q10" s="1531"/>
      <c r="R10" s="276"/>
      <c r="S10" s="276"/>
      <c r="T10" s="276"/>
      <c r="U10" s="276"/>
      <c r="V10" s="1533" t="s">
        <v>828</v>
      </c>
      <c r="W10" s="1534"/>
      <c r="X10" s="1535"/>
      <c r="AA10" s="1552" t="s">
        <v>854</v>
      </c>
      <c r="AB10" s="1553" t="s">
        <v>1242</v>
      </c>
    </row>
    <row r="11" spans="1:29" ht="15" customHeight="1" x14ac:dyDescent="0.4">
      <c r="A11" s="1537" t="s">
        <v>825</v>
      </c>
      <c r="B11" s="1538"/>
      <c r="C11" s="1541"/>
      <c r="D11" s="1541"/>
      <c r="E11" s="1541"/>
      <c r="F11" s="1541"/>
      <c r="G11" s="1541"/>
      <c r="H11" s="1541"/>
      <c r="I11" s="1541"/>
      <c r="J11" s="1541"/>
      <c r="K11" s="1541"/>
      <c r="L11" s="1541"/>
      <c r="M11" s="1541"/>
      <c r="N11" s="1541"/>
      <c r="O11" s="1541"/>
      <c r="P11" s="1541"/>
      <c r="Q11" s="1541"/>
      <c r="R11" s="1541"/>
      <c r="S11" s="1541"/>
      <c r="T11" s="1541"/>
      <c r="U11" s="1542"/>
      <c r="V11" s="277"/>
      <c r="W11" s="1545" t="s">
        <v>849</v>
      </c>
      <c r="X11" s="1546"/>
      <c r="AA11" s="1552"/>
      <c r="AB11" s="1553"/>
    </row>
    <row r="12" spans="1:29" ht="15" customHeight="1" x14ac:dyDescent="0.4">
      <c r="A12" s="1539"/>
      <c r="B12" s="1540"/>
      <c r="C12" s="1543"/>
      <c r="D12" s="1543"/>
      <c r="E12" s="1543"/>
      <c r="F12" s="1543"/>
      <c r="G12" s="1543"/>
      <c r="H12" s="1543"/>
      <c r="I12" s="1543"/>
      <c r="J12" s="1543"/>
      <c r="K12" s="1543"/>
      <c r="L12" s="1543"/>
      <c r="M12" s="1543"/>
      <c r="N12" s="1543"/>
      <c r="O12" s="1543"/>
      <c r="P12" s="1543"/>
      <c r="Q12" s="1543"/>
      <c r="R12" s="1543"/>
      <c r="S12" s="1543"/>
      <c r="T12" s="1543"/>
      <c r="U12" s="1544"/>
      <c r="V12" s="267"/>
      <c r="W12" s="1547" t="s">
        <v>850</v>
      </c>
      <c r="X12" s="1548"/>
      <c r="AA12" s="1552" t="s">
        <v>855</v>
      </c>
      <c r="AB12" s="1553" t="s">
        <v>1243</v>
      </c>
    </row>
    <row r="13" spans="1:29" ht="15" customHeight="1" x14ac:dyDescent="0.4">
      <c r="A13" s="1530" t="s">
        <v>841</v>
      </c>
      <c r="B13" s="1531"/>
      <c r="C13" s="1531"/>
      <c r="D13" s="1531"/>
      <c r="E13" s="1532" t="s">
        <v>842</v>
      </c>
      <c r="F13" s="1532"/>
      <c r="G13" s="1532"/>
      <c r="H13" s="1532"/>
      <c r="I13" s="276"/>
      <c r="J13" s="1531" t="s">
        <v>843</v>
      </c>
      <c r="K13" s="1531"/>
      <c r="L13" s="1531"/>
      <c r="M13" s="1531"/>
      <c r="N13" s="276"/>
      <c r="O13" s="1531" t="s">
        <v>844</v>
      </c>
      <c r="P13" s="1531"/>
      <c r="Q13" s="276"/>
      <c r="R13" s="276"/>
      <c r="S13" s="276"/>
      <c r="T13" s="276"/>
      <c r="U13" s="276"/>
      <c r="V13" s="267"/>
      <c r="W13" s="268"/>
      <c r="X13" s="269"/>
      <c r="AA13" s="1552"/>
      <c r="AB13" s="1553"/>
    </row>
    <row r="14" spans="1:29" ht="15" customHeight="1" x14ac:dyDescent="0.4">
      <c r="A14" s="1537" t="s">
        <v>825</v>
      </c>
      <c r="B14" s="1538"/>
      <c r="C14" s="1541"/>
      <c r="D14" s="1541"/>
      <c r="E14" s="1541"/>
      <c r="F14" s="1541"/>
      <c r="G14" s="1541"/>
      <c r="H14" s="1541"/>
      <c r="I14" s="1541"/>
      <c r="J14" s="1541"/>
      <c r="K14" s="1541"/>
      <c r="L14" s="1541"/>
      <c r="M14" s="1541"/>
      <c r="N14" s="1541"/>
      <c r="O14" s="1541"/>
      <c r="P14" s="1541"/>
      <c r="Q14" s="1541"/>
      <c r="R14" s="1541"/>
      <c r="S14" s="1541"/>
      <c r="T14" s="1541"/>
      <c r="U14" s="1542"/>
      <c r="V14" s="255"/>
      <c r="W14" s="256"/>
      <c r="X14" s="257"/>
      <c r="AA14" s="1552" t="s">
        <v>856</v>
      </c>
      <c r="AB14" s="1553" t="s">
        <v>1244</v>
      </c>
    </row>
    <row r="15" spans="1:29" ht="15" customHeight="1" x14ac:dyDescent="0.4">
      <c r="A15" s="1539"/>
      <c r="B15" s="1540"/>
      <c r="C15" s="1543"/>
      <c r="D15" s="1543"/>
      <c r="E15" s="1543"/>
      <c r="F15" s="1543"/>
      <c r="G15" s="1543"/>
      <c r="H15" s="1543"/>
      <c r="I15" s="1543"/>
      <c r="J15" s="1543"/>
      <c r="K15" s="1543"/>
      <c r="L15" s="1543"/>
      <c r="M15" s="1543"/>
      <c r="N15" s="1543"/>
      <c r="O15" s="1543"/>
      <c r="P15" s="1543"/>
      <c r="Q15" s="1543"/>
      <c r="R15" s="1543"/>
      <c r="S15" s="1543"/>
      <c r="T15" s="1543"/>
      <c r="U15" s="1544"/>
      <c r="V15" s="255"/>
      <c r="W15" s="256"/>
      <c r="X15" s="257"/>
      <c r="AA15" s="1552"/>
      <c r="AB15" s="1553"/>
    </row>
    <row r="16" spans="1:29" ht="15" customHeight="1" x14ac:dyDescent="0.4">
      <c r="A16" s="1530" t="s">
        <v>845</v>
      </c>
      <c r="B16" s="1531"/>
      <c r="C16" s="1531"/>
      <c r="D16" s="1531"/>
      <c r="E16" s="1531"/>
      <c r="F16" s="1531"/>
      <c r="G16" s="1531"/>
      <c r="H16" s="276"/>
      <c r="I16" s="1531" t="s">
        <v>846</v>
      </c>
      <c r="J16" s="1531"/>
      <c r="K16" s="1531"/>
      <c r="L16" s="1531"/>
      <c r="M16" s="1531" t="s">
        <v>847</v>
      </c>
      <c r="N16" s="1531"/>
      <c r="O16" s="1531"/>
      <c r="P16" s="1532" t="s">
        <v>848</v>
      </c>
      <c r="Q16" s="1532"/>
      <c r="R16" s="1532"/>
      <c r="S16" s="1532"/>
      <c r="T16" s="276"/>
      <c r="U16" s="276"/>
      <c r="V16" s="262"/>
      <c r="W16" s="263"/>
      <c r="X16" s="257"/>
    </row>
    <row r="17" spans="1:29" ht="15" customHeight="1" x14ac:dyDescent="0.4">
      <c r="A17" s="1537" t="s">
        <v>825</v>
      </c>
      <c r="B17" s="1538"/>
      <c r="C17" s="1541"/>
      <c r="D17" s="1541"/>
      <c r="E17" s="1541"/>
      <c r="F17" s="1541"/>
      <c r="G17" s="1541"/>
      <c r="H17" s="1541"/>
      <c r="I17" s="1541"/>
      <c r="J17" s="1541"/>
      <c r="K17" s="1541"/>
      <c r="L17" s="1541"/>
      <c r="M17" s="1541"/>
      <c r="N17" s="1541"/>
      <c r="O17" s="1541"/>
      <c r="P17" s="1541"/>
      <c r="Q17" s="1541"/>
      <c r="R17" s="1541"/>
      <c r="S17" s="1541"/>
      <c r="T17" s="1541"/>
      <c r="U17" s="1542"/>
      <c r="V17" s="255"/>
      <c r="W17" s="256"/>
      <c r="X17" s="257"/>
    </row>
    <row r="18" spans="1:29" ht="15" customHeight="1" x14ac:dyDescent="0.4">
      <c r="A18" s="1539"/>
      <c r="B18" s="1540"/>
      <c r="C18" s="1543"/>
      <c r="D18" s="1543"/>
      <c r="E18" s="1543"/>
      <c r="F18" s="1543"/>
      <c r="G18" s="1543"/>
      <c r="H18" s="1543"/>
      <c r="I18" s="1543"/>
      <c r="J18" s="1543"/>
      <c r="K18" s="1543"/>
      <c r="L18" s="1543"/>
      <c r="M18" s="1543"/>
      <c r="N18" s="1543"/>
      <c r="O18" s="1543"/>
      <c r="P18" s="1543"/>
      <c r="Q18" s="1543"/>
      <c r="R18" s="1543"/>
      <c r="S18" s="1543"/>
      <c r="T18" s="1543"/>
      <c r="U18" s="1544"/>
      <c r="V18" s="270"/>
      <c r="W18" s="258"/>
      <c r="X18" s="271"/>
    </row>
    <row r="19" spans="1:29" ht="9" customHeight="1" x14ac:dyDescent="0.4"/>
    <row r="20" spans="1:29" ht="15.75" customHeight="1" x14ac:dyDescent="0.4">
      <c r="A20" s="246"/>
      <c r="B20" s="246"/>
      <c r="C20" s="246"/>
      <c r="D20" s="246"/>
      <c r="E20" s="246"/>
      <c r="F20" s="246"/>
      <c r="G20" s="246"/>
      <c r="H20" s="246"/>
      <c r="I20" s="246"/>
      <c r="J20" s="246"/>
      <c r="K20" s="246"/>
      <c r="L20" s="246"/>
      <c r="M20" s="246"/>
      <c r="N20" s="246"/>
      <c r="O20" s="246"/>
      <c r="P20" s="246"/>
      <c r="Q20" s="246"/>
      <c r="R20" s="246"/>
      <c r="S20" s="1529"/>
      <c r="T20" s="1529"/>
      <c r="U20" s="1529"/>
      <c r="V20" s="1529"/>
      <c r="W20" s="1529"/>
      <c r="X20" s="1529"/>
    </row>
    <row r="21" spans="1:29" ht="18" customHeight="1" x14ac:dyDescent="0.4">
      <c r="A21" s="249" t="s">
        <v>821</v>
      </c>
      <c r="B21" s="250" t="e">
        <f>MONTH(U21)</f>
        <v>#VALUE!</v>
      </c>
      <c r="C21" s="251" t="s">
        <v>822</v>
      </c>
      <c r="D21" s="273"/>
      <c r="E21" s="1526" t="s">
        <v>823</v>
      </c>
      <c r="F21" s="1527"/>
      <c r="G21" s="1527"/>
      <c r="H21" s="1528"/>
      <c r="I21" s="279"/>
      <c r="J21" s="280"/>
      <c r="K21" s="1527" t="s">
        <v>440</v>
      </c>
      <c r="L21" s="1527"/>
      <c r="M21" s="1527"/>
      <c r="N21" s="280"/>
      <c r="O21" s="1527" t="s">
        <v>5</v>
      </c>
      <c r="P21" s="1527"/>
      <c r="Q21" s="1527"/>
      <c r="R21" s="281"/>
      <c r="S21" s="1526" t="s">
        <v>824</v>
      </c>
      <c r="T21" s="1528"/>
      <c r="U21" s="1523" t="str">
        <f>AB6</f>
        <v>モニタリングシート!J21</v>
      </c>
      <c r="V21" s="1524"/>
      <c r="W21" s="1524"/>
      <c r="X21" s="1525"/>
    </row>
    <row r="22" spans="1:29" ht="15" customHeight="1" x14ac:dyDescent="0.4">
      <c r="A22" s="1530" t="s">
        <v>831</v>
      </c>
      <c r="B22" s="1531"/>
      <c r="C22" s="1531"/>
      <c r="D22" s="1531"/>
      <c r="E22" s="1531"/>
      <c r="F22" s="1531"/>
      <c r="G22" s="1531"/>
      <c r="H22" s="276"/>
      <c r="I22" s="1531" t="s">
        <v>829</v>
      </c>
      <c r="J22" s="1531"/>
      <c r="K22" s="1531"/>
      <c r="L22" s="1531"/>
      <c r="M22" s="276"/>
      <c r="N22" s="1531" t="s">
        <v>830</v>
      </c>
      <c r="O22" s="1531"/>
      <c r="P22" s="1531"/>
      <c r="Q22" s="1531"/>
      <c r="R22" s="1531"/>
      <c r="S22" s="276"/>
      <c r="T22" s="1531" t="s">
        <v>836</v>
      </c>
      <c r="U22" s="1536"/>
      <c r="V22" s="252"/>
      <c r="W22" s="253"/>
      <c r="X22" s="254"/>
    </row>
    <row r="23" spans="1:29" ht="15" customHeight="1" x14ac:dyDescent="0.4">
      <c r="A23" s="1537" t="s">
        <v>825</v>
      </c>
      <c r="B23" s="1538"/>
      <c r="C23" s="1541"/>
      <c r="D23" s="1541"/>
      <c r="E23" s="1541"/>
      <c r="F23" s="1541"/>
      <c r="G23" s="1541"/>
      <c r="H23" s="1541"/>
      <c r="I23" s="1541"/>
      <c r="J23" s="1541"/>
      <c r="K23" s="1541"/>
      <c r="L23" s="1541"/>
      <c r="M23" s="1541"/>
      <c r="N23" s="1541"/>
      <c r="O23" s="1541"/>
      <c r="P23" s="1541"/>
      <c r="Q23" s="1541"/>
      <c r="R23" s="1541"/>
      <c r="S23" s="1541"/>
      <c r="T23" s="1541"/>
      <c r="U23" s="1542"/>
      <c r="V23" s="255"/>
      <c r="W23" s="256"/>
      <c r="X23" s="257"/>
    </row>
    <row r="24" spans="1:29" ht="15" customHeight="1" x14ac:dyDescent="0.4">
      <c r="A24" s="1539"/>
      <c r="B24" s="1540"/>
      <c r="C24" s="1543"/>
      <c r="D24" s="1543"/>
      <c r="E24" s="1543"/>
      <c r="F24" s="1543"/>
      <c r="G24" s="1543"/>
      <c r="H24" s="1543"/>
      <c r="I24" s="1543"/>
      <c r="J24" s="1543"/>
      <c r="K24" s="1543"/>
      <c r="L24" s="1543"/>
      <c r="M24" s="1543"/>
      <c r="N24" s="1543"/>
      <c r="O24" s="1543"/>
      <c r="P24" s="1543"/>
      <c r="Q24" s="1543"/>
      <c r="R24" s="1543"/>
      <c r="S24" s="1543"/>
      <c r="T24" s="1543"/>
      <c r="U24" s="1544"/>
      <c r="V24" s="255"/>
      <c r="W24" s="256"/>
      <c r="X24" s="257"/>
      <c r="AC24" s="259"/>
    </row>
    <row r="25" spans="1:29" ht="15" customHeight="1" x14ac:dyDescent="0.4">
      <c r="A25" s="260" t="s">
        <v>833</v>
      </c>
      <c r="B25" s="261"/>
      <c r="C25" s="261"/>
      <c r="D25" s="261"/>
      <c r="E25" s="261"/>
      <c r="F25" s="261"/>
      <c r="G25" s="261"/>
      <c r="H25" s="1531" t="s">
        <v>832</v>
      </c>
      <c r="I25" s="1531"/>
      <c r="J25" s="1531"/>
      <c r="K25" s="1531"/>
      <c r="L25" s="1531"/>
      <c r="M25" s="276"/>
      <c r="N25" s="276" t="s">
        <v>834</v>
      </c>
      <c r="O25" s="276"/>
      <c r="P25" s="276"/>
      <c r="Q25" s="276"/>
      <c r="R25" s="276"/>
      <c r="S25" s="1531" t="s">
        <v>835</v>
      </c>
      <c r="T25" s="1531"/>
      <c r="U25" s="1536"/>
      <c r="V25" s="262"/>
      <c r="W25" s="263"/>
      <c r="X25" s="257"/>
    </row>
    <row r="26" spans="1:29" ht="15" customHeight="1" x14ac:dyDescent="0.4">
      <c r="A26" s="1537" t="s">
        <v>825</v>
      </c>
      <c r="B26" s="1538"/>
      <c r="C26" s="1541"/>
      <c r="D26" s="1541"/>
      <c r="E26" s="1541"/>
      <c r="F26" s="1541"/>
      <c r="G26" s="1541"/>
      <c r="H26" s="1541"/>
      <c r="I26" s="1541"/>
      <c r="J26" s="1541"/>
      <c r="K26" s="1541"/>
      <c r="L26" s="1541"/>
      <c r="M26" s="1541"/>
      <c r="N26" s="1541"/>
      <c r="O26" s="1541"/>
      <c r="P26" s="1541"/>
      <c r="Q26" s="1541"/>
      <c r="R26" s="1541"/>
      <c r="S26" s="1541"/>
      <c r="T26" s="1541"/>
      <c r="U26" s="1542"/>
      <c r="V26" s="255"/>
      <c r="W26" s="256"/>
      <c r="X26" s="257"/>
    </row>
    <row r="27" spans="1:29" ht="15" customHeight="1" x14ac:dyDescent="0.4">
      <c r="A27" s="1539"/>
      <c r="B27" s="1540"/>
      <c r="C27" s="1543"/>
      <c r="D27" s="1543"/>
      <c r="E27" s="1543"/>
      <c r="F27" s="1543"/>
      <c r="G27" s="1543"/>
      <c r="H27" s="1543"/>
      <c r="I27" s="1543"/>
      <c r="J27" s="1543"/>
      <c r="K27" s="1543"/>
      <c r="L27" s="1543"/>
      <c r="M27" s="1543"/>
      <c r="N27" s="1543"/>
      <c r="O27" s="1543"/>
      <c r="P27" s="1543"/>
      <c r="Q27" s="1543"/>
      <c r="R27" s="1543"/>
      <c r="S27" s="1543"/>
      <c r="T27" s="1543"/>
      <c r="U27" s="1544"/>
      <c r="V27" s="264" t="s">
        <v>826</v>
      </c>
      <c r="W27" s="265" t="e">
        <f>MOD(B21,12)+1</f>
        <v>#VALUE!</v>
      </c>
      <c r="X27" s="266" t="s">
        <v>827</v>
      </c>
    </row>
    <row r="28" spans="1:29" ht="15" customHeight="1" x14ac:dyDescent="0.4">
      <c r="A28" s="1530" t="s">
        <v>837</v>
      </c>
      <c r="B28" s="1531"/>
      <c r="C28" s="1531"/>
      <c r="D28" s="1531"/>
      <c r="E28" s="1531"/>
      <c r="F28" s="1531" t="s">
        <v>838</v>
      </c>
      <c r="G28" s="1531"/>
      <c r="H28" s="276"/>
      <c r="I28" s="1531" t="s">
        <v>839</v>
      </c>
      <c r="J28" s="1531"/>
      <c r="K28" s="1531"/>
      <c r="L28" s="1531"/>
      <c r="M28" s="1531"/>
      <c r="N28" s="276"/>
      <c r="O28" s="1531" t="s">
        <v>840</v>
      </c>
      <c r="P28" s="1531"/>
      <c r="Q28" s="1531"/>
      <c r="R28" s="276"/>
      <c r="S28" s="276"/>
      <c r="T28" s="276"/>
      <c r="U28" s="276"/>
      <c r="V28" s="1533" t="s">
        <v>828</v>
      </c>
      <c r="W28" s="1534"/>
      <c r="X28" s="1535"/>
    </row>
    <row r="29" spans="1:29" ht="15" customHeight="1" x14ac:dyDescent="0.4">
      <c r="A29" s="1537" t="s">
        <v>825</v>
      </c>
      <c r="B29" s="1538"/>
      <c r="C29" s="1541"/>
      <c r="D29" s="1541"/>
      <c r="E29" s="1541"/>
      <c r="F29" s="1541"/>
      <c r="G29" s="1541"/>
      <c r="H29" s="1541"/>
      <c r="I29" s="1541"/>
      <c r="J29" s="1541"/>
      <c r="K29" s="1541"/>
      <c r="L29" s="1541"/>
      <c r="M29" s="1541"/>
      <c r="N29" s="1541"/>
      <c r="O29" s="1541"/>
      <c r="P29" s="1541"/>
      <c r="Q29" s="1541"/>
      <c r="R29" s="1541"/>
      <c r="S29" s="1541"/>
      <c r="T29" s="1541"/>
      <c r="U29" s="1542"/>
      <c r="V29" s="277"/>
      <c r="W29" s="1545" t="s">
        <v>849</v>
      </c>
      <c r="X29" s="1546"/>
    </row>
    <row r="30" spans="1:29" ht="15" customHeight="1" x14ac:dyDescent="0.4">
      <c r="A30" s="1539"/>
      <c r="B30" s="1540"/>
      <c r="C30" s="1543"/>
      <c r="D30" s="1543"/>
      <c r="E30" s="1543"/>
      <c r="F30" s="1543"/>
      <c r="G30" s="1543"/>
      <c r="H30" s="1543"/>
      <c r="I30" s="1543"/>
      <c r="J30" s="1543"/>
      <c r="K30" s="1543"/>
      <c r="L30" s="1543"/>
      <c r="M30" s="1543"/>
      <c r="N30" s="1543"/>
      <c r="O30" s="1543"/>
      <c r="P30" s="1543"/>
      <c r="Q30" s="1543"/>
      <c r="R30" s="1543"/>
      <c r="S30" s="1543"/>
      <c r="T30" s="1543"/>
      <c r="U30" s="1544"/>
      <c r="V30" s="267"/>
      <c r="W30" s="1547" t="s">
        <v>850</v>
      </c>
      <c r="X30" s="1548"/>
    </row>
    <row r="31" spans="1:29" ht="15" customHeight="1" x14ac:dyDescent="0.4">
      <c r="A31" s="1530" t="s">
        <v>841</v>
      </c>
      <c r="B31" s="1531"/>
      <c r="C31" s="1531"/>
      <c r="D31" s="1531"/>
      <c r="E31" s="1532" t="s">
        <v>842</v>
      </c>
      <c r="F31" s="1532"/>
      <c r="G31" s="1532"/>
      <c r="H31" s="1532"/>
      <c r="I31" s="276"/>
      <c r="J31" s="1531" t="s">
        <v>843</v>
      </c>
      <c r="K31" s="1531"/>
      <c r="L31" s="1531"/>
      <c r="M31" s="1531"/>
      <c r="N31" s="276"/>
      <c r="O31" s="1531" t="s">
        <v>844</v>
      </c>
      <c r="P31" s="1531"/>
      <c r="Q31" s="276"/>
      <c r="R31" s="276"/>
      <c r="S31" s="276"/>
      <c r="T31" s="276"/>
      <c r="U31" s="276"/>
      <c r="V31" s="267"/>
      <c r="W31" s="268"/>
      <c r="X31" s="269"/>
    </row>
    <row r="32" spans="1:29" ht="15" customHeight="1" x14ac:dyDescent="0.4">
      <c r="A32" s="1537" t="s">
        <v>825</v>
      </c>
      <c r="B32" s="1538"/>
      <c r="C32" s="1541"/>
      <c r="D32" s="1541"/>
      <c r="E32" s="1541"/>
      <c r="F32" s="1541"/>
      <c r="G32" s="1541"/>
      <c r="H32" s="1541"/>
      <c r="I32" s="1541"/>
      <c r="J32" s="1541"/>
      <c r="K32" s="1541"/>
      <c r="L32" s="1541"/>
      <c r="M32" s="1541"/>
      <c r="N32" s="1541"/>
      <c r="O32" s="1541"/>
      <c r="P32" s="1541"/>
      <c r="Q32" s="1541"/>
      <c r="R32" s="1541"/>
      <c r="S32" s="1541"/>
      <c r="T32" s="1541"/>
      <c r="U32" s="1542"/>
      <c r="V32" s="255"/>
      <c r="W32" s="256"/>
      <c r="X32" s="257"/>
    </row>
    <row r="33" spans="1:29" ht="15" customHeight="1" x14ac:dyDescent="0.4">
      <c r="A33" s="1539"/>
      <c r="B33" s="1540"/>
      <c r="C33" s="1543"/>
      <c r="D33" s="1543"/>
      <c r="E33" s="1543"/>
      <c r="F33" s="1543"/>
      <c r="G33" s="1543"/>
      <c r="H33" s="1543"/>
      <c r="I33" s="1543"/>
      <c r="J33" s="1543"/>
      <c r="K33" s="1543"/>
      <c r="L33" s="1543"/>
      <c r="M33" s="1543"/>
      <c r="N33" s="1543"/>
      <c r="O33" s="1543"/>
      <c r="P33" s="1543"/>
      <c r="Q33" s="1543"/>
      <c r="R33" s="1543"/>
      <c r="S33" s="1543"/>
      <c r="T33" s="1543"/>
      <c r="U33" s="1544"/>
      <c r="V33" s="255"/>
      <c r="W33" s="256"/>
      <c r="X33" s="257"/>
    </row>
    <row r="34" spans="1:29" ht="15" customHeight="1" x14ac:dyDescent="0.4">
      <c r="A34" s="1530" t="s">
        <v>845</v>
      </c>
      <c r="B34" s="1531"/>
      <c r="C34" s="1531"/>
      <c r="D34" s="1531"/>
      <c r="E34" s="1531"/>
      <c r="F34" s="1531"/>
      <c r="G34" s="1531"/>
      <c r="H34" s="276"/>
      <c r="I34" s="1531" t="s">
        <v>846</v>
      </c>
      <c r="J34" s="1531"/>
      <c r="K34" s="1531"/>
      <c r="L34" s="1531"/>
      <c r="M34" s="1531" t="s">
        <v>847</v>
      </c>
      <c r="N34" s="1531"/>
      <c r="O34" s="1531"/>
      <c r="P34" s="1532" t="s">
        <v>848</v>
      </c>
      <c r="Q34" s="1532"/>
      <c r="R34" s="1532"/>
      <c r="S34" s="1532"/>
      <c r="T34" s="276"/>
      <c r="U34" s="276"/>
      <c r="V34" s="262"/>
      <c r="W34" s="263"/>
      <c r="X34" s="257"/>
    </row>
    <row r="35" spans="1:29" ht="15" customHeight="1" x14ac:dyDescent="0.4">
      <c r="A35" s="1537" t="s">
        <v>825</v>
      </c>
      <c r="B35" s="1538"/>
      <c r="C35" s="1541"/>
      <c r="D35" s="1541"/>
      <c r="E35" s="1541"/>
      <c r="F35" s="1541"/>
      <c r="G35" s="1541"/>
      <c r="H35" s="1541"/>
      <c r="I35" s="1541"/>
      <c r="J35" s="1541"/>
      <c r="K35" s="1541"/>
      <c r="L35" s="1541"/>
      <c r="M35" s="1541"/>
      <c r="N35" s="1541"/>
      <c r="O35" s="1541"/>
      <c r="P35" s="1541"/>
      <c r="Q35" s="1541"/>
      <c r="R35" s="1541"/>
      <c r="S35" s="1541"/>
      <c r="T35" s="1541"/>
      <c r="U35" s="1542"/>
      <c r="V35" s="255"/>
      <c r="W35" s="256"/>
      <c r="X35" s="257"/>
    </row>
    <row r="36" spans="1:29" ht="15" customHeight="1" x14ac:dyDescent="0.4">
      <c r="A36" s="1539"/>
      <c r="B36" s="1540"/>
      <c r="C36" s="1543"/>
      <c r="D36" s="1543"/>
      <c r="E36" s="1543"/>
      <c r="F36" s="1543"/>
      <c r="G36" s="1543"/>
      <c r="H36" s="1543"/>
      <c r="I36" s="1543"/>
      <c r="J36" s="1543"/>
      <c r="K36" s="1543"/>
      <c r="L36" s="1543"/>
      <c r="M36" s="1543"/>
      <c r="N36" s="1543"/>
      <c r="O36" s="1543"/>
      <c r="P36" s="1543"/>
      <c r="Q36" s="1543"/>
      <c r="R36" s="1543"/>
      <c r="S36" s="1543"/>
      <c r="T36" s="1543"/>
      <c r="U36" s="1544"/>
      <c r="V36" s="270"/>
      <c r="W36" s="258"/>
      <c r="X36" s="271"/>
    </row>
    <row r="37" spans="1:29" ht="9" customHeight="1" x14ac:dyDescent="0.4"/>
    <row r="38" spans="1:29" ht="15.75" customHeight="1" x14ac:dyDescent="0.4">
      <c r="A38" s="246"/>
      <c r="B38" s="246"/>
      <c r="C38" s="246"/>
      <c r="D38" s="246"/>
      <c r="E38" s="246"/>
      <c r="F38" s="246"/>
      <c r="G38" s="246"/>
      <c r="H38" s="246"/>
      <c r="I38" s="246"/>
      <c r="J38" s="246"/>
      <c r="K38" s="246"/>
      <c r="L38" s="246"/>
      <c r="M38" s="246"/>
      <c r="N38" s="246"/>
      <c r="O38" s="246"/>
      <c r="P38" s="246"/>
      <c r="Q38" s="246"/>
      <c r="R38" s="246"/>
      <c r="S38" s="1529"/>
      <c r="T38" s="1529"/>
      <c r="U38" s="1529"/>
      <c r="V38" s="1529"/>
      <c r="W38" s="1529"/>
      <c r="X38" s="1529"/>
    </row>
    <row r="39" spans="1:29" ht="18" customHeight="1" x14ac:dyDescent="0.4">
      <c r="A39" s="249" t="s">
        <v>821</v>
      </c>
      <c r="B39" s="250" t="e">
        <f>MONTH(U39)</f>
        <v>#VALUE!</v>
      </c>
      <c r="C39" s="251" t="s">
        <v>822</v>
      </c>
      <c r="D39" s="273"/>
      <c r="E39" s="1526" t="s">
        <v>823</v>
      </c>
      <c r="F39" s="1527"/>
      <c r="G39" s="1527"/>
      <c r="H39" s="1528"/>
      <c r="I39" s="279"/>
      <c r="J39" s="280"/>
      <c r="K39" s="1527" t="s">
        <v>440</v>
      </c>
      <c r="L39" s="1527"/>
      <c r="M39" s="1527"/>
      <c r="N39" s="280"/>
      <c r="O39" s="1527" t="s">
        <v>5</v>
      </c>
      <c r="P39" s="1527"/>
      <c r="Q39" s="1527"/>
      <c r="R39" s="281"/>
      <c r="S39" s="1526" t="s">
        <v>824</v>
      </c>
      <c r="T39" s="1528"/>
      <c r="U39" s="1523" t="str">
        <f>AB8</f>
        <v>モニタリングシート!J39</v>
      </c>
      <c r="V39" s="1524"/>
      <c r="W39" s="1524"/>
      <c r="X39" s="1525"/>
    </row>
    <row r="40" spans="1:29" ht="15" customHeight="1" x14ac:dyDescent="0.4">
      <c r="A40" s="1530" t="s">
        <v>831</v>
      </c>
      <c r="B40" s="1531"/>
      <c r="C40" s="1531"/>
      <c r="D40" s="1531"/>
      <c r="E40" s="1531"/>
      <c r="F40" s="1531"/>
      <c r="G40" s="1531"/>
      <c r="H40" s="276"/>
      <c r="I40" s="1531" t="s">
        <v>829</v>
      </c>
      <c r="J40" s="1531"/>
      <c r="K40" s="1531"/>
      <c r="L40" s="1531"/>
      <c r="M40" s="276"/>
      <c r="N40" s="1531" t="s">
        <v>830</v>
      </c>
      <c r="O40" s="1531"/>
      <c r="P40" s="1531"/>
      <c r="Q40" s="1531"/>
      <c r="R40" s="1531"/>
      <c r="S40" s="276"/>
      <c r="T40" s="1531" t="s">
        <v>836</v>
      </c>
      <c r="U40" s="1536"/>
      <c r="V40" s="252"/>
      <c r="W40" s="253"/>
      <c r="X40" s="254"/>
    </row>
    <row r="41" spans="1:29" ht="15" customHeight="1" x14ac:dyDescent="0.4">
      <c r="A41" s="1537" t="s">
        <v>825</v>
      </c>
      <c r="B41" s="1538"/>
      <c r="C41" s="1541"/>
      <c r="D41" s="1541"/>
      <c r="E41" s="1541"/>
      <c r="F41" s="1541"/>
      <c r="G41" s="1541"/>
      <c r="H41" s="1541"/>
      <c r="I41" s="1541"/>
      <c r="J41" s="1541"/>
      <c r="K41" s="1541"/>
      <c r="L41" s="1541"/>
      <c r="M41" s="1541"/>
      <c r="N41" s="1541"/>
      <c r="O41" s="1541"/>
      <c r="P41" s="1541"/>
      <c r="Q41" s="1541"/>
      <c r="R41" s="1541"/>
      <c r="S41" s="1541"/>
      <c r="T41" s="1541"/>
      <c r="U41" s="1542"/>
      <c r="V41" s="255"/>
      <c r="W41" s="256"/>
      <c r="X41" s="257"/>
    </row>
    <row r="42" spans="1:29" ht="15" customHeight="1" x14ac:dyDescent="0.4">
      <c r="A42" s="1539"/>
      <c r="B42" s="1540"/>
      <c r="C42" s="1543"/>
      <c r="D42" s="1543"/>
      <c r="E42" s="1543"/>
      <c r="F42" s="1543"/>
      <c r="G42" s="1543"/>
      <c r="H42" s="1543"/>
      <c r="I42" s="1543"/>
      <c r="J42" s="1543"/>
      <c r="K42" s="1543"/>
      <c r="L42" s="1543"/>
      <c r="M42" s="1543"/>
      <c r="N42" s="1543"/>
      <c r="O42" s="1543"/>
      <c r="P42" s="1543"/>
      <c r="Q42" s="1543"/>
      <c r="R42" s="1543"/>
      <c r="S42" s="1543"/>
      <c r="T42" s="1543"/>
      <c r="U42" s="1544"/>
      <c r="V42" s="255"/>
      <c r="W42" s="256"/>
      <c r="X42" s="257"/>
      <c r="AC42" s="259"/>
    </row>
    <row r="43" spans="1:29" ht="15" customHeight="1" x14ac:dyDescent="0.4">
      <c r="A43" s="260" t="s">
        <v>833</v>
      </c>
      <c r="B43" s="261"/>
      <c r="C43" s="261"/>
      <c r="D43" s="261"/>
      <c r="E43" s="261"/>
      <c r="F43" s="261"/>
      <c r="G43" s="261"/>
      <c r="H43" s="1531" t="s">
        <v>832</v>
      </c>
      <c r="I43" s="1531"/>
      <c r="J43" s="1531"/>
      <c r="K43" s="1531"/>
      <c r="L43" s="1531"/>
      <c r="M43" s="276"/>
      <c r="N43" s="276" t="s">
        <v>834</v>
      </c>
      <c r="O43" s="276"/>
      <c r="P43" s="276"/>
      <c r="Q43" s="276"/>
      <c r="R43" s="276"/>
      <c r="S43" s="1531" t="s">
        <v>835</v>
      </c>
      <c r="T43" s="1531"/>
      <c r="U43" s="1536"/>
      <c r="V43" s="262"/>
      <c r="W43" s="263"/>
      <c r="X43" s="257"/>
    </row>
    <row r="44" spans="1:29" ht="15" customHeight="1" x14ac:dyDescent="0.4">
      <c r="A44" s="1537" t="s">
        <v>825</v>
      </c>
      <c r="B44" s="1538"/>
      <c r="C44" s="1541"/>
      <c r="D44" s="1541"/>
      <c r="E44" s="1541"/>
      <c r="F44" s="1541"/>
      <c r="G44" s="1541"/>
      <c r="H44" s="1541"/>
      <c r="I44" s="1541"/>
      <c r="J44" s="1541"/>
      <c r="K44" s="1541"/>
      <c r="L44" s="1541"/>
      <c r="M44" s="1541"/>
      <c r="N44" s="1541"/>
      <c r="O44" s="1541"/>
      <c r="P44" s="1541"/>
      <c r="Q44" s="1541"/>
      <c r="R44" s="1541"/>
      <c r="S44" s="1541"/>
      <c r="T44" s="1541"/>
      <c r="U44" s="1542"/>
      <c r="V44" s="255"/>
      <c r="W44" s="256"/>
      <c r="X44" s="257"/>
    </row>
    <row r="45" spans="1:29" ht="15" customHeight="1" x14ac:dyDescent="0.4">
      <c r="A45" s="1539"/>
      <c r="B45" s="1540"/>
      <c r="C45" s="1543"/>
      <c r="D45" s="1543"/>
      <c r="E45" s="1543"/>
      <c r="F45" s="1543"/>
      <c r="G45" s="1543"/>
      <c r="H45" s="1543"/>
      <c r="I45" s="1543"/>
      <c r="J45" s="1543"/>
      <c r="K45" s="1543"/>
      <c r="L45" s="1543"/>
      <c r="M45" s="1543"/>
      <c r="N45" s="1543"/>
      <c r="O45" s="1543"/>
      <c r="P45" s="1543"/>
      <c r="Q45" s="1543"/>
      <c r="R45" s="1543"/>
      <c r="S45" s="1543"/>
      <c r="T45" s="1543"/>
      <c r="U45" s="1544"/>
      <c r="V45" s="264" t="s">
        <v>826</v>
      </c>
      <c r="W45" s="265" t="e">
        <f>MOD(B39,12)+1</f>
        <v>#VALUE!</v>
      </c>
      <c r="X45" s="266" t="s">
        <v>827</v>
      </c>
    </row>
    <row r="46" spans="1:29" ht="15" customHeight="1" x14ac:dyDescent="0.4">
      <c r="A46" s="1530" t="s">
        <v>837</v>
      </c>
      <c r="B46" s="1531"/>
      <c r="C46" s="1531"/>
      <c r="D46" s="1531"/>
      <c r="E46" s="1531"/>
      <c r="F46" s="1531" t="s">
        <v>838</v>
      </c>
      <c r="G46" s="1531"/>
      <c r="H46" s="276"/>
      <c r="I46" s="1531" t="s">
        <v>839</v>
      </c>
      <c r="J46" s="1531"/>
      <c r="K46" s="1531"/>
      <c r="L46" s="1531"/>
      <c r="M46" s="1531"/>
      <c r="N46" s="276"/>
      <c r="O46" s="1531" t="s">
        <v>840</v>
      </c>
      <c r="P46" s="1531"/>
      <c r="Q46" s="1531"/>
      <c r="R46" s="276"/>
      <c r="S46" s="276"/>
      <c r="T46" s="276"/>
      <c r="U46" s="276"/>
      <c r="V46" s="1533" t="s">
        <v>828</v>
      </c>
      <c r="W46" s="1534"/>
      <c r="X46" s="1535"/>
    </row>
    <row r="47" spans="1:29" ht="15" customHeight="1" x14ac:dyDescent="0.4">
      <c r="A47" s="1537" t="s">
        <v>825</v>
      </c>
      <c r="B47" s="1538"/>
      <c r="C47" s="1541"/>
      <c r="D47" s="1541"/>
      <c r="E47" s="1541"/>
      <c r="F47" s="1541"/>
      <c r="G47" s="1541"/>
      <c r="H47" s="1541"/>
      <c r="I47" s="1541"/>
      <c r="J47" s="1541"/>
      <c r="K47" s="1541"/>
      <c r="L47" s="1541"/>
      <c r="M47" s="1541"/>
      <c r="N47" s="1541"/>
      <c r="O47" s="1541"/>
      <c r="P47" s="1541"/>
      <c r="Q47" s="1541"/>
      <c r="R47" s="1541"/>
      <c r="S47" s="1541"/>
      <c r="T47" s="1541"/>
      <c r="U47" s="1542"/>
      <c r="V47" s="277"/>
      <c r="W47" s="1545" t="s">
        <v>849</v>
      </c>
      <c r="X47" s="1546"/>
    </row>
    <row r="48" spans="1:29" ht="15" customHeight="1" x14ac:dyDescent="0.4">
      <c r="A48" s="1539"/>
      <c r="B48" s="1540"/>
      <c r="C48" s="1543"/>
      <c r="D48" s="1543"/>
      <c r="E48" s="1543"/>
      <c r="F48" s="1543"/>
      <c r="G48" s="1543"/>
      <c r="H48" s="1543"/>
      <c r="I48" s="1543"/>
      <c r="J48" s="1543"/>
      <c r="K48" s="1543"/>
      <c r="L48" s="1543"/>
      <c r="M48" s="1543"/>
      <c r="N48" s="1543"/>
      <c r="O48" s="1543"/>
      <c r="P48" s="1543"/>
      <c r="Q48" s="1543"/>
      <c r="R48" s="1543"/>
      <c r="S48" s="1543"/>
      <c r="T48" s="1543"/>
      <c r="U48" s="1544"/>
      <c r="V48" s="267"/>
      <c r="W48" s="1547" t="s">
        <v>850</v>
      </c>
      <c r="X48" s="1548"/>
    </row>
    <row r="49" spans="1:29" ht="15" customHeight="1" x14ac:dyDescent="0.4">
      <c r="A49" s="1530" t="s">
        <v>841</v>
      </c>
      <c r="B49" s="1531"/>
      <c r="C49" s="1531"/>
      <c r="D49" s="1531"/>
      <c r="E49" s="1532" t="s">
        <v>842</v>
      </c>
      <c r="F49" s="1532"/>
      <c r="G49" s="1532"/>
      <c r="H49" s="1532"/>
      <c r="I49" s="276"/>
      <c r="J49" s="1531" t="s">
        <v>843</v>
      </c>
      <c r="K49" s="1531"/>
      <c r="L49" s="1531"/>
      <c r="M49" s="1531"/>
      <c r="N49" s="276"/>
      <c r="O49" s="1531" t="s">
        <v>844</v>
      </c>
      <c r="P49" s="1531"/>
      <c r="Q49" s="276"/>
      <c r="R49" s="276"/>
      <c r="S49" s="276"/>
      <c r="T49" s="276"/>
      <c r="U49" s="276"/>
      <c r="V49" s="267"/>
      <c r="W49" s="268"/>
      <c r="X49" s="269"/>
    </row>
    <row r="50" spans="1:29" ht="15" customHeight="1" x14ac:dyDescent="0.4">
      <c r="A50" s="1537" t="s">
        <v>825</v>
      </c>
      <c r="B50" s="1538"/>
      <c r="C50" s="1541"/>
      <c r="D50" s="1541"/>
      <c r="E50" s="1541"/>
      <c r="F50" s="1541"/>
      <c r="G50" s="1541"/>
      <c r="H50" s="1541"/>
      <c r="I50" s="1541"/>
      <c r="J50" s="1541"/>
      <c r="K50" s="1541"/>
      <c r="L50" s="1541"/>
      <c r="M50" s="1541"/>
      <c r="N50" s="1541"/>
      <c r="O50" s="1541"/>
      <c r="P50" s="1541"/>
      <c r="Q50" s="1541"/>
      <c r="R50" s="1541"/>
      <c r="S50" s="1541"/>
      <c r="T50" s="1541"/>
      <c r="U50" s="1542"/>
      <c r="V50" s="255"/>
      <c r="W50" s="256"/>
      <c r="X50" s="257"/>
    </row>
    <row r="51" spans="1:29" ht="15" customHeight="1" x14ac:dyDescent="0.4">
      <c r="A51" s="1539"/>
      <c r="B51" s="1540"/>
      <c r="C51" s="1543"/>
      <c r="D51" s="1543"/>
      <c r="E51" s="1543"/>
      <c r="F51" s="1543"/>
      <c r="G51" s="1543"/>
      <c r="H51" s="1543"/>
      <c r="I51" s="1543"/>
      <c r="J51" s="1543"/>
      <c r="K51" s="1543"/>
      <c r="L51" s="1543"/>
      <c r="M51" s="1543"/>
      <c r="N51" s="1543"/>
      <c r="O51" s="1543"/>
      <c r="P51" s="1543"/>
      <c r="Q51" s="1543"/>
      <c r="R51" s="1543"/>
      <c r="S51" s="1543"/>
      <c r="T51" s="1543"/>
      <c r="U51" s="1544"/>
      <c r="V51" s="255"/>
      <c r="W51" s="256"/>
      <c r="X51" s="257"/>
    </row>
    <row r="52" spans="1:29" ht="15" customHeight="1" x14ac:dyDescent="0.4">
      <c r="A52" s="1530" t="s">
        <v>845</v>
      </c>
      <c r="B52" s="1531"/>
      <c r="C52" s="1531"/>
      <c r="D52" s="1531"/>
      <c r="E52" s="1531"/>
      <c r="F52" s="1531"/>
      <c r="G52" s="1531"/>
      <c r="H52" s="276"/>
      <c r="I52" s="1531" t="s">
        <v>846</v>
      </c>
      <c r="J52" s="1531"/>
      <c r="K52" s="1531"/>
      <c r="L52" s="1531"/>
      <c r="M52" s="1531" t="s">
        <v>847</v>
      </c>
      <c r="N52" s="1531"/>
      <c r="O52" s="1531"/>
      <c r="P52" s="1532" t="s">
        <v>848</v>
      </c>
      <c r="Q52" s="1532"/>
      <c r="R52" s="1532"/>
      <c r="S52" s="1532"/>
      <c r="T52" s="276"/>
      <c r="U52" s="276"/>
      <c r="V52" s="262"/>
      <c r="W52" s="263"/>
      <c r="X52" s="257"/>
    </row>
    <row r="53" spans="1:29" ht="15" customHeight="1" x14ac:dyDescent="0.4">
      <c r="A53" s="1537" t="s">
        <v>825</v>
      </c>
      <c r="B53" s="1538"/>
      <c r="C53" s="1541"/>
      <c r="D53" s="1541"/>
      <c r="E53" s="1541"/>
      <c r="F53" s="1541"/>
      <c r="G53" s="1541"/>
      <c r="H53" s="1541"/>
      <c r="I53" s="1541"/>
      <c r="J53" s="1541"/>
      <c r="K53" s="1541"/>
      <c r="L53" s="1541"/>
      <c r="M53" s="1541"/>
      <c r="N53" s="1541"/>
      <c r="O53" s="1541"/>
      <c r="P53" s="1541"/>
      <c r="Q53" s="1541"/>
      <c r="R53" s="1541"/>
      <c r="S53" s="1541"/>
      <c r="T53" s="1541"/>
      <c r="U53" s="1542"/>
      <c r="V53" s="255"/>
      <c r="W53" s="256"/>
      <c r="X53" s="257"/>
    </row>
    <row r="54" spans="1:29" ht="15" customHeight="1" x14ac:dyDescent="0.4">
      <c r="A54" s="1539"/>
      <c r="B54" s="1540"/>
      <c r="C54" s="1543"/>
      <c r="D54" s="1543"/>
      <c r="E54" s="1543"/>
      <c r="F54" s="1543"/>
      <c r="G54" s="1543"/>
      <c r="H54" s="1543"/>
      <c r="I54" s="1543"/>
      <c r="J54" s="1543"/>
      <c r="K54" s="1543"/>
      <c r="L54" s="1543"/>
      <c r="M54" s="1543"/>
      <c r="N54" s="1543"/>
      <c r="O54" s="1543"/>
      <c r="P54" s="1543"/>
      <c r="Q54" s="1543"/>
      <c r="R54" s="1543"/>
      <c r="S54" s="1543"/>
      <c r="T54" s="1543"/>
      <c r="U54" s="1544"/>
      <c r="V54" s="270"/>
      <c r="W54" s="258"/>
      <c r="X54" s="271"/>
    </row>
    <row r="55" spans="1:29" ht="18" customHeight="1" x14ac:dyDescent="0.4">
      <c r="A55" s="1519" t="s">
        <v>814</v>
      </c>
      <c r="B55" s="1519"/>
      <c r="C55" s="1519"/>
      <c r="D55" s="1519"/>
      <c r="E55" s="1519"/>
      <c r="F55" s="274"/>
      <c r="G55" s="274"/>
      <c r="H55" s="274"/>
      <c r="I55" s="1549" t="s">
        <v>815</v>
      </c>
      <c r="J55" s="1521"/>
      <c r="K55" s="1521"/>
      <c r="L55" s="1521"/>
      <c r="M55" s="1520">
        <f>M1</f>
        <v>0</v>
      </c>
      <c r="N55" s="1520"/>
      <c r="O55" s="1520"/>
      <c r="P55" s="1520"/>
      <c r="Q55" s="1520"/>
      <c r="R55" s="243" t="s">
        <v>816</v>
      </c>
      <c r="S55" s="1549" t="s">
        <v>817</v>
      </c>
      <c r="T55" s="1521"/>
      <c r="U55" s="1521">
        <f>U1</f>
        <v>0</v>
      </c>
      <c r="V55" s="1521"/>
      <c r="W55" s="1521"/>
      <c r="X55" s="244" t="s">
        <v>818</v>
      </c>
    </row>
    <row r="56" spans="1:29" ht="15.75" customHeight="1" x14ac:dyDescent="0.4">
      <c r="A56" s="246" t="s">
        <v>819</v>
      </c>
      <c r="B56" s="246"/>
      <c r="C56" s="246"/>
      <c r="D56" s="246"/>
      <c r="E56" s="247"/>
      <c r="F56" s="1550"/>
      <c r="G56" s="1550"/>
      <c r="H56" s="1550"/>
      <c r="I56" s="1550"/>
      <c r="J56" s="1550"/>
      <c r="K56" s="248" t="s">
        <v>43</v>
      </c>
      <c r="L56" s="1551"/>
      <c r="M56" s="1551"/>
      <c r="N56" s="1551"/>
      <c r="O56" s="1551"/>
      <c r="P56" s="1551"/>
      <c r="Q56" s="1521" t="s">
        <v>820</v>
      </c>
      <c r="R56" s="1521"/>
      <c r="S56" s="1522"/>
      <c r="T56" s="1522"/>
      <c r="U56" s="1522"/>
      <c r="V56" s="1522"/>
      <c r="W56" s="1522"/>
      <c r="X56" s="1522"/>
    </row>
    <row r="57" spans="1:29" ht="18" customHeight="1" x14ac:dyDescent="0.4">
      <c r="A57" s="249" t="s">
        <v>821</v>
      </c>
      <c r="B57" s="250" t="e">
        <f>MONTH(U57)</f>
        <v>#VALUE!</v>
      </c>
      <c r="C57" s="251" t="s">
        <v>822</v>
      </c>
      <c r="D57" s="273"/>
      <c r="E57" s="1526" t="s">
        <v>823</v>
      </c>
      <c r="F57" s="1527"/>
      <c r="G57" s="1527"/>
      <c r="H57" s="1528"/>
      <c r="I57" s="279"/>
      <c r="J57" s="280"/>
      <c r="K57" s="1527" t="s">
        <v>440</v>
      </c>
      <c r="L57" s="1527"/>
      <c r="M57" s="1527"/>
      <c r="N57" s="280"/>
      <c r="O57" s="1527" t="s">
        <v>5</v>
      </c>
      <c r="P57" s="1527"/>
      <c r="Q57" s="1527"/>
      <c r="R57" s="281"/>
      <c r="S57" s="1526" t="s">
        <v>824</v>
      </c>
      <c r="T57" s="1528"/>
      <c r="U57" s="1523" t="str">
        <f>AB10</f>
        <v>モニタリングシート!J57</v>
      </c>
      <c r="V57" s="1524"/>
      <c r="W57" s="1524"/>
      <c r="X57" s="1525"/>
    </row>
    <row r="58" spans="1:29" ht="15" customHeight="1" x14ac:dyDescent="0.4">
      <c r="A58" s="1530" t="s">
        <v>831</v>
      </c>
      <c r="B58" s="1531"/>
      <c r="C58" s="1531"/>
      <c r="D58" s="1531"/>
      <c r="E58" s="1531"/>
      <c r="F58" s="1531"/>
      <c r="G58" s="1531"/>
      <c r="H58" s="276"/>
      <c r="I58" s="1531" t="s">
        <v>829</v>
      </c>
      <c r="J58" s="1531"/>
      <c r="K58" s="1531"/>
      <c r="L58" s="1531"/>
      <c r="M58" s="276"/>
      <c r="N58" s="1531" t="s">
        <v>830</v>
      </c>
      <c r="O58" s="1531"/>
      <c r="P58" s="1531"/>
      <c r="Q58" s="1531"/>
      <c r="R58" s="1531"/>
      <c r="S58" s="276"/>
      <c r="T58" s="1531" t="s">
        <v>836</v>
      </c>
      <c r="U58" s="1536"/>
      <c r="V58" s="252"/>
      <c r="W58" s="253"/>
      <c r="X58" s="254"/>
    </row>
    <row r="59" spans="1:29" ht="15" customHeight="1" x14ac:dyDescent="0.4">
      <c r="A59" s="1537" t="s">
        <v>825</v>
      </c>
      <c r="B59" s="1538"/>
      <c r="C59" s="1541"/>
      <c r="D59" s="1541"/>
      <c r="E59" s="1541"/>
      <c r="F59" s="1541"/>
      <c r="G59" s="1541"/>
      <c r="H59" s="1541"/>
      <c r="I59" s="1541"/>
      <c r="J59" s="1541"/>
      <c r="K59" s="1541"/>
      <c r="L59" s="1541"/>
      <c r="M59" s="1541"/>
      <c r="N59" s="1541"/>
      <c r="O59" s="1541"/>
      <c r="P59" s="1541"/>
      <c r="Q59" s="1541"/>
      <c r="R59" s="1541"/>
      <c r="S59" s="1541"/>
      <c r="T59" s="1541"/>
      <c r="U59" s="1542"/>
      <c r="V59" s="255"/>
      <c r="W59" s="256"/>
      <c r="X59" s="257"/>
    </row>
    <row r="60" spans="1:29" ht="15" customHeight="1" x14ac:dyDescent="0.4">
      <c r="A60" s="1539"/>
      <c r="B60" s="1540"/>
      <c r="C60" s="1543"/>
      <c r="D60" s="1543"/>
      <c r="E60" s="1543"/>
      <c r="F60" s="1543"/>
      <c r="G60" s="1543"/>
      <c r="H60" s="1543"/>
      <c r="I60" s="1543"/>
      <c r="J60" s="1543"/>
      <c r="K60" s="1543"/>
      <c r="L60" s="1543"/>
      <c r="M60" s="1543"/>
      <c r="N60" s="1543"/>
      <c r="O60" s="1543"/>
      <c r="P60" s="1543"/>
      <c r="Q60" s="1543"/>
      <c r="R60" s="1543"/>
      <c r="S60" s="1543"/>
      <c r="T60" s="1543"/>
      <c r="U60" s="1544"/>
      <c r="V60" s="255"/>
      <c r="W60" s="256"/>
      <c r="X60" s="257"/>
      <c r="AC60" s="259"/>
    </row>
    <row r="61" spans="1:29" ht="15" customHeight="1" x14ac:dyDescent="0.4">
      <c r="A61" s="260" t="s">
        <v>833</v>
      </c>
      <c r="B61" s="261"/>
      <c r="C61" s="261"/>
      <c r="D61" s="261"/>
      <c r="E61" s="261"/>
      <c r="F61" s="261"/>
      <c r="G61" s="261"/>
      <c r="H61" s="1531" t="s">
        <v>832</v>
      </c>
      <c r="I61" s="1531"/>
      <c r="J61" s="1531"/>
      <c r="K61" s="1531"/>
      <c r="L61" s="1531"/>
      <c r="M61" s="276"/>
      <c r="N61" s="276" t="s">
        <v>834</v>
      </c>
      <c r="O61" s="276"/>
      <c r="P61" s="276"/>
      <c r="Q61" s="276"/>
      <c r="R61" s="276"/>
      <c r="S61" s="1531" t="s">
        <v>835</v>
      </c>
      <c r="T61" s="1531"/>
      <c r="U61" s="1536"/>
      <c r="V61" s="262"/>
      <c r="W61" s="263"/>
      <c r="X61" s="257"/>
    </row>
    <row r="62" spans="1:29" ht="15" customHeight="1" x14ac:dyDescent="0.4">
      <c r="A62" s="1537" t="s">
        <v>825</v>
      </c>
      <c r="B62" s="1538"/>
      <c r="C62" s="1541"/>
      <c r="D62" s="1541"/>
      <c r="E62" s="1541"/>
      <c r="F62" s="1541"/>
      <c r="G62" s="1541"/>
      <c r="H62" s="1541"/>
      <c r="I62" s="1541"/>
      <c r="J62" s="1541"/>
      <c r="K62" s="1541"/>
      <c r="L62" s="1541"/>
      <c r="M62" s="1541"/>
      <c r="N62" s="1541"/>
      <c r="O62" s="1541"/>
      <c r="P62" s="1541"/>
      <c r="Q62" s="1541"/>
      <c r="R62" s="1541"/>
      <c r="S62" s="1541"/>
      <c r="T62" s="1541"/>
      <c r="U62" s="1542"/>
      <c r="V62" s="255"/>
      <c r="W62" s="256"/>
      <c r="X62" s="257"/>
    </row>
    <row r="63" spans="1:29" ht="15" customHeight="1" x14ac:dyDescent="0.4">
      <c r="A63" s="1539"/>
      <c r="B63" s="1540"/>
      <c r="C63" s="1543"/>
      <c r="D63" s="1543"/>
      <c r="E63" s="1543"/>
      <c r="F63" s="1543"/>
      <c r="G63" s="1543"/>
      <c r="H63" s="1543"/>
      <c r="I63" s="1543"/>
      <c r="J63" s="1543"/>
      <c r="K63" s="1543"/>
      <c r="L63" s="1543"/>
      <c r="M63" s="1543"/>
      <c r="N63" s="1543"/>
      <c r="O63" s="1543"/>
      <c r="P63" s="1543"/>
      <c r="Q63" s="1543"/>
      <c r="R63" s="1543"/>
      <c r="S63" s="1543"/>
      <c r="T63" s="1543"/>
      <c r="U63" s="1544"/>
      <c r="V63" s="264" t="s">
        <v>826</v>
      </c>
      <c r="W63" s="265" t="e">
        <f>MOD(B57,12)+1</f>
        <v>#VALUE!</v>
      </c>
      <c r="X63" s="266" t="s">
        <v>827</v>
      </c>
    </row>
    <row r="64" spans="1:29" ht="15" customHeight="1" x14ac:dyDescent="0.4">
      <c r="A64" s="1530" t="s">
        <v>837</v>
      </c>
      <c r="B64" s="1531"/>
      <c r="C64" s="1531"/>
      <c r="D64" s="1531"/>
      <c r="E64" s="1531"/>
      <c r="F64" s="1531" t="s">
        <v>838</v>
      </c>
      <c r="G64" s="1531"/>
      <c r="H64" s="276"/>
      <c r="I64" s="1531" t="s">
        <v>839</v>
      </c>
      <c r="J64" s="1531"/>
      <c r="K64" s="1531"/>
      <c r="L64" s="1531"/>
      <c r="M64" s="1531"/>
      <c r="N64" s="276"/>
      <c r="O64" s="1531" t="s">
        <v>840</v>
      </c>
      <c r="P64" s="1531"/>
      <c r="Q64" s="1531"/>
      <c r="R64" s="276"/>
      <c r="S64" s="276"/>
      <c r="T64" s="276"/>
      <c r="U64" s="276"/>
      <c r="V64" s="1533" t="s">
        <v>828</v>
      </c>
      <c r="W64" s="1534"/>
      <c r="X64" s="1535"/>
    </row>
    <row r="65" spans="1:29" ht="15" customHeight="1" x14ac:dyDescent="0.4">
      <c r="A65" s="1537" t="s">
        <v>825</v>
      </c>
      <c r="B65" s="1538"/>
      <c r="C65" s="1541"/>
      <c r="D65" s="1541"/>
      <c r="E65" s="1541"/>
      <c r="F65" s="1541"/>
      <c r="G65" s="1541"/>
      <c r="H65" s="1541"/>
      <c r="I65" s="1541"/>
      <c r="J65" s="1541"/>
      <c r="K65" s="1541"/>
      <c r="L65" s="1541"/>
      <c r="M65" s="1541"/>
      <c r="N65" s="1541"/>
      <c r="O65" s="1541"/>
      <c r="P65" s="1541"/>
      <c r="Q65" s="1541"/>
      <c r="R65" s="1541"/>
      <c r="S65" s="1541"/>
      <c r="T65" s="1541"/>
      <c r="U65" s="1542"/>
      <c r="V65" s="277"/>
      <c r="W65" s="1545" t="s">
        <v>849</v>
      </c>
      <c r="X65" s="1546"/>
    </row>
    <row r="66" spans="1:29" ht="15" customHeight="1" x14ac:dyDescent="0.4">
      <c r="A66" s="1539"/>
      <c r="B66" s="1540"/>
      <c r="C66" s="1543"/>
      <c r="D66" s="1543"/>
      <c r="E66" s="1543"/>
      <c r="F66" s="1543"/>
      <c r="G66" s="1543"/>
      <c r="H66" s="1543"/>
      <c r="I66" s="1543"/>
      <c r="J66" s="1543"/>
      <c r="K66" s="1543"/>
      <c r="L66" s="1543"/>
      <c r="M66" s="1543"/>
      <c r="N66" s="1543"/>
      <c r="O66" s="1543"/>
      <c r="P66" s="1543"/>
      <c r="Q66" s="1543"/>
      <c r="R66" s="1543"/>
      <c r="S66" s="1543"/>
      <c r="T66" s="1543"/>
      <c r="U66" s="1544"/>
      <c r="V66" s="267"/>
      <c r="W66" s="1547" t="s">
        <v>850</v>
      </c>
      <c r="X66" s="1548"/>
    </row>
    <row r="67" spans="1:29" ht="15" customHeight="1" x14ac:dyDescent="0.4">
      <c r="A67" s="1530" t="s">
        <v>841</v>
      </c>
      <c r="B67" s="1531"/>
      <c r="C67" s="1531"/>
      <c r="D67" s="1531"/>
      <c r="E67" s="1532" t="s">
        <v>842</v>
      </c>
      <c r="F67" s="1532"/>
      <c r="G67" s="1532"/>
      <c r="H67" s="1532"/>
      <c r="I67" s="276"/>
      <c r="J67" s="1531" t="s">
        <v>843</v>
      </c>
      <c r="K67" s="1531"/>
      <c r="L67" s="1531"/>
      <c r="M67" s="1531"/>
      <c r="N67" s="276"/>
      <c r="O67" s="1531" t="s">
        <v>844</v>
      </c>
      <c r="P67" s="1531"/>
      <c r="Q67" s="276"/>
      <c r="R67" s="276"/>
      <c r="S67" s="276"/>
      <c r="T67" s="276"/>
      <c r="U67" s="276"/>
      <c r="V67" s="267"/>
      <c r="W67" s="268"/>
      <c r="X67" s="269"/>
    </row>
    <row r="68" spans="1:29" ht="15" customHeight="1" x14ac:dyDescent="0.4">
      <c r="A68" s="1537" t="s">
        <v>825</v>
      </c>
      <c r="B68" s="1538"/>
      <c r="C68" s="1541"/>
      <c r="D68" s="1541"/>
      <c r="E68" s="1541"/>
      <c r="F68" s="1541"/>
      <c r="G68" s="1541"/>
      <c r="H68" s="1541"/>
      <c r="I68" s="1541"/>
      <c r="J68" s="1541"/>
      <c r="K68" s="1541"/>
      <c r="L68" s="1541"/>
      <c r="M68" s="1541"/>
      <c r="N68" s="1541"/>
      <c r="O68" s="1541"/>
      <c r="P68" s="1541"/>
      <c r="Q68" s="1541"/>
      <c r="R68" s="1541"/>
      <c r="S68" s="1541"/>
      <c r="T68" s="1541"/>
      <c r="U68" s="1542"/>
      <c r="V68" s="255"/>
      <c r="W68" s="256"/>
      <c r="X68" s="257"/>
    </row>
    <row r="69" spans="1:29" ht="15" customHeight="1" x14ac:dyDescent="0.4">
      <c r="A69" s="1539"/>
      <c r="B69" s="1540"/>
      <c r="C69" s="1543"/>
      <c r="D69" s="1543"/>
      <c r="E69" s="1543"/>
      <c r="F69" s="1543"/>
      <c r="G69" s="1543"/>
      <c r="H69" s="1543"/>
      <c r="I69" s="1543"/>
      <c r="J69" s="1543"/>
      <c r="K69" s="1543"/>
      <c r="L69" s="1543"/>
      <c r="M69" s="1543"/>
      <c r="N69" s="1543"/>
      <c r="O69" s="1543"/>
      <c r="P69" s="1543"/>
      <c r="Q69" s="1543"/>
      <c r="R69" s="1543"/>
      <c r="S69" s="1543"/>
      <c r="T69" s="1543"/>
      <c r="U69" s="1544"/>
      <c r="V69" s="255"/>
      <c r="W69" s="256"/>
      <c r="X69" s="257"/>
    </row>
    <row r="70" spans="1:29" ht="15" customHeight="1" x14ac:dyDescent="0.4">
      <c r="A70" s="1530" t="s">
        <v>845</v>
      </c>
      <c r="B70" s="1531"/>
      <c r="C70" s="1531"/>
      <c r="D70" s="1531"/>
      <c r="E70" s="1531"/>
      <c r="F70" s="1531"/>
      <c r="G70" s="1531"/>
      <c r="H70" s="276"/>
      <c r="I70" s="1531" t="s">
        <v>846</v>
      </c>
      <c r="J70" s="1531"/>
      <c r="K70" s="1531"/>
      <c r="L70" s="1531"/>
      <c r="M70" s="1531" t="s">
        <v>847</v>
      </c>
      <c r="N70" s="1531"/>
      <c r="O70" s="1531"/>
      <c r="P70" s="1532" t="s">
        <v>848</v>
      </c>
      <c r="Q70" s="1532"/>
      <c r="R70" s="1532"/>
      <c r="S70" s="1532"/>
      <c r="T70" s="276"/>
      <c r="U70" s="276"/>
      <c r="V70" s="262"/>
      <c r="W70" s="263"/>
      <c r="X70" s="257"/>
    </row>
    <row r="71" spans="1:29" ht="15" customHeight="1" x14ac:dyDescent="0.4">
      <c r="A71" s="1537" t="s">
        <v>825</v>
      </c>
      <c r="B71" s="1538"/>
      <c r="C71" s="1541"/>
      <c r="D71" s="1541"/>
      <c r="E71" s="1541"/>
      <c r="F71" s="1541"/>
      <c r="G71" s="1541"/>
      <c r="H71" s="1541"/>
      <c r="I71" s="1541"/>
      <c r="J71" s="1541"/>
      <c r="K71" s="1541"/>
      <c r="L71" s="1541"/>
      <c r="M71" s="1541"/>
      <c r="N71" s="1541"/>
      <c r="O71" s="1541"/>
      <c r="P71" s="1541"/>
      <c r="Q71" s="1541"/>
      <c r="R71" s="1541"/>
      <c r="S71" s="1541"/>
      <c r="T71" s="1541"/>
      <c r="U71" s="1542"/>
      <c r="V71" s="255"/>
      <c r="W71" s="256"/>
      <c r="X71" s="257"/>
    </row>
    <row r="72" spans="1:29" ht="15" customHeight="1" x14ac:dyDescent="0.4">
      <c r="A72" s="1539"/>
      <c r="B72" s="1540"/>
      <c r="C72" s="1543"/>
      <c r="D72" s="1543"/>
      <c r="E72" s="1543"/>
      <c r="F72" s="1543"/>
      <c r="G72" s="1543"/>
      <c r="H72" s="1543"/>
      <c r="I72" s="1543"/>
      <c r="J72" s="1543"/>
      <c r="K72" s="1543"/>
      <c r="L72" s="1543"/>
      <c r="M72" s="1543"/>
      <c r="N72" s="1543"/>
      <c r="O72" s="1543"/>
      <c r="P72" s="1543"/>
      <c r="Q72" s="1543"/>
      <c r="R72" s="1543"/>
      <c r="S72" s="1543"/>
      <c r="T72" s="1543"/>
      <c r="U72" s="1544"/>
      <c r="V72" s="270"/>
      <c r="W72" s="258"/>
      <c r="X72" s="271"/>
    </row>
    <row r="73" spans="1:29" ht="9" customHeight="1" x14ac:dyDescent="0.4"/>
    <row r="74" spans="1:29" ht="15.75" customHeight="1" x14ac:dyDescent="0.4">
      <c r="A74" s="246"/>
      <c r="B74" s="246"/>
      <c r="C74" s="246"/>
      <c r="D74" s="246"/>
      <c r="E74" s="246"/>
      <c r="F74" s="246"/>
      <c r="G74" s="246"/>
      <c r="H74" s="246"/>
      <c r="I74" s="246"/>
      <c r="J74" s="246"/>
      <c r="K74" s="246"/>
      <c r="L74" s="246"/>
      <c r="M74" s="246"/>
      <c r="N74" s="246"/>
      <c r="O74" s="246"/>
      <c r="P74" s="246"/>
      <c r="Q74" s="246"/>
      <c r="R74" s="246"/>
      <c r="S74" s="1529"/>
      <c r="T74" s="1529"/>
      <c r="U74" s="1529"/>
      <c r="V74" s="1529"/>
      <c r="W74" s="1529"/>
      <c r="X74" s="1529"/>
    </row>
    <row r="75" spans="1:29" ht="18" customHeight="1" x14ac:dyDescent="0.4">
      <c r="A75" s="249" t="s">
        <v>821</v>
      </c>
      <c r="B75" s="250" t="e">
        <f>MONTH(U75)</f>
        <v>#VALUE!</v>
      </c>
      <c r="C75" s="251" t="s">
        <v>822</v>
      </c>
      <c r="D75" s="273"/>
      <c r="E75" s="1526" t="s">
        <v>823</v>
      </c>
      <c r="F75" s="1527"/>
      <c r="G75" s="1527"/>
      <c r="H75" s="1528"/>
      <c r="I75" s="279"/>
      <c r="J75" s="280"/>
      <c r="K75" s="1527" t="s">
        <v>440</v>
      </c>
      <c r="L75" s="1527"/>
      <c r="M75" s="1527"/>
      <c r="N75" s="280"/>
      <c r="O75" s="1527" t="s">
        <v>5</v>
      </c>
      <c r="P75" s="1527"/>
      <c r="Q75" s="1527"/>
      <c r="R75" s="281"/>
      <c r="S75" s="1526" t="s">
        <v>824</v>
      </c>
      <c r="T75" s="1528"/>
      <c r="U75" s="1523" t="str">
        <f>AB12</f>
        <v>モニタリングシート!J75</v>
      </c>
      <c r="V75" s="1524"/>
      <c r="W75" s="1524"/>
      <c r="X75" s="1525"/>
    </row>
    <row r="76" spans="1:29" ht="15" customHeight="1" x14ac:dyDescent="0.4">
      <c r="A76" s="1530" t="s">
        <v>831</v>
      </c>
      <c r="B76" s="1531"/>
      <c r="C76" s="1531"/>
      <c r="D76" s="1531"/>
      <c r="E76" s="1531"/>
      <c r="F76" s="1531"/>
      <c r="G76" s="1531"/>
      <c r="H76" s="276"/>
      <c r="I76" s="1531" t="s">
        <v>829</v>
      </c>
      <c r="J76" s="1531"/>
      <c r="K76" s="1531"/>
      <c r="L76" s="1531"/>
      <c r="M76" s="276"/>
      <c r="N76" s="1531" t="s">
        <v>830</v>
      </c>
      <c r="O76" s="1531"/>
      <c r="P76" s="1531"/>
      <c r="Q76" s="1531"/>
      <c r="R76" s="1531"/>
      <c r="S76" s="276"/>
      <c r="T76" s="1531" t="s">
        <v>836</v>
      </c>
      <c r="U76" s="1536"/>
      <c r="V76" s="252"/>
      <c r="W76" s="253"/>
      <c r="X76" s="254"/>
    </row>
    <row r="77" spans="1:29" ht="15" customHeight="1" x14ac:dyDescent="0.4">
      <c r="A77" s="1537" t="s">
        <v>825</v>
      </c>
      <c r="B77" s="1538"/>
      <c r="C77" s="1541"/>
      <c r="D77" s="1541"/>
      <c r="E77" s="1541"/>
      <c r="F77" s="1541"/>
      <c r="G77" s="1541"/>
      <c r="H77" s="1541"/>
      <c r="I77" s="1541"/>
      <c r="J77" s="1541"/>
      <c r="K77" s="1541"/>
      <c r="L77" s="1541"/>
      <c r="M77" s="1541"/>
      <c r="N77" s="1541"/>
      <c r="O77" s="1541"/>
      <c r="P77" s="1541"/>
      <c r="Q77" s="1541"/>
      <c r="R77" s="1541"/>
      <c r="S77" s="1541"/>
      <c r="T77" s="1541"/>
      <c r="U77" s="1542"/>
      <c r="V77" s="255"/>
      <c r="W77" s="256"/>
      <c r="X77" s="257"/>
    </row>
    <row r="78" spans="1:29" ht="15" customHeight="1" x14ac:dyDescent="0.4">
      <c r="A78" s="1539"/>
      <c r="B78" s="1540"/>
      <c r="C78" s="1543"/>
      <c r="D78" s="1543"/>
      <c r="E78" s="1543"/>
      <c r="F78" s="1543"/>
      <c r="G78" s="1543"/>
      <c r="H78" s="1543"/>
      <c r="I78" s="1543"/>
      <c r="J78" s="1543"/>
      <c r="K78" s="1543"/>
      <c r="L78" s="1543"/>
      <c r="M78" s="1543"/>
      <c r="N78" s="1543"/>
      <c r="O78" s="1543"/>
      <c r="P78" s="1543"/>
      <c r="Q78" s="1543"/>
      <c r="R78" s="1543"/>
      <c r="S78" s="1543"/>
      <c r="T78" s="1543"/>
      <c r="U78" s="1544"/>
      <c r="V78" s="255"/>
      <c r="W78" s="256"/>
      <c r="X78" s="257"/>
      <c r="AC78" s="259"/>
    </row>
    <row r="79" spans="1:29" ht="15" customHeight="1" x14ac:dyDescent="0.4">
      <c r="A79" s="260" t="s">
        <v>833</v>
      </c>
      <c r="B79" s="261"/>
      <c r="C79" s="261"/>
      <c r="D79" s="261"/>
      <c r="E79" s="261"/>
      <c r="F79" s="261"/>
      <c r="G79" s="261"/>
      <c r="H79" s="1531" t="s">
        <v>832</v>
      </c>
      <c r="I79" s="1531"/>
      <c r="J79" s="1531"/>
      <c r="K79" s="1531"/>
      <c r="L79" s="1531"/>
      <c r="M79" s="276"/>
      <c r="N79" s="276" t="s">
        <v>834</v>
      </c>
      <c r="O79" s="276"/>
      <c r="P79" s="276"/>
      <c r="Q79" s="276"/>
      <c r="R79" s="276"/>
      <c r="S79" s="1531" t="s">
        <v>835</v>
      </c>
      <c r="T79" s="1531"/>
      <c r="U79" s="1536"/>
      <c r="V79" s="262"/>
      <c r="W79" s="263"/>
      <c r="X79" s="257"/>
    </row>
    <row r="80" spans="1:29" ht="15" customHeight="1" x14ac:dyDescent="0.4">
      <c r="A80" s="1537" t="s">
        <v>825</v>
      </c>
      <c r="B80" s="1538"/>
      <c r="C80" s="1541"/>
      <c r="D80" s="1541"/>
      <c r="E80" s="1541"/>
      <c r="F80" s="1541"/>
      <c r="G80" s="1541"/>
      <c r="H80" s="1541"/>
      <c r="I80" s="1541"/>
      <c r="J80" s="1541"/>
      <c r="K80" s="1541"/>
      <c r="L80" s="1541"/>
      <c r="M80" s="1541"/>
      <c r="N80" s="1541"/>
      <c r="O80" s="1541"/>
      <c r="P80" s="1541"/>
      <c r="Q80" s="1541"/>
      <c r="R80" s="1541"/>
      <c r="S80" s="1541"/>
      <c r="T80" s="1541"/>
      <c r="U80" s="1542"/>
      <c r="V80" s="255"/>
      <c r="W80" s="256"/>
      <c r="X80" s="257"/>
    </row>
    <row r="81" spans="1:29" ht="15" customHeight="1" x14ac:dyDescent="0.4">
      <c r="A81" s="1539"/>
      <c r="B81" s="1540"/>
      <c r="C81" s="1543"/>
      <c r="D81" s="1543"/>
      <c r="E81" s="1543"/>
      <c r="F81" s="1543"/>
      <c r="G81" s="1543"/>
      <c r="H81" s="1543"/>
      <c r="I81" s="1543"/>
      <c r="J81" s="1543"/>
      <c r="K81" s="1543"/>
      <c r="L81" s="1543"/>
      <c r="M81" s="1543"/>
      <c r="N81" s="1543"/>
      <c r="O81" s="1543"/>
      <c r="P81" s="1543"/>
      <c r="Q81" s="1543"/>
      <c r="R81" s="1543"/>
      <c r="S81" s="1543"/>
      <c r="T81" s="1543"/>
      <c r="U81" s="1544"/>
      <c r="V81" s="264" t="s">
        <v>826</v>
      </c>
      <c r="W81" s="265" t="e">
        <f>MOD(B75,12)+1</f>
        <v>#VALUE!</v>
      </c>
      <c r="X81" s="266" t="s">
        <v>827</v>
      </c>
    </row>
    <row r="82" spans="1:29" ht="15" customHeight="1" x14ac:dyDescent="0.4">
      <c r="A82" s="1530" t="s">
        <v>837</v>
      </c>
      <c r="B82" s="1531"/>
      <c r="C82" s="1531"/>
      <c r="D82" s="1531"/>
      <c r="E82" s="1531"/>
      <c r="F82" s="1531" t="s">
        <v>838</v>
      </c>
      <c r="G82" s="1531"/>
      <c r="H82" s="276"/>
      <c r="I82" s="1531" t="s">
        <v>839</v>
      </c>
      <c r="J82" s="1531"/>
      <c r="K82" s="1531"/>
      <c r="L82" s="1531"/>
      <c r="M82" s="1531"/>
      <c r="N82" s="276"/>
      <c r="O82" s="1531" t="s">
        <v>840</v>
      </c>
      <c r="P82" s="1531"/>
      <c r="Q82" s="1531"/>
      <c r="R82" s="276"/>
      <c r="S82" s="276"/>
      <c r="T82" s="276"/>
      <c r="U82" s="276"/>
      <c r="V82" s="1533" t="s">
        <v>828</v>
      </c>
      <c r="W82" s="1534"/>
      <c r="X82" s="1535"/>
    </row>
    <row r="83" spans="1:29" ht="15" customHeight="1" x14ac:dyDescent="0.4">
      <c r="A83" s="1537" t="s">
        <v>825</v>
      </c>
      <c r="B83" s="1538"/>
      <c r="C83" s="1541"/>
      <c r="D83" s="1541"/>
      <c r="E83" s="1541"/>
      <c r="F83" s="1541"/>
      <c r="G83" s="1541"/>
      <c r="H83" s="1541"/>
      <c r="I83" s="1541"/>
      <c r="J83" s="1541"/>
      <c r="K83" s="1541"/>
      <c r="L83" s="1541"/>
      <c r="M83" s="1541"/>
      <c r="N83" s="1541"/>
      <c r="O83" s="1541"/>
      <c r="P83" s="1541"/>
      <c r="Q83" s="1541"/>
      <c r="R83" s="1541"/>
      <c r="S83" s="1541"/>
      <c r="T83" s="1541"/>
      <c r="U83" s="1542"/>
      <c r="V83" s="277"/>
      <c r="W83" s="1545" t="s">
        <v>849</v>
      </c>
      <c r="X83" s="1546"/>
    </row>
    <row r="84" spans="1:29" ht="15" customHeight="1" x14ac:dyDescent="0.4">
      <c r="A84" s="1539"/>
      <c r="B84" s="1540"/>
      <c r="C84" s="1543"/>
      <c r="D84" s="1543"/>
      <c r="E84" s="1543"/>
      <c r="F84" s="1543"/>
      <c r="G84" s="1543"/>
      <c r="H84" s="1543"/>
      <c r="I84" s="1543"/>
      <c r="J84" s="1543"/>
      <c r="K84" s="1543"/>
      <c r="L84" s="1543"/>
      <c r="M84" s="1543"/>
      <c r="N84" s="1543"/>
      <c r="O84" s="1543"/>
      <c r="P84" s="1543"/>
      <c r="Q84" s="1543"/>
      <c r="R84" s="1543"/>
      <c r="S84" s="1543"/>
      <c r="T84" s="1543"/>
      <c r="U84" s="1544"/>
      <c r="V84" s="267"/>
      <c r="W84" s="1547" t="s">
        <v>850</v>
      </c>
      <c r="X84" s="1548"/>
    </row>
    <row r="85" spans="1:29" ht="15" customHeight="1" x14ac:dyDescent="0.4">
      <c r="A85" s="1530" t="s">
        <v>841</v>
      </c>
      <c r="B85" s="1531"/>
      <c r="C85" s="1531"/>
      <c r="D85" s="1531"/>
      <c r="E85" s="1532" t="s">
        <v>842</v>
      </c>
      <c r="F85" s="1532"/>
      <c r="G85" s="1532"/>
      <c r="H85" s="1532"/>
      <c r="I85" s="276"/>
      <c r="J85" s="1531" t="s">
        <v>843</v>
      </c>
      <c r="K85" s="1531"/>
      <c r="L85" s="1531"/>
      <c r="M85" s="1531"/>
      <c r="N85" s="276"/>
      <c r="O85" s="1531" t="s">
        <v>844</v>
      </c>
      <c r="P85" s="1531"/>
      <c r="Q85" s="276"/>
      <c r="R85" s="276"/>
      <c r="S85" s="276"/>
      <c r="T85" s="276"/>
      <c r="U85" s="276"/>
      <c r="V85" s="267"/>
      <c r="W85" s="268"/>
      <c r="X85" s="269"/>
    </row>
    <row r="86" spans="1:29" ht="15" customHeight="1" x14ac:dyDescent="0.4">
      <c r="A86" s="1537" t="s">
        <v>825</v>
      </c>
      <c r="B86" s="1538"/>
      <c r="C86" s="1541"/>
      <c r="D86" s="1541"/>
      <c r="E86" s="1541"/>
      <c r="F86" s="1541"/>
      <c r="G86" s="1541"/>
      <c r="H86" s="1541"/>
      <c r="I86" s="1541"/>
      <c r="J86" s="1541"/>
      <c r="K86" s="1541"/>
      <c r="L86" s="1541"/>
      <c r="M86" s="1541"/>
      <c r="N86" s="1541"/>
      <c r="O86" s="1541"/>
      <c r="P86" s="1541"/>
      <c r="Q86" s="1541"/>
      <c r="R86" s="1541"/>
      <c r="S86" s="1541"/>
      <c r="T86" s="1541"/>
      <c r="U86" s="1542"/>
      <c r="V86" s="255"/>
      <c r="W86" s="256"/>
      <c r="X86" s="257"/>
    </row>
    <row r="87" spans="1:29" ht="15" customHeight="1" x14ac:dyDescent="0.4">
      <c r="A87" s="1539"/>
      <c r="B87" s="1540"/>
      <c r="C87" s="1543"/>
      <c r="D87" s="1543"/>
      <c r="E87" s="1543"/>
      <c r="F87" s="1543"/>
      <c r="G87" s="1543"/>
      <c r="H87" s="1543"/>
      <c r="I87" s="1543"/>
      <c r="J87" s="1543"/>
      <c r="K87" s="1543"/>
      <c r="L87" s="1543"/>
      <c r="M87" s="1543"/>
      <c r="N87" s="1543"/>
      <c r="O87" s="1543"/>
      <c r="P87" s="1543"/>
      <c r="Q87" s="1543"/>
      <c r="R87" s="1543"/>
      <c r="S87" s="1543"/>
      <c r="T87" s="1543"/>
      <c r="U87" s="1544"/>
      <c r="V87" s="255"/>
      <c r="W87" s="256"/>
      <c r="X87" s="257"/>
    </row>
    <row r="88" spans="1:29" ht="15" customHeight="1" x14ac:dyDescent="0.4">
      <c r="A88" s="1530" t="s">
        <v>845</v>
      </c>
      <c r="B88" s="1531"/>
      <c r="C88" s="1531"/>
      <c r="D88" s="1531"/>
      <c r="E88" s="1531"/>
      <c r="F88" s="1531"/>
      <c r="G88" s="1531"/>
      <c r="H88" s="276"/>
      <c r="I88" s="1531" t="s">
        <v>846</v>
      </c>
      <c r="J88" s="1531"/>
      <c r="K88" s="1531"/>
      <c r="L88" s="1531"/>
      <c r="M88" s="1531" t="s">
        <v>847</v>
      </c>
      <c r="N88" s="1531"/>
      <c r="O88" s="1531"/>
      <c r="P88" s="1532" t="s">
        <v>848</v>
      </c>
      <c r="Q88" s="1532"/>
      <c r="R88" s="1532"/>
      <c r="S88" s="1532"/>
      <c r="T88" s="276"/>
      <c r="U88" s="276"/>
      <c r="V88" s="262"/>
      <c r="W88" s="263"/>
      <c r="X88" s="257"/>
    </row>
    <row r="89" spans="1:29" ht="15" customHeight="1" x14ac:dyDescent="0.4">
      <c r="A89" s="1537" t="s">
        <v>825</v>
      </c>
      <c r="B89" s="1538"/>
      <c r="C89" s="1541"/>
      <c r="D89" s="1541"/>
      <c r="E89" s="1541"/>
      <c r="F89" s="1541"/>
      <c r="G89" s="1541"/>
      <c r="H89" s="1541"/>
      <c r="I89" s="1541"/>
      <c r="J89" s="1541"/>
      <c r="K89" s="1541"/>
      <c r="L89" s="1541"/>
      <c r="M89" s="1541"/>
      <c r="N89" s="1541"/>
      <c r="O89" s="1541"/>
      <c r="P89" s="1541"/>
      <c r="Q89" s="1541"/>
      <c r="R89" s="1541"/>
      <c r="S89" s="1541"/>
      <c r="T89" s="1541"/>
      <c r="U89" s="1542"/>
      <c r="V89" s="255"/>
      <c r="W89" s="256"/>
      <c r="X89" s="257"/>
    </row>
    <row r="90" spans="1:29" ht="15" customHeight="1" x14ac:dyDescent="0.4">
      <c r="A90" s="1539"/>
      <c r="B90" s="1540"/>
      <c r="C90" s="1543"/>
      <c r="D90" s="1543"/>
      <c r="E90" s="1543"/>
      <c r="F90" s="1543"/>
      <c r="G90" s="1543"/>
      <c r="H90" s="1543"/>
      <c r="I90" s="1543"/>
      <c r="J90" s="1543"/>
      <c r="K90" s="1543"/>
      <c r="L90" s="1543"/>
      <c r="M90" s="1543"/>
      <c r="N90" s="1543"/>
      <c r="O90" s="1543"/>
      <c r="P90" s="1543"/>
      <c r="Q90" s="1543"/>
      <c r="R90" s="1543"/>
      <c r="S90" s="1543"/>
      <c r="T90" s="1543"/>
      <c r="U90" s="1544"/>
      <c r="V90" s="270"/>
      <c r="W90" s="258"/>
      <c r="X90" s="271"/>
    </row>
    <row r="91" spans="1:29" ht="9" customHeight="1" x14ac:dyDescent="0.4"/>
    <row r="92" spans="1:29" ht="15.75" customHeight="1" x14ac:dyDescent="0.4">
      <c r="A92" s="246"/>
      <c r="B92" s="246"/>
      <c r="C92" s="246"/>
      <c r="D92" s="246"/>
      <c r="E92" s="246"/>
      <c r="F92" s="246"/>
      <c r="G92" s="246"/>
      <c r="H92" s="246"/>
      <c r="I92" s="246"/>
      <c r="J92" s="246"/>
      <c r="K92" s="246"/>
      <c r="L92" s="246"/>
      <c r="M92" s="246"/>
      <c r="N92" s="246"/>
      <c r="O92" s="246"/>
      <c r="P92" s="246"/>
      <c r="Q92" s="246"/>
      <c r="R92" s="246"/>
      <c r="S92" s="1529"/>
      <c r="T92" s="1529"/>
      <c r="U92" s="1529"/>
      <c r="V92" s="1529"/>
      <c r="W92" s="1529"/>
      <c r="X92" s="1529"/>
    </row>
    <row r="93" spans="1:29" ht="18" customHeight="1" x14ac:dyDescent="0.4">
      <c r="A93" s="249" t="s">
        <v>821</v>
      </c>
      <c r="B93" s="272" t="e">
        <f>MONTH(U93)</f>
        <v>#VALUE!</v>
      </c>
      <c r="C93" s="251" t="s">
        <v>822</v>
      </c>
      <c r="D93" s="273"/>
      <c r="E93" s="1526" t="s">
        <v>823</v>
      </c>
      <c r="F93" s="1527"/>
      <c r="G93" s="1527"/>
      <c r="H93" s="1528"/>
      <c r="I93" s="279"/>
      <c r="J93" s="280"/>
      <c r="K93" s="1527" t="s">
        <v>440</v>
      </c>
      <c r="L93" s="1527"/>
      <c r="M93" s="1527"/>
      <c r="N93" s="280"/>
      <c r="O93" s="1527" t="s">
        <v>5</v>
      </c>
      <c r="P93" s="1527"/>
      <c r="Q93" s="1527"/>
      <c r="R93" s="281"/>
      <c r="S93" s="1526" t="s">
        <v>824</v>
      </c>
      <c r="T93" s="1528"/>
      <c r="U93" s="1523" t="str">
        <f>AB14</f>
        <v>モニタリングシート!J93</v>
      </c>
      <c r="V93" s="1524"/>
      <c r="W93" s="1524"/>
      <c r="X93" s="1525"/>
    </row>
    <row r="94" spans="1:29" ht="15" customHeight="1" x14ac:dyDescent="0.4">
      <c r="A94" s="1530" t="s">
        <v>831</v>
      </c>
      <c r="B94" s="1531"/>
      <c r="C94" s="1531"/>
      <c r="D94" s="1531"/>
      <c r="E94" s="1531"/>
      <c r="F94" s="1531"/>
      <c r="G94" s="1531"/>
      <c r="H94" s="276"/>
      <c r="I94" s="1531" t="s">
        <v>829</v>
      </c>
      <c r="J94" s="1531"/>
      <c r="K94" s="1531"/>
      <c r="L94" s="1531"/>
      <c r="M94" s="276"/>
      <c r="N94" s="1531" t="s">
        <v>830</v>
      </c>
      <c r="O94" s="1531"/>
      <c r="P94" s="1531"/>
      <c r="Q94" s="1531"/>
      <c r="R94" s="1531"/>
      <c r="S94" s="276"/>
      <c r="T94" s="1531" t="s">
        <v>836</v>
      </c>
      <c r="U94" s="1536"/>
      <c r="V94" s="252"/>
      <c r="W94" s="253"/>
      <c r="X94" s="254"/>
    </row>
    <row r="95" spans="1:29" ht="15" customHeight="1" x14ac:dyDescent="0.4">
      <c r="A95" s="1537" t="s">
        <v>825</v>
      </c>
      <c r="B95" s="1538"/>
      <c r="C95" s="1541"/>
      <c r="D95" s="1541"/>
      <c r="E95" s="1541"/>
      <c r="F95" s="1541"/>
      <c r="G95" s="1541"/>
      <c r="H95" s="1541"/>
      <c r="I95" s="1541"/>
      <c r="J95" s="1541"/>
      <c r="K95" s="1541"/>
      <c r="L95" s="1541"/>
      <c r="M95" s="1541"/>
      <c r="N95" s="1541"/>
      <c r="O95" s="1541"/>
      <c r="P95" s="1541"/>
      <c r="Q95" s="1541"/>
      <c r="R95" s="1541"/>
      <c r="S95" s="1541"/>
      <c r="T95" s="1541"/>
      <c r="U95" s="1542"/>
      <c r="V95" s="255"/>
      <c r="W95" s="256"/>
      <c r="X95" s="257"/>
    </row>
    <row r="96" spans="1:29" ht="15" customHeight="1" x14ac:dyDescent="0.4">
      <c r="A96" s="1539"/>
      <c r="B96" s="1540"/>
      <c r="C96" s="1543"/>
      <c r="D96" s="1543"/>
      <c r="E96" s="1543"/>
      <c r="F96" s="1543"/>
      <c r="G96" s="1543"/>
      <c r="H96" s="1543"/>
      <c r="I96" s="1543"/>
      <c r="J96" s="1543"/>
      <c r="K96" s="1543"/>
      <c r="L96" s="1543"/>
      <c r="M96" s="1543"/>
      <c r="N96" s="1543"/>
      <c r="O96" s="1543"/>
      <c r="P96" s="1543"/>
      <c r="Q96" s="1543"/>
      <c r="R96" s="1543"/>
      <c r="S96" s="1543"/>
      <c r="T96" s="1543"/>
      <c r="U96" s="1544"/>
      <c r="V96" s="255"/>
      <c r="W96" s="256"/>
      <c r="X96" s="257"/>
      <c r="AC96" s="259"/>
    </row>
    <row r="97" spans="1:24" ht="15" customHeight="1" x14ac:dyDescent="0.4">
      <c r="A97" s="260" t="s">
        <v>833</v>
      </c>
      <c r="B97" s="261"/>
      <c r="C97" s="261"/>
      <c r="D97" s="261"/>
      <c r="E97" s="261"/>
      <c r="F97" s="261"/>
      <c r="G97" s="261"/>
      <c r="H97" s="1531" t="s">
        <v>832</v>
      </c>
      <c r="I97" s="1531"/>
      <c r="J97" s="1531"/>
      <c r="K97" s="1531"/>
      <c r="L97" s="1531"/>
      <c r="M97" s="276"/>
      <c r="N97" s="276" t="s">
        <v>834</v>
      </c>
      <c r="O97" s="276"/>
      <c r="P97" s="276"/>
      <c r="Q97" s="276"/>
      <c r="R97" s="276"/>
      <c r="S97" s="1531" t="s">
        <v>835</v>
      </c>
      <c r="T97" s="1531"/>
      <c r="U97" s="1536"/>
      <c r="V97" s="262"/>
      <c r="W97" s="263"/>
      <c r="X97" s="257"/>
    </row>
    <row r="98" spans="1:24" ht="15" customHeight="1" x14ac:dyDescent="0.4">
      <c r="A98" s="1537" t="s">
        <v>825</v>
      </c>
      <c r="B98" s="1538"/>
      <c r="C98" s="1541"/>
      <c r="D98" s="1541"/>
      <c r="E98" s="1541"/>
      <c r="F98" s="1541"/>
      <c r="G98" s="1541"/>
      <c r="H98" s="1541"/>
      <c r="I98" s="1541"/>
      <c r="J98" s="1541"/>
      <c r="K98" s="1541"/>
      <c r="L98" s="1541"/>
      <c r="M98" s="1541"/>
      <c r="N98" s="1541"/>
      <c r="O98" s="1541"/>
      <c r="P98" s="1541"/>
      <c r="Q98" s="1541"/>
      <c r="R98" s="1541"/>
      <c r="S98" s="1541"/>
      <c r="T98" s="1541"/>
      <c r="U98" s="1542"/>
      <c r="V98" s="255"/>
      <c r="W98" s="256"/>
      <c r="X98" s="257"/>
    </row>
    <row r="99" spans="1:24" ht="15" customHeight="1" x14ac:dyDescent="0.4">
      <c r="A99" s="1539"/>
      <c r="B99" s="1540"/>
      <c r="C99" s="1543"/>
      <c r="D99" s="1543"/>
      <c r="E99" s="1543"/>
      <c r="F99" s="1543"/>
      <c r="G99" s="1543"/>
      <c r="H99" s="1543"/>
      <c r="I99" s="1543"/>
      <c r="J99" s="1543"/>
      <c r="K99" s="1543"/>
      <c r="L99" s="1543"/>
      <c r="M99" s="1543"/>
      <c r="N99" s="1543"/>
      <c r="O99" s="1543"/>
      <c r="P99" s="1543"/>
      <c r="Q99" s="1543"/>
      <c r="R99" s="1543"/>
      <c r="S99" s="1543"/>
      <c r="T99" s="1543"/>
      <c r="U99" s="1544"/>
      <c r="V99" s="264" t="s">
        <v>826</v>
      </c>
      <c r="W99" s="403" t="e">
        <f>MOD(B93,12)+1</f>
        <v>#VALUE!</v>
      </c>
      <c r="X99" s="266" t="s">
        <v>827</v>
      </c>
    </row>
    <row r="100" spans="1:24" ht="15" customHeight="1" x14ac:dyDescent="0.4">
      <c r="A100" s="1530" t="s">
        <v>837</v>
      </c>
      <c r="B100" s="1531"/>
      <c r="C100" s="1531"/>
      <c r="D100" s="1531"/>
      <c r="E100" s="1531"/>
      <c r="F100" s="1531" t="s">
        <v>838</v>
      </c>
      <c r="G100" s="1531"/>
      <c r="H100" s="276"/>
      <c r="I100" s="1531" t="s">
        <v>839</v>
      </c>
      <c r="J100" s="1531"/>
      <c r="K100" s="1531"/>
      <c r="L100" s="1531"/>
      <c r="M100" s="1531"/>
      <c r="N100" s="276"/>
      <c r="O100" s="1531" t="s">
        <v>840</v>
      </c>
      <c r="P100" s="1531"/>
      <c r="Q100" s="1531"/>
      <c r="R100" s="276"/>
      <c r="S100" s="276"/>
      <c r="T100" s="276"/>
      <c r="U100" s="276"/>
      <c r="V100" s="1533" t="s">
        <v>828</v>
      </c>
      <c r="W100" s="1534"/>
      <c r="X100" s="1535"/>
    </row>
    <row r="101" spans="1:24" ht="15" customHeight="1" x14ac:dyDescent="0.4">
      <c r="A101" s="1537" t="s">
        <v>825</v>
      </c>
      <c r="B101" s="1538"/>
      <c r="C101" s="1541"/>
      <c r="D101" s="1541"/>
      <c r="E101" s="1541"/>
      <c r="F101" s="1541"/>
      <c r="G101" s="1541"/>
      <c r="H101" s="1541"/>
      <c r="I101" s="1541"/>
      <c r="J101" s="1541"/>
      <c r="K101" s="1541"/>
      <c r="L101" s="1541"/>
      <c r="M101" s="1541"/>
      <c r="N101" s="1541"/>
      <c r="O101" s="1541"/>
      <c r="P101" s="1541"/>
      <c r="Q101" s="1541"/>
      <c r="R101" s="1541"/>
      <c r="S101" s="1541"/>
      <c r="T101" s="1541"/>
      <c r="U101" s="1542"/>
      <c r="V101" s="277"/>
      <c r="W101" s="1545" t="s">
        <v>849</v>
      </c>
      <c r="X101" s="1546"/>
    </row>
    <row r="102" spans="1:24" ht="15" customHeight="1" x14ac:dyDescent="0.4">
      <c r="A102" s="1539"/>
      <c r="B102" s="1540"/>
      <c r="C102" s="1543"/>
      <c r="D102" s="1543"/>
      <c r="E102" s="1543"/>
      <c r="F102" s="1543"/>
      <c r="G102" s="1543"/>
      <c r="H102" s="1543"/>
      <c r="I102" s="1543"/>
      <c r="J102" s="1543"/>
      <c r="K102" s="1543"/>
      <c r="L102" s="1543"/>
      <c r="M102" s="1543"/>
      <c r="N102" s="1543"/>
      <c r="O102" s="1543"/>
      <c r="P102" s="1543"/>
      <c r="Q102" s="1543"/>
      <c r="R102" s="1543"/>
      <c r="S102" s="1543"/>
      <c r="T102" s="1543"/>
      <c r="U102" s="1544"/>
      <c r="V102" s="267"/>
      <c r="W102" s="1547" t="s">
        <v>850</v>
      </c>
      <c r="X102" s="1548"/>
    </row>
    <row r="103" spans="1:24" ht="15" customHeight="1" x14ac:dyDescent="0.4">
      <c r="A103" s="1530" t="s">
        <v>841</v>
      </c>
      <c r="B103" s="1531"/>
      <c r="C103" s="1531"/>
      <c r="D103" s="1531"/>
      <c r="E103" s="1532" t="s">
        <v>842</v>
      </c>
      <c r="F103" s="1532"/>
      <c r="G103" s="1532"/>
      <c r="H103" s="1532"/>
      <c r="I103" s="276"/>
      <c r="J103" s="1531" t="s">
        <v>843</v>
      </c>
      <c r="K103" s="1531"/>
      <c r="L103" s="1531"/>
      <c r="M103" s="1531"/>
      <c r="N103" s="276"/>
      <c r="O103" s="1531" t="s">
        <v>844</v>
      </c>
      <c r="P103" s="1531"/>
      <c r="Q103" s="276"/>
      <c r="R103" s="276"/>
      <c r="S103" s="276"/>
      <c r="T103" s="276"/>
      <c r="U103" s="276"/>
      <c r="V103" s="267"/>
      <c r="W103" s="268"/>
      <c r="X103" s="269"/>
    </row>
    <row r="104" spans="1:24" ht="15" customHeight="1" x14ac:dyDescent="0.4">
      <c r="A104" s="1537" t="s">
        <v>825</v>
      </c>
      <c r="B104" s="1538"/>
      <c r="C104" s="1541"/>
      <c r="D104" s="1541"/>
      <c r="E104" s="1541"/>
      <c r="F104" s="1541"/>
      <c r="G104" s="1541"/>
      <c r="H104" s="1541"/>
      <c r="I104" s="1541"/>
      <c r="J104" s="1541"/>
      <c r="K104" s="1541"/>
      <c r="L104" s="1541"/>
      <c r="M104" s="1541"/>
      <c r="N104" s="1541"/>
      <c r="O104" s="1541"/>
      <c r="P104" s="1541"/>
      <c r="Q104" s="1541"/>
      <c r="R104" s="1541"/>
      <c r="S104" s="1541"/>
      <c r="T104" s="1541"/>
      <c r="U104" s="1542"/>
      <c r="V104" s="255"/>
      <c r="W104" s="256"/>
      <c r="X104" s="257"/>
    </row>
    <row r="105" spans="1:24" ht="15" customHeight="1" x14ac:dyDescent="0.4">
      <c r="A105" s="1539"/>
      <c r="B105" s="1540"/>
      <c r="C105" s="1543"/>
      <c r="D105" s="1543"/>
      <c r="E105" s="1543"/>
      <c r="F105" s="1543"/>
      <c r="G105" s="1543"/>
      <c r="H105" s="1543"/>
      <c r="I105" s="1543"/>
      <c r="J105" s="1543"/>
      <c r="K105" s="1543"/>
      <c r="L105" s="1543"/>
      <c r="M105" s="1543"/>
      <c r="N105" s="1543"/>
      <c r="O105" s="1543"/>
      <c r="P105" s="1543"/>
      <c r="Q105" s="1543"/>
      <c r="R105" s="1543"/>
      <c r="S105" s="1543"/>
      <c r="T105" s="1543"/>
      <c r="U105" s="1544"/>
      <c r="V105" s="255"/>
      <c r="W105" s="256"/>
      <c r="X105" s="257"/>
    </row>
    <row r="106" spans="1:24" ht="15" customHeight="1" x14ac:dyDescent="0.4">
      <c r="A106" s="1530" t="s">
        <v>845</v>
      </c>
      <c r="B106" s="1531"/>
      <c r="C106" s="1531"/>
      <c r="D106" s="1531"/>
      <c r="E106" s="1531"/>
      <c r="F106" s="1531"/>
      <c r="G106" s="1531"/>
      <c r="H106" s="276"/>
      <c r="I106" s="1531" t="s">
        <v>846</v>
      </c>
      <c r="J106" s="1531"/>
      <c r="K106" s="1531"/>
      <c r="L106" s="1531"/>
      <c r="M106" s="1531" t="s">
        <v>847</v>
      </c>
      <c r="N106" s="1531"/>
      <c r="O106" s="1531"/>
      <c r="P106" s="1532" t="s">
        <v>848</v>
      </c>
      <c r="Q106" s="1532"/>
      <c r="R106" s="1532"/>
      <c r="S106" s="1532"/>
      <c r="T106" s="276"/>
      <c r="U106" s="276"/>
      <c r="V106" s="262"/>
      <c r="W106" s="263"/>
      <c r="X106" s="257"/>
    </row>
    <row r="107" spans="1:24" ht="15" customHeight="1" x14ac:dyDescent="0.4">
      <c r="A107" s="1537" t="s">
        <v>825</v>
      </c>
      <c r="B107" s="1538"/>
      <c r="C107" s="1541"/>
      <c r="D107" s="1541"/>
      <c r="E107" s="1541"/>
      <c r="F107" s="1541"/>
      <c r="G107" s="1541"/>
      <c r="H107" s="1541"/>
      <c r="I107" s="1541"/>
      <c r="J107" s="1541"/>
      <c r="K107" s="1541"/>
      <c r="L107" s="1541"/>
      <c r="M107" s="1541"/>
      <c r="N107" s="1541"/>
      <c r="O107" s="1541"/>
      <c r="P107" s="1541"/>
      <c r="Q107" s="1541"/>
      <c r="R107" s="1541"/>
      <c r="S107" s="1541"/>
      <c r="T107" s="1541"/>
      <c r="U107" s="1542"/>
      <c r="V107" s="255"/>
      <c r="W107" s="256"/>
      <c r="X107" s="257"/>
    </row>
    <row r="108" spans="1:24" ht="15" customHeight="1" x14ac:dyDescent="0.4">
      <c r="A108" s="1539"/>
      <c r="B108" s="1540"/>
      <c r="C108" s="1543"/>
      <c r="D108" s="1543"/>
      <c r="E108" s="1543"/>
      <c r="F108" s="1543"/>
      <c r="G108" s="1543"/>
      <c r="H108" s="1543"/>
      <c r="I108" s="1543"/>
      <c r="J108" s="1543"/>
      <c r="K108" s="1543"/>
      <c r="L108" s="1543"/>
      <c r="M108" s="1543"/>
      <c r="N108" s="1543"/>
      <c r="O108" s="1543"/>
      <c r="P108" s="1543"/>
      <c r="Q108" s="1543"/>
      <c r="R108" s="1543"/>
      <c r="S108" s="1543"/>
      <c r="T108" s="1543"/>
      <c r="U108" s="1544"/>
      <c r="V108" s="270"/>
      <c r="W108" s="258"/>
      <c r="X108" s="271"/>
    </row>
  </sheetData>
  <mergeCells count="250">
    <mergeCell ref="AA10:AA11"/>
    <mergeCell ref="AB10:AB11"/>
    <mergeCell ref="AA12:AA13"/>
    <mergeCell ref="AB12:AB13"/>
    <mergeCell ref="AA14:AA15"/>
    <mergeCell ref="AB14:AB15"/>
    <mergeCell ref="AA4:AA5"/>
    <mergeCell ref="AB4:AB5"/>
    <mergeCell ref="AA6:AA7"/>
    <mergeCell ref="AB6:AB7"/>
    <mergeCell ref="AA8:AA9"/>
    <mergeCell ref="AB8:AB9"/>
    <mergeCell ref="A106:G106"/>
    <mergeCell ref="I106:L106"/>
    <mergeCell ref="M106:O106"/>
    <mergeCell ref="P106:S106"/>
    <mergeCell ref="A107:B108"/>
    <mergeCell ref="C107:U108"/>
    <mergeCell ref="A103:D103"/>
    <mergeCell ref="E103:H103"/>
    <mergeCell ref="J103:M103"/>
    <mergeCell ref="O103:P103"/>
    <mergeCell ref="A104:B105"/>
    <mergeCell ref="C104:U105"/>
    <mergeCell ref="I94:L94"/>
    <mergeCell ref="N94:R94"/>
    <mergeCell ref="T94:U94"/>
    <mergeCell ref="K93:M93"/>
    <mergeCell ref="O93:Q93"/>
    <mergeCell ref="S93:T93"/>
    <mergeCell ref="S92:X92"/>
    <mergeCell ref="U93:X93"/>
    <mergeCell ref="E93:H93"/>
    <mergeCell ref="A70:G70"/>
    <mergeCell ref="I70:L70"/>
    <mergeCell ref="M70:O70"/>
    <mergeCell ref="P70:S70"/>
    <mergeCell ref="A71:B72"/>
    <mergeCell ref="C71:U72"/>
    <mergeCell ref="E75:H75"/>
    <mergeCell ref="K75:M75"/>
    <mergeCell ref="O75:Q75"/>
    <mergeCell ref="S75:T75"/>
    <mergeCell ref="S74:X74"/>
    <mergeCell ref="U75:X75"/>
    <mergeCell ref="A58:G58"/>
    <mergeCell ref="I58:L58"/>
    <mergeCell ref="N58:R58"/>
    <mergeCell ref="T58:U58"/>
    <mergeCell ref="F56:J56"/>
    <mergeCell ref="L56:P56"/>
    <mergeCell ref="S55:T55"/>
    <mergeCell ref="U55:W55"/>
    <mergeCell ref="I55:L55"/>
    <mergeCell ref="M55:Q55"/>
    <mergeCell ref="Q56:R56"/>
    <mergeCell ref="S56:X56"/>
    <mergeCell ref="U57:X57"/>
    <mergeCell ref="A40:G40"/>
    <mergeCell ref="I40:L40"/>
    <mergeCell ref="N40:R40"/>
    <mergeCell ref="T40:U40"/>
    <mergeCell ref="A41:B42"/>
    <mergeCell ref="C41:U42"/>
    <mergeCell ref="K57:M57"/>
    <mergeCell ref="O57:Q57"/>
    <mergeCell ref="S57:T57"/>
    <mergeCell ref="E57:H57"/>
    <mergeCell ref="J49:M49"/>
    <mergeCell ref="O49:P49"/>
    <mergeCell ref="A50:B51"/>
    <mergeCell ref="C50:U51"/>
    <mergeCell ref="A52:G52"/>
    <mergeCell ref="I52:L52"/>
    <mergeCell ref="M52:O52"/>
    <mergeCell ref="P52:S52"/>
    <mergeCell ref="A46:E46"/>
    <mergeCell ref="F46:G46"/>
    <mergeCell ref="A53:B54"/>
    <mergeCell ref="C53:U54"/>
    <mergeCell ref="E21:H21"/>
    <mergeCell ref="K21:M21"/>
    <mergeCell ref="O21:Q21"/>
    <mergeCell ref="A22:G22"/>
    <mergeCell ref="I22:L22"/>
    <mergeCell ref="N22:R22"/>
    <mergeCell ref="C59:U60"/>
    <mergeCell ref="H61:L61"/>
    <mergeCell ref="S61:U61"/>
    <mergeCell ref="A35:B36"/>
    <mergeCell ref="C35:U36"/>
    <mergeCell ref="E39:H39"/>
    <mergeCell ref="K39:M39"/>
    <mergeCell ref="O39:Q39"/>
    <mergeCell ref="S39:T39"/>
    <mergeCell ref="J31:M31"/>
    <mergeCell ref="O31:P31"/>
    <mergeCell ref="A32:B33"/>
    <mergeCell ref="C32:U33"/>
    <mergeCell ref="A34:G34"/>
    <mergeCell ref="I34:L34"/>
    <mergeCell ref="M34:O34"/>
    <mergeCell ref="P34:S34"/>
    <mergeCell ref="A55:E55"/>
    <mergeCell ref="W11:X11"/>
    <mergeCell ref="W12:X12"/>
    <mergeCell ref="S3:T3"/>
    <mergeCell ref="K3:M3"/>
    <mergeCell ref="O3:Q3"/>
    <mergeCell ref="I1:L1"/>
    <mergeCell ref="F2:J2"/>
    <mergeCell ref="L2:P2"/>
    <mergeCell ref="S1:T1"/>
    <mergeCell ref="A16:G16"/>
    <mergeCell ref="I16:L16"/>
    <mergeCell ref="M16:O16"/>
    <mergeCell ref="P16:S16"/>
    <mergeCell ref="O13:P13"/>
    <mergeCell ref="A8:B9"/>
    <mergeCell ref="C8:U9"/>
    <mergeCell ref="A11:B12"/>
    <mergeCell ref="C11:U12"/>
    <mergeCell ref="A14:B15"/>
    <mergeCell ref="C14:U15"/>
    <mergeCell ref="A10:E10"/>
    <mergeCell ref="F10:G10"/>
    <mergeCell ref="I10:M10"/>
    <mergeCell ref="O10:Q10"/>
    <mergeCell ref="A85:D85"/>
    <mergeCell ref="E85:H85"/>
    <mergeCell ref="V82:X82"/>
    <mergeCell ref="A76:G76"/>
    <mergeCell ref="I76:L76"/>
    <mergeCell ref="N76:R76"/>
    <mergeCell ref="A77:B78"/>
    <mergeCell ref="C77:U78"/>
    <mergeCell ref="H79:L79"/>
    <mergeCell ref="S79:U79"/>
    <mergeCell ref="A80:B81"/>
    <mergeCell ref="C80:U81"/>
    <mergeCell ref="T76:U76"/>
    <mergeCell ref="J85:M85"/>
    <mergeCell ref="O85:P85"/>
    <mergeCell ref="A82:E82"/>
    <mergeCell ref="F82:G82"/>
    <mergeCell ref="I82:M82"/>
    <mergeCell ref="O82:Q82"/>
    <mergeCell ref="A83:B84"/>
    <mergeCell ref="C83:U84"/>
    <mergeCell ref="W83:X83"/>
    <mergeCell ref="W84:X84"/>
    <mergeCell ref="A86:B87"/>
    <mergeCell ref="C86:U87"/>
    <mergeCell ref="A88:G88"/>
    <mergeCell ref="I88:L88"/>
    <mergeCell ref="W101:X101"/>
    <mergeCell ref="W102:X102"/>
    <mergeCell ref="A101:B102"/>
    <mergeCell ref="C101:U102"/>
    <mergeCell ref="V100:X100"/>
    <mergeCell ref="A95:B96"/>
    <mergeCell ref="C95:U96"/>
    <mergeCell ref="H97:L97"/>
    <mergeCell ref="S97:U97"/>
    <mergeCell ref="A100:E100"/>
    <mergeCell ref="F100:G100"/>
    <mergeCell ref="I100:M100"/>
    <mergeCell ref="O100:Q100"/>
    <mergeCell ref="M88:O88"/>
    <mergeCell ref="P88:S88"/>
    <mergeCell ref="A98:B99"/>
    <mergeCell ref="C98:U99"/>
    <mergeCell ref="A89:B90"/>
    <mergeCell ref="C89:U90"/>
    <mergeCell ref="A94:G94"/>
    <mergeCell ref="W65:X65"/>
    <mergeCell ref="W66:X66"/>
    <mergeCell ref="A68:B69"/>
    <mergeCell ref="C68:U69"/>
    <mergeCell ref="V64:X64"/>
    <mergeCell ref="A59:B60"/>
    <mergeCell ref="A62:B63"/>
    <mergeCell ref="C62:U63"/>
    <mergeCell ref="A64:E64"/>
    <mergeCell ref="F64:G64"/>
    <mergeCell ref="I64:M64"/>
    <mergeCell ref="O64:Q64"/>
    <mergeCell ref="A65:B66"/>
    <mergeCell ref="C65:U66"/>
    <mergeCell ref="A67:D67"/>
    <mergeCell ref="E67:H67"/>
    <mergeCell ref="J67:M67"/>
    <mergeCell ref="O67:P67"/>
    <mergeCell ref="W47:X47"/>
    <mergeCell ref="W48:X48"/>
    <mergeCell ref="A49:D49"/>
    <mergeCell ref="E49:H49"/>
    <mergeCell ref="V46:X46"/>
    <mergeCell ref="H43:L43"/>
    <mergeCell ref="S43:U43"/>
    <mergeCell ref="A44:B45"/>
    <mergeCell ref="C44:U45"/>
    <mergeCell ref="I46:M46"/>
    <mergeCell ref="O46:Q46"/>
    <mergeCell ref="A47:B48"/>
    <mergeCell ref="C47:U48"/>
    <mergeCell ref="S38:X38"/>
    <mergeCell ref="U39:X39"/>
    <mergeCell ref="A29:B30"/>
    <mergeCell ref="C29:U30"/>
    <mergeCell ref="A31:D31"/>
    <mergeCell ref="E31:H31"/>
    <mergeCell ref="V28:X28"/>
    <mergeCell ref="T22:U22"/>
    <mergeCell ref="A23:B24"/>
    <mergeCell ref="C23:U24"/>
    <mergeCell ref="H25:L25"/>
    <mergeCell ref="S25:U25"/>
    <mergeCell ref="A26:B27"/>
    <mergeCell ref="C26:U27"/>
    <mergeCell ref="A28:E28"/>
    <mergeCell ref="F28:G28"/>
    <mergeCell ref="I28:M28"/>
    <mergeCell ref="O28:Q28"/>
    <mergeCell ref="W29:X29"/>
    <mergeCell ref="W30:X30"/>
    <mergeCell ref="A1:E1"/>
    <mergeCell ref="M1:Q1"/>
    <mergeCell ref="U1:W1"/>
    <mergeCell ref="Q2:R2"/>
    <mergeCell ref="S2:X2"/>
    <mergeCell ref="U3:X3"/>
    <mergeCell ref="E3:H3"/>
    <mergeCell ref="S20:X20"/>
    <mergeCell ref="U21:X21"/>
    <mergeCell ref="S21:T21"/>
    <mergeCell ref="A13:D13"/>
    <mergeCell ref="E13:H13"/>
    <mergeCell ref="J13:M13"/>
    <mergeCell ref="V10:X10"/>
    <mergeCell ref="A4:G4"/>
    <mergeCell ref="I4:L4"/>
    <mergeCell ref="N4:R4"/>
    <mergeCell ref="T4:U4"/>
    <mergeCell ref="A5:B6"/>
    <mergeCell ref="C5:U6"/>
    <mergeCell ref="H7:L7"/>
    <mergeCell ref="S7:U7"/>
    <mergeCell ref="A17:B18"/>
    <mergeCell ref="C17:U18"/>
  </mergeCells>
  <phoneticPr fontId="1"/>
  <hyperlinks>
    <hyperlink ref="AB8:AB9" location="モニタリングシート!J39" display="モニタリングシート!J39" xr:uid="{E0E2797B-FF1C-4855-82FB-EA7B6523A651}"/>
    <hyperlink ref="AB10:AB11" location="モニタリングシート!J57" display="モニタリングシート!J57" xr:uid="{73F41172-FAFD-4928-A1A2-770CFC49DB81}"/>
    <hyperlink ref="AB12:AB13" location="モニタリングシート!J75" display="モニタリングシート!J75" xr:uid="{119D0017-2189-4B6B-BA12-B56E20267D8A}"/>
    <hyperlink ref="AB14:AB15" location="モニタリングシート!J93" display="モニタリングシート!J93" xr:uid="{8AF7E4EC-AFA3-4C48-ADD3-D198F248E61C}"/>
    <hyperlink ref="AB4:AB5" location="モニタリングシート!J3" display="モニタリングシート!J3" xr:uid="{29855F6F-C770-4FD0-99E5-6C1171CD3395}"/>
    <hyperlink ref="AB6:AB7" location="モニタリングシート!J21" display="モニタリングシート!J21" xr:uid="{5EF9F271-3BCC-44B9-9C58-0C92DB56E130}"/>
  </hyperlinks>
  <printOptions horizontalCentered="1" verticalCentered="1"/>
  <pageMargins left="0.23622047244094491" right="0.23622047244094491" top="0.55118110236220474" bottom="0.55118110236220474" header="0.11811023622047245" footer="0.11811023622047245"/>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locked="0" defaultSize="0" autoFill="0" autoLine="0" autoPict="0">
                <anchor moveWithCells="1">
                  <from>
                    <xdr:col>6</xdr:col>
                    <xdr:colOff>228600</xdr:colOff>
                    <xdr:row>2</xdr:row>
                    <xdr:rowOff>257175</xdr:rowOff>
                  </from>
                  <to>
                    <xdr:col>8</xdr:col>
                    <xdr:colOff>28575</xdr:colOff>
                    <xdr:row>4</xdr:row>
                    <xdr:rowOff>19050</xdr:rowOff>
                  </to>
                </anchor>
              </controlPr>
            </control>
          </mc:Choice>
        </mc:AlternateContent>
        <mc:AlternateContent xmlns:mc="http://schemas.openxmlformats.org/markup-compatibility/2006">
          <mc:Choice Requires="x14">
            <control shapeId="19458" r:id="rId5" name="Check Box 2">
              <controlPr locked="0" defaultSize="0" autoFill="0" autoLine="0" autoPict="0">
                <anchor moveWithCells="1">
                  <from>
                    <xdr:col>11</xdr:col>
                    <xdr:colOff>352425</xdr:colOff>
                    <xdr:row>2</xdr:row>
                    <xdr:rowOff>257175</xdr:rowOff>
                  </from>
                  <to>
                    <xdr:col>13</xdr:col>
                    <xdr:colOff>57150</xdr:colOff>
                    <xdr:row>4</xdr:row>
                    <xdr:rowOff>19050</xdr:rowOff>
                  </to>
                </anchor>
              </controlPr>
            </control>
          </mc:Choice>
        </mc:AlternateContent>
        <mc:AlternateContent xmlns:mc="http://schemas.openxmlformats.org/markup-compatibility/2006">
          <mc:Choice Requires="x14">
            <control shapeId="19459" r:id="rId6" name="Check Box 3">
              <controlPr locked="0" defaultSize="0" autoFill="0" autoLine="0" autoPict="0">
                <anchor moveWithCells="1">
                  <from>
                    <xdr:col>18</xdr:col>
                    <xdr:colOff>19050</xdr:colOff>
                    <xdr:row>2</xdr:row>
                    <xdr:rowOff>257175</xdr:rowOff>
                  </from>
                  <to>
                    <xdr:col>19</xdr:col>
                    <xdr:colOff>76200</xdr:colOff>
                    <xdr:row>4</xdr:row>
                    <xdr:rowOff>19050</xdr:rowOff>
                  </to>
                </anchor>
              </controlPr>
            </control>
          </mc:Choice>
        </mc:AlternateContent>
        <mc:AlternateContent xmlns:mc="http://schemas.openxmlformats.org/markup-compatibility/2006">
          <mc:Choice Requires="x14">
            <control shapeId="19460" r:id="rId7" name="Check Box 4">
              <controlPr locked="0" defaultSize="0" autoFill="0" autoLine="0" autoPict="0">
                <anchor moveWithCells="1">
                  <from>
                    <xdr:col>6</xdr:col>
                    <xdr:colOff>66675</xdr:colOff>
                    <xdr:row>5</xdr:row>
                    <xdr:rowOff>180975</xdr:rowOff>
                  </from>
                  <to>
                    <xdr:col>7</xdr:col>
                    <xdr:colOff>28575</xdr:colOff>
                    <xdr:row>7</xdr:row>
                    <xdr:rowOff>9525</xdr:rowOff>
                  </to>
                </anchor>
              </controlPr>
            </control>
          </mc:Choice>
        </mc:AlternateContent>
        <mc:AlternateContent xmlns:mc="http://schemas.openxmlformats.org/markup-compatibility/2006">
          <mc:Choice Requires="x14">
            <control shapeId="19461" r:id="rId8" name="Check Box 5">
              <controlPr locked="0" defaultSize="0" autoFill="0" autoLine="0" autoPict="0">
                <anchor moveWithCells="1">
                  <from>
                    <xdr:col>11</xdr:col>
                    <xdr:colOff>352425</xdr:colOff>
                    <xdr:row>5</xdr:row>
                    <xdr:rowOff>180975</xdr:rowOff>
                  </from>
                  <to>
                    <xdr:col>13</xdr:col>
                    <xdr:colOff>57150</xdr:colOff>
                    <xdr:row>7</xdr:row>
                    <xdr:rowOff>9525</xdr:rowOff>
                  </to>
                </anchor>
              </controlPr>
            </control>
          </mc:Choice>
        </mc:AlternateContent>
        <mc:AlternateContent xmlns:mc="http://schemas.openxmlformats.org/markup-compatibility/2006">
          <mc:Choice Requires="x14">
            <control shapeId="19462" r:id="rId9" name="Check Box 6">
              <controlPr locked="0" defaultSize="0" autoFill="0" autoLine="0" autoPict="0">
                <anchor moveWithCells="1">
                  <from>
                    <xdr:col>17</xdr:col>
                    <xdr:colOff>47625</xdr:colOff>
                    <xdr:row>5</xdr:row>
                    <xdr:rowOff>180975</xdr:rowOff>
                  </from>
                  <to>
                    <xdr:col>18</xdr:col>
                    <xdr:colOff>28575</xdr:colOff>
                    <xdr:row>7</xdr:row>
                    <xdr:rowOff>9525</xdr:rowOff>
                  </to>
                </anchor>
              </controlPr>
            </control>
          </mc:Choice>
        </mc:AlternateContent>
        <mc:AlternateContent xmlns:mc="http://schemas.openxmlformats.org/markup-compatibility/2006">
          <mc:Choice Requires="x14">
            <control shapeId="19463" r:id="rId10" name="Check Box 7">
              <controlPr locked="0" defaultSize="0" autoFill="0" autoLine="0" autoPict="0">
                <anchor moveWithCells="1">
                  <from>
                    <xdr:col>4</xdr:col>
                    <xdr:colOff>85725</xdr:colOff>
                    <xdr:row>8</xdr:row>
                    <xdr:rowOff>180975</xdr:rowOff>
                  </from>
                  <to>
                    <xdr:col>5</xdr:col>
                    <xdr:colOff>47625</xdr:colOff>
                    <xdr:row>10</xdr:row>
                    <xdr:rowOff>9525</xdr:rowOff>
                  </to>
                </anchor>
              </controlPr>
            </control>
          </mc:Choice>
        </mc:AlternateContent>
        <mc:AlternateContent xmlns:mc="http://schemas.openxmlformats.org/markup-compatibility/2006">
          <mc:Choice Requires="x14">
            <control shapeId="19464" r:id="rId11" name="Check Box 8">
              <controlPr locked="0" defaultSize="0" autoFill="0" autoLine="0" autoPict="0">
                <anchor moveWithCells="1">
                  <from>
                    <xdr:col>6</xdr:col>
                    <xdr:colOff>247650</xdr:colOff>
                    <xdr:row>8</xdr:row>
                    <xdr:rowOff>180975</xdr:rowOff>
                  </from>
                  <to>
                    <xdr:col>8</xdr:col>
                    <xdr:colOff>47625</xdr:colOff>
                    <xdr:row>10</xdr:row>
                    <xdr:rowOff>9525</xdr:rowOff>
                  </to>
                </anchor>
              </controlPr>
            </control>
          </mc:Choice>
        </mc:AlternateContent>
        <mc:AlternateContent xmlns:mc="http://schemas.openxmlformats.org/markup-compatibility/2006">
          <mc:Choice Requires="x14">
            <control shapeId="19465" r:id="rId12" name="Check Box 9">
              <controlPr locked="0" defaultSize="0" autoFill="0" autoLine="0" autoPict="0">
                <anchor moveWithCells="1">
                  <from>
                    <xdr:col>13</xdr:col>
                    <xdr:colOff>57150</xdr:colOff>
                    <xdr:row>8</xdr:row>
                    <xdr:rowOff>180975</xdr:rowOff>
                  </from>
                  <to>
                    <xdr:col>14</xdr:col>
                    <xdr:colOff>38100</xdr:colOff>
                    <xdr:row>10</xdr:row>
                    <xdr:rowOff>9525</xdr:rowOff>
                  </to>
                </anchor>
              </controlPr>
            </control>
          </mc:Choice>
        </mc:AlternateContent>
        <mc:AlternateContent xmlns:mc="http://schemas.openxmlformats.org/markup-compatibility/2006">
          <mc:Choice Requires="x14">
            <control shapeId="19466" r:id="rId13" name="Check Box 10">
              <controlPr locked="0" defaultSize="0" autoFill="0" autoLine="0" autoPict="0">
                <anchor moveWithCells="1">
                  <from>
                    <xdr:col>3</xdr:col>
                    <xdr:colOff>419100</xdr:colOff>
                    <xdr:row>11</xdr:row>
                    <xdr:rowOff>180975</xdr:rowOff>
                  </from>
                  <to>
                    <xdr:col>4</xdr:col>
                    <xdr:colOff>123825</xdr:colOff>
                    <xdr:row>13</xdr:row>
                    <xdr:rowOff>9525</xdr:rowOff>
                  </to>
                </anchor>
              </controlPr>
            </control>
          </mc:Choice>
        </mc:AlternateContent>
        <mc:AlternateContent xmlns:mc="http://schemas.openxmlformats.org/markup-compatibility/2006">
          <mc:Choice Requires="x14">
            <control shapeId="19467" r:id="rId14" name="Check Box 11">
              <controlPr locked="0" defaultSize="0" autoFill="0" autoLine="0" autoPict="0">
                <anchor moveWithCells="1">
                  <from>
                    <xdr:col>7</xdr:col>
                    <xdr:colOff>152400</xdr:colOff>
                    <xdr:row>11</xdr:row>
                    <xdr:rowOff>180975</xdr:rowOff>
                  </from>
                  <to>
                    <xdr:col>9</xdr:col>
                    <xdr:colOff>19050</xdr:colOff>
                    <xdr:row>13</xdr:row>
                    <xdr:rowOff>9525</xdr:rowOff>
                  </to>
                </anchor>
              </controlPr>
            </control>
          </mc:Choice>
        </mc:AlternateContent>
        <mc:AlternateContent xmlns:mc="http://schemas.openxmlformats.org/markup-compatibility/2006">
          <mc:Choice Requires="x14">
            <control shapeId="19468" r:id="rId15" name="Check Box 12">
              <controlPr locked="0" defaultSize="0" autoFill="0" autoLine="0" autoPict="0">
                <anchor moveWithCells="1">
                  <from>
                    <xdr:col>13</xdr:col>
                    <xdr:colOff>19050</xdr:colOff>
                    <xdr:row>11</xdr:row>
                    <xdr:rowOff>180975</xdr:rowOff>
                  </from>
                  <to>
                    <xdr:col>14</xdr:col>
                    <xdr:colOff>0</xdr:colOff>
                    <xdr:row>13</xdr:row>
                    <xdr:rowOff>9525</xdr:rowOff>
                  </to>
                </anchor>
              </controlPr>
            </control>
          </mc:Choice>
        </mc:AlternateContent>
        <mc:AlternateContent xmlns:mc="http://schemas.openxmlformats.org/markup-compatibility/2006">
          <mc:Choice Requires="x14">
            <control shapeId="19469" r:id="rId16" name="Check Box 13">
              <controlPr locked="0" defaultSize="0" autoFill="0" autoLine="0" autoPict="0">
                <anchor moveWithCells="1">
                  <from>
                    <xdr:col>6</xdr:col>
                    <xdr:colOff>238125</xdr:colOff>
                    <xdr:row>14</xdr:row>
                    <xdr:rowOff>180975</xdr:rowOff>
                  </from>
                  <to>
                    <xdr:col>8</xdr:col>
                    <xdr:colOff>38100</xdr:colOff>
                    <xdr:row>16</xdr:row>
                    <xdr:rowOff>9525</xdr:rowOff>
                  </to>
                </anchor>
              </controlPr>
            </control>
          </mc:Choice>
        </mc:AlternateContent>
        <mc:AlternateContent xmlns:mc="http://schemas.openxmlformats.org/markup-compatibility/2006">
          <mc:Choice Requires="x14">
            <control shapeId="19470" r:id="rId17" name="Check Box 14">
              <controlPr locked="0" defaultSize="0" autoFill="0" autoLine="0" autoPict="0">
                <anchor moveWithCells="1">
                  <from>
                    <xdr:col>10</xdr:col>
                    <xdr:colOff>161925</xdr:colOff>
                    <xdr:row>14</xdr:row>
                    <xdr:rowOff>180975</xdr:rowOff>
                  </from>
                  <to>
                    <xdr:col>12</xdr:col>
                    <xdr:colOff>0</xdr:colOff>
                    <xdr:row>16</xdr:row>
                    <xdr:rowOff>9525</xdr:rowOff>
                  </to>
                </anchor>
              </controlPr>
            </control>
          </mc:Choice>
        </mc:AlternateContent>
        <mc:AlternateContent xmlns:mc="http://schemas.openxmlformats.org/markup-compatibility/2006">
          <mc:Choice Requires="x14">
            <control shapeId="19471" r:id="rId18" name="Check Box 15">
              <controlPr locked="0" defaultSize="0" autoFill="0" autoLine="0" autoPict="0">
                <anchor moveWithCells="1">
                  <from>
                    <xdr:col>14</xdr:col>
                    <xdr:colOff>180975</xdr:colOff>
                    <xdr:row>14</xdr:row>
                    <xdr:rowOff>180975</xdr:rowOff>
                  </from>
                  <to>
                    <xdr:col>15</xdr:col>
                    <xdr:colOff>161925</xdr:colOff>
                    <xdr:row>16</xdr:row>
                    <xdr:rowOff>9525</xdr:rowOff>
                  </to>
                </anchor>
              </controlPr>
            </control>
          </mc:Choice>
        </mc:AlternateContent>
        <mc:AlternateContent xmlns:mc="http://schemas.openxmlformats.org/markup-compatibility/2006">
          <mc:Choice Requires="x14">
            <control shapeId="19472" r:id="rId19" name="Check Box 16">
              <controlPr locked="0" defaultSize="0" autoFill="0" autoLine="0" autoPict="0">
                <anchor moveWithCells="1">
                  <from>
                    <xdr:col>22</xdr:col>
                    <xdr:colOff>104775</xdr:colOff>
                    <xdr:row>9</xdr:row>
                    <xdr:rowOff>180975</xdr:rowOff>
                  </from>
                  <to>
                    <xdr:col>22</xdr:col>
                    <xdr:colOff>323850</xdr:colOff>
                    <xdr:row>11</xdr:row>
                    <xdr:rowOff>9525</xdr:rowOff>
                  </to>
                </anchor>
              </controlPr>
            </control>
          </mc:Choice>
        </mc:AlternateContent>
        <mc:AlternateContent xmlns:mc="http://schemas.openxmlformats.org/markup-compatibility/2006">
          <mc:Choice Requires="x14">
            <control shapeId="19473" r:id="rId20" name="Check Box 17">
              <controlPr locked="0" defaultSize="0" autoFill="0" autoLine="0" autoPict="0">
                <anchor moveWithCells="1">
                  <from>
                    <xdr:col>22</xdr:col>
                    <xdr:colOff>104775</xdr:colOff>
                    <xdr:row>10</xdr:row>
                    <xdr:rowOff>180975</xdr:rowOff>
                  </from>
                  <to>
                    <xdr:col>22</xdr:col>
                    <xdr:colOff>323850</xdr:colOff>
                    <xdr:row>12</xdr:row>
                    <xdr:rowOff>9525</xdr:rowOff>
                  </to>
                </anchor>
              </controlPr>
            </control>
          </mc:Choice>
        </mc:AlternateContent>
        <mc:AlternateContent xmlns:mc="http://schemas.openxmlformats.org/markup-compatibility/2006">
          <mc:Choice Requires="x14">
            <control shapeId="19474" r:id="rId21" name="Check Box 18">
              <controlPr locked="0" defaultSize="0" autoFill="0" autoLine="0" autoPict="0">
                <anchor moveWithCells="1">
                  <from>
                    <xdr:col>9</xdr:col>
                    <xdr:colOff>76200</xdr:colOff>
                    <xdr:row>2</xdr:row>
                    <xdr:rowOff>28575</xdr:rowOff>
                  </from>
                  <to>
                    <xdr:col>10</xdr:col>
                    <xdr:colOff>104775</xdr:colOff>
                    <xdr:row>3</xdr:row>
                    <xdr:rowOff>9525</xdr:rowOff>
                  </to>
                </anchor>
              </controlPr>
            </control>
          </mc:Choice>
        </mc:AlternateContent>
        <mc:AlternateContent xmlns:mc="http://schemas.openxmlformats.org/markup-compatibility/2006">
          <mc:Choice Requires="x14">
            <control shapeId="19475" r:id="rId22" name="Check Box 19">
              <controlPr locked="0" defaultSize="0" autoFill="0" autoLine="0" autoPict="0">
                <anchor moveWithCells="1">
                  <from>
                    <xdr:col>14</xdr:col>
                    <xdr:colOff>9525</xdr:colOff>
                    <xdr:row>2</xdr:row>
                    <xdr:rowOff>28575</xdr:rowOff>
                  </from>
                  <to>
                    <xdr:col>14</xdr:col>
                    <xdr:colOff>228600</xdr:colOff>
                    <xdr:row>3</xdr:row>
                    <xdr:rowOff>9525</xdr:rowOff>
                  </to>
                </anchor>
              </controlPr>
            </control>
          </mc:Choice>
        </mc:AlternateContent>
        <mc:AlternateContent xmlns:mc="http://schemas.openxmlformats.org/markup-compatibility/2006">
          <mc:Choice Requires="x14">
            <control shapeId="19476" r:id="rId23" name="Check Box 20">
              <controlPr locked="0" defaultSize="0" autoFill="0" autoLine="0" autoPict="0">
                <anchor moveWithCells="1">
                  <from>
                    <xdr:col>9</xdr:col>
                    <xdr:colOff>76200</xdr:colOff>
                    <xdr:row>20</xdr:row>
                    <xdr:rowOff>28575</xdr:rowOff>
                  </from>
                  <to>
                    <xdr:col>10</xdr:col>
                    <xdr:colOff>104775</xdr:colOff>
                    <xdr:row>21</xdr:row>
                    <xdr:rowOff>9525</xdr:rowOff>
                  </to>
                </anchor>
              </controlPr>
            </control>
          </mc:Choice>
        </mc:AlternateContent>
        <mc:AlternateContent xmlns:mc="http://schemas.openxmlformats.org/markup-compatibility/2006">
          <mc:Choice Requires="x14">
            <control shapeId="19477" r:id="rId24" name="Check Box 21">
              <controlPr locked="0" defaultSize="0" autoFill="0" autoLine="0" autoPict="0">
                <anchor moveWithCells="1">
                  <from>
                    <xdr:col>14</xdr:col>
                    <xdr:colOff>9525</xdr:colOff>
                    <xdr:row>20</xdr:row>
                    <xdr:rowOff>28575</xdr:rowOff>
                  </from>
                  <to>
                    <xdr:col>14</xdr:col>
                    <xdr:colOff>228600</xdr:colOff>
                    <xdr:row>21</xdr:row>
                    <xdr:rowOff>9525</xdr:rowOff>
                  </to>
                </anchor>
              </controlPr>
            </control>
          </mc:Choice>
        </mc:AlternateContent>
        <mc:AlternateContent xmlns:mc="http://schemas.openxmlformats.org/markup-compatibility/2006">
          <mc:Choice Requires="x14">
            <control shapeId="19478" r:id="rId25" name="Check Box 22">
              <controlPr locked="0" defaultSize="0" autoFill="0" autoLine="0" autoPict="0">
                <anchor moveWithCells="1">
                  <from>
                    <xdr:col>6</xdr:col>
                    <xdr:colOff>228600</xdr:colOff>
                    <xdr:row>20</xdr:row>
                    <xdr:rowOff>257175</xdr:rowOff>
                  </from>
                  <to>
                    <xdr:col>8</xdr:col>
                    <xdr:colOff>28575</xdr:colOff>
                    <xdr:row>22</xdr:row>
                    <xdr:rowOff>19050</xdr:rowOff>
                  </to>
                </anchor>
              </controlPr>
            </control>
          </mc:Choice>
        </mc:AlternateContent>
        <mc:AlternateContent xmlns:mc="http://schemas.openxmlformats.org/markup-compatibility/2006">
          <mc:Choice Requires="x14">
            <control shapeId="19479" r:id="rId26" name="Check Box 23">
              <controlPr locked="0" defaultSize="0" autoFill="0" autoLine="0" autoPict="0">
                <anchor moveWithCells="1">
                  <from>
                    <xdr:col>11</xdr:col>
                    <xdr:colOff>352425</xdr:colOff>
                    <xdr:row>20</xdr:row>
                    <xdr:rowOff>257175</xdr:rowOff>
                  </from>
                  <to>
                    <xdr:col>13</xdr:col>
                    <xdr:colOff>57150</xdr:colOff>
                    <xdr:row>22</xdr:row>
                    <xdr:rowOff>19050</xdr:rowOff>
                  </to>
                </anchor>
              </controlPr>
            </control>
          </mc:Choice>
        </mc:AlternateContent>
        <mc:AlternateContent xmlns:mc="http://schemas.openxmlformats.org/markup-compatibility/2006">
          <mc:Choice Requires="x14">
            <control shapeId="19480" r:id="rId27" name="Check Box 24">
              <controlPr locked="0" defaultSize="0" autoFill="0" autoLine="0" autoPict="0">
                <anchor moveWithCells="1">
                  <from>
                    <xdr:col>18</xdr:col>
                    <xdr:colOff>19050</xdr:colOff>
                    <xdr:row>20</xdr:row>
                    <xdr:rowOff>257175</xdr:rowOff>
                  </from>
                  <to>
                    <xdr:col>19</xdr:col>
                    <xdr:colOff>76200</xdr:colOff>
                    <xdr:row>22</xdr:row>
                    <xdr:rowOff>19050</xdr:rowOff>
                  </to>
                </anchor>
              </controlPr>
            </control>
          </mc:Choice>
        </mc:AlternateContent>
        <mc:AlternateContent xmlns:mc="http://schemas.openxmlformats.org/markup-compatibility/2006">
          <mc:Choice Requires="x14">
            <control shapeId="19481" r:id="rId28" name="Check Box 25">
              <controlPr locked="0" defaultSize="0" autoFill="0" autoLine="0" autoPict="0">
                <anchor moveWithCells="1">
                  <from>
                    <xdr:col>6</xdr:col>
                    <xdr:colOff>66675</xdr:colOff>
                    <xdr:row>23</xdr:row>
                    <xdr:rowOff>180975</xdr:rowOff>
                  </from>
                  <to>
                    <xdr:col>7</xdr:col>
                    <xdr:colOff>28575</xdr:colOff>
                    <xdr:row>25</xdr:row>
                    <xdr:rowOff>9525</xdr:rowOff>
                  </to>
                </anchor>
              </controlPr>
            </control>
          </mc:Choice>
        </mc:AlternateContent>
        <mc:AlternateContent xmlns:mc="http://schemas.openxmlformats.org/markup-compatibility/2006">
          <mc:Choice Requires="x14">
            <control shapeId="19482" r:id="rId29" name="Check Box 26">
              <controlPr locked="0" defaultSize="0" autoFill="0" autoLine="0" autoPict="0">
                <anchor moveWithCells="1">
                  <from>
                    <xdr:col>11</xdr:col>
                    <xdr:colOff>352425</xdr:colOff>
                    <xdr:row>23</xdr:row>
                    <xdr:rowOff>180975</xdr:rowOff>
                  </from>
                  <to>
                    <xdr:col>13</xdr:col>
                    <xdr:colOff>57150</xdr:colOff>
                    <xdr:row>25</xdr:row>
                    <xdr:rowOff>9525</xdr:rowOff>
                  </to>
                </anchor>
              </controlPr>
            </control>
          </mc:Choice>
        </mc:AlternateContent>
        <mc:AlternateContent xmlns:mc="http://schemas.openxmlformats.org/markup-compatibility/2006">
          <mc:Choice Requires="x14">
            <control shapeId="19483" r:id="rId30" name="Check Box 27">
              <controlPr locked="0" defaultSize="0" autoFill="0" autoLine="0" autoPict="0">
                <anchor moveWithCells="1">
                  <from>
                    <xdr:col>17</xdr:col>
                    <xdr:colOff>47625</xdr:colOff>
                    <xdr:row>23</xdr:row>
                    <xdr:rowOff>180975</xdr:rowOff>
                  </from>
                  <to>
                    <xdr:col>18</xdr:col>
                    <xdr:colOff>28575</xdr:colOff>
                    <xdr:row>25</xdr:row>
                    <xdr:rowOff>9525</xdr:rowOff>
                  </to>
                </anchor>
              </controlPr>
            </control>
          </mc:Choice>
        </mc:AlternateContent>
        <mc:AlternateContent xmlns:mc="http://schemas.openxmlformats.org/markup-compatibility/2006">
          <mc:Choice Requires="x14">
            <control shapeId="19484" r:id="rId31" name="Check Box 28">
              <controlPr locked="0" defaultSize="0" autoFill="0" autoLine="0" autoPict="0">
                <anchor moveWithCells="1">
                  <from>
                    <xdr:col>4</xdr:col>
                    <xdr:colOff>85725</xdr:colOff>
                    <xdr:row>26</xdr:row>
                    <xdr:rowOff>180975</xdr:rowOff>
                  </from>
                  <to>
                    <xdr:col>5</xdr:col>
                    <xdr:colOff>47625</xdr:colOff>
                    <xdr:row>28</xdr:row>
                    <xdr:rowOff>9525</xdr:rowOff>
                  </to>
                </anchor>
              </controlPr>
            </control>
          </mc:Choice>
        </mc:AlternateContent>
        <mc:AlternateContent xmlns:mc="http://schemas.openxmlformats.org/markup-compatibility/2006">
          <mc:Choice Requires="x14">
            <control shapeId="19485" r:id="rId32" name="Check Box 29">
              <controlPr locked="0" defaultSize="0" autoFill="0" autoLine="0" autoPict="0">
                <anchor moveWithCells="1">
                  <from>
                    <xdr:col>6</xdr:col>
                    <xdr:colOff>247650</xdr:colOff>
                    <xdr:row>26</xdr:row>
                    <xdr:rowOff>180975</xdr:rowOff>
                  </from>
                  <to>
                    <xdr:col>8</xdr:col>
                    <xdr:colOff>47625</xdr:colOff>
                    <xdr:row>28</xdr:row>
                    <xdr:rowOff>9525</xdr:rowOff>
                  </to>
                </anchor>
              </controlPr>
            </control>
          </mc:Choice>
        </mc:AlternateContent>
        <mc:AlternateContent xmlns:mc="http://schemas.openxmlformats.org/markup-compatibility/2006">
          <mc:Choice Requires="x14">
            <control shapeId="19486" r:id="rId33" name="Check Box 30">
              <controlPr locked="0" defaultSize="0" autoFill="0" autoLine="0" autoPict="0">
                <anchor moveWithCells="1">
                  <from>
                    <xdr:col>13</xdr:col>
                    <xdr:colOff>57150</xdr:colOff>
                    <xdr:row>26</xdr:row>
                    <xdr:rowOff>180975</xdr:rowOff>
                  </from>
                  <to>
                    <xdr:col>14</xdr:col>
                    <xdr:colOff>38100</xdr:colOff>
                    <xdr:row>28</xdr:row>
                    <xdr:rowOff>9525</xdr:rowOff>
                  </to>
                </anchor>
              </controlPr>
            </control>
          </mc:Choice>
        </mc:AlternateContent>
        <mc:AlternateContent xmlns:mc="http://schemas.openxmlformats.org/markup-compatibility/2006">
          <mc:Choice Requires="x14">
            <control shapeId="19487" r:id="rId34" name="Check Box 31">
              <controlPr locked="0" defaultSize="0" autoFill="0" autoLine="0" autoPict="0">
                <anchor moveWithCells="1">
                  <from>
                    <xdr:col>3</xdr:col>
                    <xdr:colOff>419100</xdr:colOff>
                    <xdr:row>29</xdr:row>
                    <xdr:rowOff>180975</xdr:rowOff>
                  </from>
                  <to>
                    <xdr:col>4</xdr:col>
                    <xdr:colOff>123825</xdr:colOff>
                    <xdr:row>31</xdr:row>
                    <xdr:rowOff>9525</xdr:rowOff>
                  </to>
                </anchor>
              </controlPr>
            </control>
          </mc:Choice>
        </mc:AlternateContent>
        <mc:AlternateContent xmlns:mc="http://schemas.openxmlformats.org/markup-compatibility/2006">
          <mc:Choice Requires="x14">
            <control shapeId="19488" r:id="rId35" name="Check Box 32">
              <controlPr locked="0" defaultSize="0" autoFill="0" autoLine="0" autoPict="0">
                <anchor moveWithCells="1">
                  <from>
                    <xdr:col>7</xdr:col>
                    <xdr:colOff>152400</xdr:colOff>
                    <xdr:row>29</xdr:row>
                    <xdr:rowOff>180975</xdr:rowOff>
                  </from>
                  <to>
                    <xdr:col>9</xdr:col>
                    <xdr:colOff>19050</xdr:colOff>
                    <xdr:row>31</xdr:row>
                    <xdr:rowOff>9525</xdr:rowOff>
                  </to>
                </anchor>
              </controlPr>
            </control>
          </mc:Choice>
        </mc:AlternateContent>
        <mc:AlternateContent xmlns:mc="http://schemas.openxmlformats.org/markup-compatibility/2006">
          <mc:Choice Requires="x14">
            <control shapeId="19489" r:id="rId36" name="Check Box 33">
              <controlPr locked="0" defaultSize="0" autoFill="0" autoLine="0" autoPict="0">
                <anchor moveWithCells="1">
                  <from>
                    <xdr:col>13</xdr:col>
                    <xdr:colOff>19050</xdr:colOff>
                    <xdr:row>29</xdr:row>
                    <xdr:rowOff>180975</xdr:rowOff>
                  </from>
                  <to>
                    <xdr:col>14</xdr:col>
                    <xdr:colOff>0</xdr:colOff>
                    <xdr:row>31</xdr:row>
                    <xdr:rowOff>9525</xdr:rowOff>
                  </to>
                </anchor>
              </controlPr>
            </control>
          </mc:Choice>
        </mc:AlternateContent>
        <mc:AlternateContent xmlns:mc="http://schemas.openxmlformats.org/markup-compatibility/2006">
          <mc:Choice Requires="x14">
            <control shapeId="19490" r:id="rId37" name="Check Box 34">
              <controlPr locked="0" defaultSize="0" autoFill="0" autoLine="0" autoPict="0">
                <anchor moveWithCells="1">
                  <from>
                    <xdr:col>6</xdr:col>
                    <xdr:colOff>238125</xdr:colOff>
                    <xdr:row>32</xdr:row>
                    <xdr:rowOff>180975</xdr:rowOff>
                  </from>
                  <to>
                    <xdr:col>8</xdr:col>
                    <xdr:colOff>38100</xdr:colOff>
                    <xdr:row>34</xdr:row>
                    <xdr:rowOff>9525</xdr:rowOff>
                  </to>
                </anchor>
              </controlPr>
            </control>
          </mc:Choice>
        </mc:AlternateContent>
        <mc:AlternateContent xmlns:mc="http://schemas.openxmlformats.org/markup-compatibility/2006">
          <mc:Choice Requires="x14">
            <control shapeId="19491" r:id="rId38" name="Check Box 35">
              <controlPr locked="0" defaultSize="0" autoFill="0" autoLine="0" autoPict="0">
                <anchor moveWithCells="1">
                  <from>
                    <xdr:col>10</xdr:col>
                    <xdr:colOff>161925</xdr:colOff>
                    <xdr:row>32</xdr:row>
                    <xdr:rowOff>180975</xdr:rowOff>
                  </from>
                  <to>
                    <xdr:col>12</xdr:col>
                    <xdr:colOff>0</xdr:colOff>
                    <xdr:row>34</xdr:row>
                    <xdr:rowOff>9525</xdr:rowOff>
                  </to>
                </anchor>
              </controlPr>
            </control>
          </mc:Choice>
        </mc:AlternateContent>
        <mc:AlternateContent xmlns:mc="http://schemas.openxmlformats.org/markup-compatibility/2006">
          <mc:Choice Requires="x14">
            <control shapeId="19492" r:id="rId39" name="Check Box 36">
              <controlPr locked="0" defaultSize="0" autoFill="0" autoLine="0" autoPict="0">
                <anchor moveWithCells="1">
                  <from>
                    <xdr:col>14</xdr:col>
                    <xdr:colOff>180975</xdr:colOff>
                    <xdr:row>32</xdr:row>
                    <xdr:rowOff>180975</xdr:rowOff>
                  </from>
                  <to>
                    <xdr:col>15</xdr:col>
                    <xdr:colOff>161925</xdr:colOff>
                    <xdr:row>34</xdr:row>
                    <xdr:rowOff>9525</xdr:rowOff>
                  </to>
                </anchor>
              </controlPr>
            </control>
          </mc:Choice>
        </mc:AlternateContent>
        <mc:AlternateContent xmlns:mc="http://schemas.openxmlformats.org/markup-compatibility/2006">
          <mc:Choice Requires="x14">
            <control shapeId="19493" r:id="rId40" name="Check Box 37">
              <controlPr locked="0" defaultSize="0" autoFill="0" autoLine="0" autoPict="0">
                <anchor moveWithCells="1">
                  <from>
                    <xdr:col>22</xdr:col>
                    <xdr:colOff>104775</xdr:colOff>
                    <xdr:row>27</xdr:row>
                    <xdr:rowOff>180975</xdr:rowOff>
                  </from>
                  <to>
                    <xdr:col>22</xdr:col>
                    <xdr:colOff>323850</xdr:colOff>
                    <xdr:row>29</xdr:row>
                    <xdr:rowOff>9525</xdr:rowOff>
                  </to>
                </anchor>
              </controlPr>
            </control>
          </mc:Choice>
        </mc:AlternateContent>
        <mc:AlternateContent xmlns:mc="http://schemas.openxmlformats.org/markup-compatibility/2006">
          <mc:Choice Requires="x14">
            <control shapeId="19494" r:id="rId41" name="Check Box 38">
              <controlPr locked="0" defaultSize="0" autoFill="0" autoLine="0" autoPict="0">
                <anchor moveWithCells="1">
                  <from>
                    <xdr:col>22</xdr:col>
                    <xdr:colOff>104775</xdr:colOff>
                    <xdr:row>28</xdr:row>
                    <xdr:rowOff>180975</xdr:rowOff>
                  </from>
                  <to>
                    <xdr:col>22</xdr:col>
                    <xdr:colOff>323850</xdr:colOff>
                    <xdr:row>30</xdr:row>
                    <xdr:rowOff>9525</xdr:rowOff>
                  </to>
                </anchor>
              </controlPr>
            </control>
          </mc:Choice>
        </mc:AlternateContent>
        <mc:AlternateContent xmlns:mc="http://schemas.openxmlformats.org/markup-compatibility/2006">
          <mc:Choice Requires="x14">
            <control shapeId="19495" r:id="rId42" name="Check Box 39">
              <controlPr locked="0" defaultSize="0" autoFill="0" autoLine="0" autoPict="0">
                <anchor moveWithCells="1">
                  <from>
                    <xdr:col>9</xdr:col>
                    <xdr:colOff>76200</xdr:colOff>
                    <xdr:row>38</xdr:row>
                    <xdr:rowOff>28575</xdr:rowOff>
                  </from>
                  <to>
                    <xdr:col>10</xdr:col>
                    <xdr:colOff>104775</xdr:colOff>
                    <xdr:row>39</xdr:row>
                    <xdr:rowOff>9525</xdr:rowOff>
                  </to>
                </anchor>
              </controlPr>
            </control>
          </mc:Choice>
        </mc:AlternateContent>
        <mc:AlternateContent xmlns:mc="http://schemas.openxmlformats.org/markup-compatibility/2006">
          <mc:Choice Requires="x14">
            <control shapeId="19496" r:id="rId43" name="Check Box 40">
              <controlPr locked="0" defaultSize="0" autoFill="0" autoLine="0" autoPict="0">
                <anchor moveWithCells="1">
                  <from>
                    <xdr:col>14</xdr:col>
                    <xdr:colOff>9525</xdr:colOff>
                    <xdr:row>38</xdr:row>
                    <xdr:rowOff>28575</xdr:rowOff>
                  </from>
                  <to>
                    <xdr:col>14</xdr:col>
                    <xdr:colOff>228600</xdr:colOff>
                    <xdr:row>39</xdr:row>
                    <xdr:rowOff>9525</xdr:rowOff>
                  </to>
                </anchor>
              </controlPr>
            </control>
          </mc:Choice>
        </mc:AlternateContent>
        <mc:AlternateContent xmlns:mc="http://schemas.openxmlformats.org/markup-compatibility/2006">
          <mc:Choice Requires="x14">
            <control shapeId="19497" r:id="rId44" name="Check Box 41">
              <controlPr locked="0" defaultSize="0" autoFill="0" autoLine="0" autoPict="0">
                <anchor moveWithCells="1">
                  <from>
                    <xdr:col>22</xdr:col>
                    <xdr:colOff>104775</xdr:colOff>
                    <xdr:row>45</xdr:row>
                    <xdr:rowOff>180975</xdr:rowOff>
                  </from>
                  <to>
                    <xdr:col>22</xdr:col>
                    <xdr:colOff>323850</xdr:colOff>
                    <xdr:row>47</xdr:row>
                    <xdr:rowOff>9525</xdr:rowOff>
                  </to>
                </anchor>
              </controlPr>
            </control>
          </mc:Choice>
        </mc:AlternateContent>
        <mc:AlternateContent xmlns:mc="http://schemas.openxmlformats.org/markup-compatibility/2006">
          <mc:Choice Requires="x14">
            <control shapeId="19498" r:id="rId45" name="Check Box 42">
              <controlPr locked="0" defaultSize="0" autoFill="0" autoLine="0" autoPict="0">
                <anchor moveWithCells="1">
                  <from>
                    <xdr:col>22</xdr:col>
                    <xdr:colOff>104775</xdr:colOff>
                    <xdr:row>46</xdr:row>
                    <xdr:rowOff>180975</xdr:rowOff>
                  </from>
                  <to>
                    <xdr:col>22</xdr:col>
                    <xdr:colOff>323850</xdr:colOff>
                    <xdr:row>48</xdr:row>
                    <xdr:rowOff>9525</xdr:rowOff>
                  </to>
                </anchor>
              </controlPr>
            </control>
          </mc:Choice>
        </mc:AlternateContent>
        <mc:AlternateContent xmlns:mc="http://schemas.openxmlformats.org/markup-compatibility/2006">
          <mc:Choice Requires="x14">
            <control shapeId="19499" r:id="rId46" name="Check Box 43">
              <controlPr locked="0" defaultSize="0" autoFill="0" autoLine="0" autoPict="0">
                <anchor moveWithCells="1">
                  <from>
                    <xdr:col>22</xdr:col>
                    <xdr:colOff>104775</xdr:colOff>
                    <xdr:row>63</xdr:row>
                    <xdr:rowOff>180975</xdr:rowOff>
                  </from>
                  <to>
                    <xdr:col>22</xdr:col>
                    <xdr:colOff>323850</xdr:colOff>
                    <xdr:row>65</xdr:row>
                    <xdr:rowOff>9525</xdr:rowOff>
                  </to>
                </anchor>
              </controlPr>
            </control>
          </mc:Choice>
        </mc:AlternateContent>
        <mc:AlternateContent xmlns:mc="http://schemas.openxmlformats.org/markup-compatibility/2006">
          <mc:Choice Requires="x14">
            <control shapeId="19500" r:id="rId47" name="Check Box 44">
              <controlPr locked="0" defaultSize="0" autoFill="0" autoLine="0" autoPict="0">
                <anchor moveWithCells="1">
                  <from>
                    <xdr:col>22</xdr:col>
                    <xdr:colOff>104775</xdr:colOff>
                    <xdr:row>64</xdr:row>
                    <xdr:rowOff>180975</xdr:rowOff>
                  </from>
                  <to>
                    <xdr:col>22</xdr:col>
                    <xdr:colOff>323850</xdr:colOff>
                    <xdr:row>66</xdr:row>
                    <xdr:rowOff>9525</xdr:rowOff>
                  </to>
                </anchor>
              </controlPr>
            </control>
          </mc:Choice>
        </mc:AlternateContent>
        <mc:AlternateContent xmlns:mc="http://schemas.openxmlformats.org/markup-compatibility/2006">
          <mc:Choice Requires="x14">
            <control shapeId="19501" r:id="rId48" name="Check Box 45">
              <controlPr locked="0" defaultSize="0" autoFill="0" autoLine="0" autoPict="0">
                <anchor moveWithCells="1">
                  <from>
                    <xdr:col>22</xdr:col>
                    <xdr:colOff>104775</xdr:colOff>
                    <xdr:row>81</xdr:row>
                    <xdr:rowOff>180975</xdr:rowOff>
                  </from>
                  <to>
                    <xdr:col>22</xdr:col>
                    <xdr:colOff>323850</xdr:colOff>
                    <xdr:row>83</xdr:row>
                    <xdr:rowOff>9525</xdr:rowOff>
                  </to>
                </anchor>
              </controlPr>
            </control>
          </mc:Choice>
        </mc:AlternateContent>
        <mc:AlternateContent xmlns:mc="http://schemas.openxmlformats.org/markup-compatibility/2006">
          <mc:Choice Requires="x14">
            <control shapeId="19502" r:id="rId49" name="Check Box 46">
              <controlPr locked="0" defaultSize="0" autoFill="0" autoLine="0" autoPict="0">
                <anchor moveWithCells="1">
                  <from>
                    <xdr:col>22</xdr:col>
                    <xdr:colOff>104775</xdr:colOff>
                    <xdr:row>82</xdr:row>
                    <xdr:rowOff>180975</xdr:rowOff>
                  </from>
                  <to>
                    <xdr:col>22</xdr:col>
                    <xdr:colOff>323850</xdr:colOff>
                    <xdr:row>84</xdr:row>
                    <xdr:rowOff>9525</xdr:rowOff>
                  </to>
                </anchor>
              </controlPr>
            </control>
          </mc:Choice>
        </mc:AlternateContent>
        <mc:AlternateContent xmlns:mc="http://schemas.openxmlformats.org/markup-compatibility/2006">
          <mc:Choice Requires="x14">
            <control shapeId="19503" r:id="rId50" name="Check Box 47">
              <controlPr locked="0" defaultSize="0" autoFill="0" autoLine="0" autoPict="0">
                <anchor moveWithCells="1">
                  <from>
                    <xdr:col>22</xdr:col>
                    <xdr:colOff>104775</xdr:colOff>
                    <xdr:row>99</xdr:row>
                    <xdr:rowOff>180975</xdr:rowOff>
                  </from>
                  <to>
                    <xdr:col>22</xdr:col>
                    <xdr:colOff>323850</xdr:colOff>
                    <xdr:row>101</xdr:row>
                    <xdr:rowOff>9525</xdr:rowOff>
                  </to>
                </anchor>
              </controlPr>
            </control>
          </mc:Choice>
        </mc:AlternateContent>
        <mc:AlternateContent xmlns:mc="http://schemas.openxmlformats.org/markup-compatibility/2006">
          <mc:Choice Requires="x14">
            <control shapeId="19504" r:id="rId51" name="Check Box 48">
              <controlPr locked="0" defaultSize="0" autoFill="0" autoLine="0" autoPict="0">
                <anchor moveWithCells="1">
                  <from>
                    <xdr:col>22</xdr:col>
                    <xdr:colOff>104775</xdr:colOff>
                    <xdr:row>100</xdr:row>
                    <xdr:rowOff>180975</xdr:rowOff>
                  </from>
                  <to>
                    <xdr:col>22</xdr:col>
                    <xdr:colOff>323850</xdr:colOff>
                    <xdr:row>102</xdr:row>
                    <xdr:rowOff>9525</xdr:rowOff>
                  </to>
                </anchor>
              </controlPr>
            </control>
          </mc:Choice>
        </mc:AlternateContent>
        <mc:AlternateContent xmlns:mc="http://schemas.openxmlformats.org/markup-compatibility/2006">
          <mc:Choice Requires="x14">
            <control shapeId="19505" r:id="rId52" name="Check Box 49">
              <controlPr locked="0" defaultSize="0" autoFill="0" autoLine="0" autoPict="0">
                <anchor moveWithCells="1">
                  <from>
                    <xdr:col>9</xdr:col>
                    <xdr:colOff>76200</xdr:colOff>
                    <xdr:row>56</xdr:row>
                    <xdr:rowOff>28575</xdr:rowOff>
                  </from>
                  <to>
                    <xdr:col>10</xdr:col>
                    <xdr:colOff>104775</xdr:colOff>
                    <xdr:row>57</xdr:row>
                    <xdr:rowOff>9525</xdr:rowOff>
                  </to>
                </anchor>
              </controlPr>
            </control>
          </mc:Choice>
        </mc:AlternateContent>
        <mc:AlternateContent xmlns:mc="http://schemas.openxmlformats.org/markup-compatibility/2006">
          <mc:Choice Requires="x14">
            <control shapeId="19506" r:id="rId53" name="Check Box 50">
              <controlPr locked="0" defaultSize="0" autoFill="0" autoLine="0" autoPict="0">
                <anchor moveWithCells="1">
                  <from>
                    <xdr:col>14</xdr:col>
                    <xdr:colOff>9525</xdr:colOff>
                    <xdr:row>56</xdr:row>
                    <xdr:rowOff>28575</xdr:rowOff>
                  </from>
                  <to>
                    <xdr:col>14</xdr:col>
                    <xdr:colOff>228600</xdr:colOff>
                    <xdr:row>57</xdr:row>
                    <xdr:rowOff>9525</xdr:rowOff>
                  </to>
                </anchor>
              </controlPr>
            </control>
          </mc:Choice>
        </mc:AlternateContent>
        <mc:AlternateContent xmlns:mc="http://schemas.openxmlformats.org/markup-compatibility/2006">
          <mc:Choice Requires="x14">
            <control shapeId="19507" r:id="rId54" name="Check Box 51">
              <controlPr locked="0" defaultSize="0" autoFill="0" autoLine="0" autoPict="0">
                <anchor moveWithCells="1">
                  <from>
                    <xdr:col>9</xdr:col>
                    <xdr:colOff>76200</xdr:colOff>
                    <xdr:row>74</xdr:row>
                    <xdr:rowOff>28575</xdr:rowOff>
                  </from>
                  <to>
                    <xdr:col>10</xdr:col>
                    <xdr:colOff>104775</xdr:colOff>
                    <xdr:row>75</xdr:row>
                    <xdr:rowOff>9525</xdr:rowOff>
                  </to>
                </anchor>
              </controlPr>
            </control>
          </mc:Choice>
        </mc:AlternateContent>
        <mc:AlternateContent xmlns:mc="http://schemas.openxmlformats.org/markup-compatibility/2006">
          <mc:Choice Requires="x14">
            <control shapeId="19508" r:id="rId55" name="Check Box 52">
              <controlPr locked="0" defaultSize="0" autoFill="0" autoLine="0" autoPict="0">
                <anchor moveWithCells="1">
                  <from>
                    <xdr:col>14</xdr:col>
                    <xdr:colOff>9525</xdr:colOff>
                    <xdr:row>74</xdr:row>
                    <xdr:rowOff>28575</xdr:rowOff>
                  </from>
                  <to>
                    <xdr:col>14</xdr:col>
                    <xdr:colOff>228600</xdr:colOff>
                    <xdr:row>75</xdr:row>
                    <xdr:rowOff>9525</xdr:rowOff>
                  </to>
                </anchor>
              </controlPr>
            </control>
          </mc:Choice>
        </mc:AlternateContent>
        <mc:AlternateContent xmlns:mc="http://schemas.openxmlformats.org/markup-compatibility/2006">
          <mc:Choice Requires="x14">
            <control shapeId="19509" r:id="rId56" name="Check Box 53">
              <controlPr locked="0" defaultSize="0" autoFill="0" autoLine="0" autoPict="0">
                <anchor moveWithCells="1">
                  <from>
                    <xdr:col>9</xdr:col>
                    <xdr:colOff>76200</xdr:colOff>
                    <xdr:row>92</xdr:row>
                    <xdr:rowOff>28575</xdr:rowOff>
                  </from>
                  <to>
                    <xdr:col>10</xdr:col>
                    <xdr:colOff>104775</xdr:colOff>
                    <xdr:row>93</xdr:row>
                    <xdr:rowOff>9525</xdr:rowOff>
                  </to>
                </anchor>
              </controlPr>
            </control>
          </mc:Choice>
        </mc:AlternateContent>
        <mc:AlternateContent xmlns:mc="http://schemas.openxmlformats.org/markup-compatibility/2006">
          <mc:Choice Requires="x14">
            <control shapeId="19510" r:id="rId57" name="Check Box 54">
              <controlPr locked="0" defaultSize="0" autoFill="0" autoLine="0" autoPict="0">
                <anchor moveWithCells="1">
                  <from>
                    <xdr:col>14</xdr:col>
                    <xdr:colOff>9525</xdr:colOff>
                    <xdr:row>92</xdr:row>
                    <xdr:rowOff>28575</xdr:rowOff>
                  </from>
                  <to>
                    <xdr:col>14</xdr:col>
                    <xdr:colOff>228600</xdr:colOff>
                    <xdr:row>93</xdr:row>
                    <xdr:rowOff>9525</xdr:rowOff>
                  </to>
                </anchor>
              </controlPr>
            </control>
          </mc:Choice>
        </mc:AlternateContent>
        <mc:AlternateContent xmlns:mc="http://schemas.openxmlformats.org/markup-compatibility/2006">
          <mc:Choice Requires="x14">
            <control shapeId="19511" r:id="rId58" name="Check Box 55">
              <controlPr locked="0" defaultSize="0" autoFill="0" autoLine="0" autoPict="0">
                <anchor moveWithCells="1">
                  <from>
                    <xdr:col>6</xdr:col>
                    <xdr:colOff>228600</xdr:colOff>
                    <xdr:row>38</xdr:row>
                    <xdr:rowOff>257175</xdr:rowOff>
                  </from>
                  <to>
                    <xdr:col>8</xdr:col>
                    <xdr:colOff>28575</xdr:colOff>
                    <xdr:row>40</xdr:row>
                    <xdr:rowOff>19050</xdr:rowOff>
                  </to>
                </anchor>
              </controlPr>
            </control>
          </mc:Choice>
        </mc:AlternateContent>
        <mc:AlternateContent xmlns:mc="http://schemas.openxmlformats.org/markup-compatibility/2006">
          <mc:Choice Requires="x14">
            <control shapeId="19512" r:id="rId59" name="Check Box 56">
              <controlPr locked="0" defaultSize="0" autoFill="0" autoLine="0" autoPict="0">
                <anchor moveWithCells="1">
                  <from>
                    <xdr:col>11</xdr:col>
                    <xdr:colOff>352425</xdr:colOff>
                    <xdr:row>38</xdr:row>
                    <xdr:rowOff>257175</xdr:rowOff>
                  </from>
                  <to>
                    <xdr:col>13</xdr:col>
                    <xdr:colOff>57150</xdr:colOff>
                    <xdr:row>40</xdr:row>
                    <xdr:rowOff>19050</xdr:rowOff>
                  </to>
                </anchor>
              </controlPr>
            </control>
          </mc:Choice>
        </mc:AlternateContent>
        <mc:AlternateContent xmlns:mc="http://schemas.openxmlformats.org/markup-compatibility/2006">
          <mc:Choice Requires="x14">
            <control shapeId="19513" r:id="rId60" name="Check Box 57">
              <controlPr locked="0" defaultSize="0" autoFill="0" autoLine="0" autoPict="0">
                <anchor moveWithCells="1">
                  <from>
                    <xdr:col>18</xdr:col>
                    <xdr:colOff>19050</xdr:colOff>
                    <xdr:row>38</xdr:row>
                    <xdr:rowOff>257175</xdr:rowOff>
                  </from>
                  <to>
                    <xdr:col>19</xdr:col>
                    <xdr:colOff>76200</xdr:colOff>
                    <xdr:row>40</xdr:row>
                    <xdr:rowOff>19050</xdr:rowOff>
                  </to>
                </anchor>
              </controlPr>
            </control>
          </mc:Choice>
        </mc:AlternateContent>
        <mc:AlternateContent xmlns:mc="http://schemas.openxmlformats.org/markup-compatibility/2006">
          <mc:Choice Requires="x14">
            <control shapeId="19514" r:id="rId61" name="Check Box 58">
              <controlPr locked="0" defaultSize="0" autoFill="0" autoLine="0" autoPict="0">
                <anchor moveWithCells="1">
                  <from>
                    <xdr:col>6</xdr:col>
                    <xdr:colOff>66675</xdr:colOff>
                    <xdr:row>41</xdr:row>
                    <xdr:rowOff>180975</xdr:rowOff>
                  </from>
                  <to>
                    <xdr:col>7</xdr:col>
                    <xdr:colOff>28575</xdr:colOff>
                    <xdr:row>43</xdr:row>
                    <xdr:rowOff>9525</xdr:rowOff>
                  </to>
                </anchor>
              </controlPr>
            </control>
          </mc:Choice>
        </mc:AlternateContent>
        <mc:AlternateContent xmlns:mc="http://schemas.openxmlformats.org/markup-compatibility/2006">
          <mc:Choice Requires="x14">
            <control shapeId="19515" r:id="rId62" name="Check Box 59">
              <controlPr locked="0" defaultSize="0" autoFill="0" autoLine="0" autoPict="0">
                <anchor moveWithCells="1">
                  <from>
                    <xdr:col>11</xdr:col>
                    <xdr:colOff>352425</xdr:colOff>
                    <xdr:row>41</xdr:row>
                    <xdr:rowOff>180975</xdr:rowOff>
                  </from>
                  <to>
                    <xdr:col>13</xdr:col>
                    <xdr:colOff>57150</xdr:colOff>
                    <xdr:row>43</xdr:row>
                    <xdr:rowOff>9525</xdr:rowOff>
                  </to>
                </anchor>
              </controlPr>
            </control>
          </mc:Choice>
        </mc:AlternateContent>
        <mc:AlternateContent xmlns:mc="http://schemas.openxmlformats.org/markup-compatibility/2006">
          <mc:Choice Requires="x14">
            <control shapeId="19516" r:id="rId63" name="Check Box 60">
              <controlPr locked="0" defaultSize="0" autoFill="0" autoLine="0" autoPict="0">
                <anchor moveWithCells="1">
                  <from>
                    <xdr:col>17</xdr:col>
                    <xdr:colOff>47625</xdr:colOff>
                    <xdr:row>41</xdr:row>
                    <xdr:rowOff>180975</xdr:rowOff>
                  </from>
                  <to>
                    <xdr:col>18</xdr:col>
                    <xdr:colOff>28575</xdr:colOff>
                    <xdr:row>43</xdr:row>
                    <xdr:rowOff>9525</xdr:rowOff>
                  </to>
                </anchor>
              </controlPr>
            </control>
          </mc:Choice>
        </mc:AlternateContent>
        <mc:AlternateContent xmlns:mc="http://schemas.openxmlformats.org/markup-compatibility/2006">
          <mc:Choice Requires="x14">
            <control shapeId="19517" r:id="rId64" name="Check Box 61">
              <controlPr locked="0" defaultSize="0" autoFill="0" autoLine="0" autoPict="0">
                <anchor moveWithCells="1">
                  <from>
                    <xdr:col>4</xdr:col>
                    <xdr:colOff>85725</xdr:colOff>
                    <xdr:row>44</xdr:row>
                    <xdr:rowOff>180975</xdr:rowOff>
                  </from>
                  <to>
                    <xdr:col>5</xdr:col>
                    <xdr:colOff>47625</xdr:colOff>
                    <xdr:row>46</xdr:row>
                    <xdr:rowOff>9525</xdr:rowOff>
                  </to>
                </anchor>
              </controlPr>
            </control>
          </mc:Choice>
        </mc:AlternateContent>
        <mc:AlternateContent xmlns:mc="http://schemas.openxmlformats.org/markup-compatibility/2006">
          <mc:Choice Requires="x14">
            <control shapeId="19518" r:id="rId65" name="Check Box 62">
              <controlPr locked="0" defaultSize="0" autoFill="0" autoLine="0" autoPict="0">
                <anchor moveWithCells="1">
                  <from>
                    <xdr:col>6</xdr:col>
                    <xdr:colOff>247650</xdr:colOff>
                    <xdr:row>44</xdr:row>
                    <xdr:rowOff>180975</xdr:rowOff>
                  </from>
                  <to>
                    <xdr:col>8</xdr:col>
                    <xdr:colOff>47625</xdr:colOff>
                    <xdr:row>46</xdr:row>
                    <xdr:rowOff>9525</xdr:rowOff>
                  </to>
                </anchor>
              </controlPr>
            </control>
          </mc:Choice>
        </mc:AlternateContent>
        <mc:AlternateContent xmlns:mc="http://schemas.openxmlformats.org/markup-compatibility/2006">
          <mc:Choice Requires="x14">
            <control shapeId="19519" r:id="rId66" name="Check Box 63">
              <controlPr locked="0" defaultSize="0" autoFill="0" autoLine="0" autoPict="0">
                <anchor moveWithCells="1">
                  <from>
                    <xdr:col>13</xdr:col>
                    <xdr:colOff>57150</xdr:colOff>
                    <xdr:row>44</xdr:row>
                    <xdr:rowOff>180975</xdr:rowOff>
                  </from>
                  <to>
                    <xdr:col>14</xdr:col>
                    <xdr:colOff>38100</xdr:colOff>
                    <xdr:row>46</xdr:row>
                    <xdr:rowOff>9525</xdr:rowOff>
                  </to>
                </anchor>
              </controlPr>
            </control>
          </mc:Choice>
        </mc:AlternateContent>
        <mc:AlternateContent xmlns:mc="http://schemas.openxmlformats.org/markup-compatibility/2006">
          <mc:Choice Requires="x14">
            <control shapeId="19520" r:id="rId67" name="Check Box 64">
              <controlPr locked="0" defaultSize="0" autoFill="0" autoLine="0" autoPict="0">
                <anchor moveWithCells="1">
                  <from>
                    <xdr:col>3</xdr:col>
                    <xdr:colOff>419100</xdr:colOff>
                    <xdr:row>47</xdr:row>
                    <xdr:rowOff>180975</xdr:rowOff>
                  </from>
                  <to>
                    <xdr:col>4</xdr:col>
                    <xdr:colOff>123825</xdr:colOff>
                    <xdr:row>49</xdr:row>
                    <xdr:rowOff>9525</xdr:rowOff>
                  </to>
                </anchor>
              </controlPr>
            </control>
          </mc:Choice>
        </mc:AlternateContent>
        <mc:AlternateContent xmlns:mc="http://schemas.openxmlformats.org/markup-compatibility/2006">
          <mc:Choice Requires="x14">
            <control shapeId="19521" r:id="rId68" name="Check Box 65">
              <controlPr locked="0" defaultSize="0" autoFill="0" autoLine="0" autoPict="0">
                <anchor moveWithCells="1">
                  <from>
                    <xdr:col>7</xdr:col>
                    <xdr:colOff>152400</xdr:colOff>
                    <xdr:row>47</xdr:row>
                    <xdr:rowOff>180975</xdr:rowOff>
                  </from>
                  <to>
                    <xdr:col>9</xdr:col>
                    <xdr:colOff>19050</xdr:colOff>
                    <xdr:row>49</xdr:row>
                    <xdr:rowOff>9525</xdr:rowOff>
                  </to>
                </anchor>
              </controlPr>
            </control>
          </mc:Choice>
        </mc:AlternateContent>
        <mc:AlternateContent xmlns:mc="http://schemas.openxmlformats.org/markup-compatibility/2006">
          <mc:Choice Requires="x14">
            <control shapeId="19522" r:id="rId69" name="Check Box 66">
              <controlPr locked="0" defaultSize="0" autoFill="0" autoLine="0" autoPict="0">
                <anchor moveWithCells="1">
                  <from>
                    <xdr:col>13</xdr:col>
                    <xdr:colOff>19050</xdr:colOff>
                    <xdr:row>47</xdr:row>
                    <xdr:rowOff>180975</xdr:rowOff>
                  </from>
                  <to>
                    <xdr:col>14</xdr:col>
                    <xdr:colOff>0</xdr:colOff>
                    <xdr:row>49</xdr:row>
                    <xdr:rowOff>9525</xdr:rowOff>
                  </to>
                </anchor>
              </controlPr>
            </control>
          </mc:Choice>
        </mc:AlternateContent>
        <mc:AlternateContent xmlns:mc="http://schemas.openxmlformats.org/markup-compatibility/2006">
          <mc:Choice Requires="x14">
            <control shapeId="19523" r:id="rId70" name="Check Box 67">
              <controlPr locked="0" defaultSize="0" autoFill="0" autoLine="0" autoPict="0">
                <anchor moveWithCells="1">
                  <from>
                    <xdr:col>6</xdr:col>
                    <xdr:colOff>238125</xdr:colOff>
                    <xdr:row>50</xdr:row>
                    <xdr:rowOff>180975</xdr:rowOff>
                  </from>
                  <to>
                    <xdr:col>8</xdr:col>
                    <xdr:colOff>38100</xdr:colOff>
                    <xdr:row>52</xdr:row>
                    <xdr:rowOff>9525</xdr:rowOff>
                  </to>
                </anchor>
              </controlPr>
            </control>
          </mc:Choice>
        </mc:AlternateContent>
        <mc:AlternateContent xmlns:mc="http://schemas.openxmlformats.org/markup-compatibility/2006">
          <mc:Choice Requires="x14">
            <control shapeId="19524" r:id="rId71" name="Check Box 68">
              <controlPr locked="0" defaultSize="0" autoFill="0" autoLine="0" autoPict="0">
                <anchor moveWithCells="1">
                  <from>
                    <xdr:col>10</xdr:col>
                    <xdr:colOff>161925</xdr:colOff>
                    <xdr:row>50</xdr:row>
                    <xdr:rowOff>180975</xdr:rowOff>
                  </from>
                  <to>
                    <xdr:col>12</xdr:col>
                    <xdr:colOff>0</xdr:colOff>
                    <xdr:row>52</xdr:row>
                    <xdr:rowOff>9525</xdr:rowOff>
                  </to>
                </anchor>
              </controlPr>
            </control>
          </mc:Choice>
        </mc:AlternateContent>
        <mc:AlternateContent xmlns:mc="http://schemas.openxmlformats.org/markup-compatibility/2006">
          <mc:Choice Requires="x14">
            <control shapeId="19525" r:id="rId72" name="Check Box 69">
              <controlPr locked="0" defaultSize="0" autoFill="0" autoLine="0" autoPict="0">
                <anchor moveWithCells="1">
                  <from>
                    <xdr:col>14</xdr:col>
                    <xdr:colOff>180975</xdr:colOff>
                    <xdr:row>50</xdr:row>
                    <xdr:rowOff>180975</xdr:rowOff>
                  </from>
                  <to>
                    <xdr:col>15</xdr:col>
                    <xdr:colOff>161925</xdr:colOff>
                    <xdr:row>52</xdr:row>
                    <xdr:rowOff>9525</xdr:rowOff>
                  </to>
                </anchor>
              </controlPr>
            </control>
          </mc:Choice>
        </mc:AlternateContent>
        <mc:AlternateContent xmlns:mc="http://schemas.openxmlformats.org/markup-compatibility/2006">
          <mc:Choice Requires="x14">
            <control shapeId="19526" r:id="rId73" name="Check Box 70">
              <controlPr locked="0" defaultSize="0" autoFill="0" autoLine="0" autoPict="0">
                <anchor moveWithCells="1">
                  <from>
                    <xdr:col>6</xdr:col>
                    <xdr:colOff>228600</xdr:colOff>
                    <xdr:row>56</xdr:row>
                    <xdr:rowOff>257175</xdr:rowOff>
                  </from>
                  <to>
                    <xdr:col>8</xdr:col>
                    <xdr:colOff>28575</xdr:colOff>
                    <xdr:row>58</xdr:row>
                    <xdr:rowOff>19050</xdr:rowOff>
                  </to>
                </anchor>
              </controlPr>
            </control>
          </mc:Choice>
        </mc:AlternateContent>
        <mc:AlternateContent xmlns:mc="http://schemas.openxmlformats.org/markup-compatibility/2006">
          <mc:Choice Requires="x14">
            <control shapeId="19527" r:id="rId74" name="Check Box 71">
              <controlPr locked="0" defaultSize="0" autoFill="0" autoLine="0" autoPict="0">
                <anchor moveWithCells="1">
                  <from>
                    <xdr:col>11</xdr:col>
                    <xdr:colOff>352425</xdr:colOff>
                    <xdr:row>56</xdr:row>
                    <xdr:rowOff>257175</xdr:rowOff>
                  </from>
                  <to>
                    <xdr:col>13</xdr:col>
                    <xdr:colOff>57150</xdr:colOff>
                    <xdr:row>58</xdr:row>
                    <xdr:rowOff>19050</xdr:rowOff>
                  </to>
                </anchor>
              </controlPr>
            </control>
          </mc:Choice>
        </mc:AlternateContent>
        <mc:AlternateContent xmlns:mc="http://schemas.openxmlformats.org/markup-compatibility/2006">
          <mc:Choice Requires="x14">
            <control shapeId="19528" r:id="rId75" name="Check Box 72">
              <controlPr locked="0" defaultSize="0" autoFill="0" autoLine="0" autoPict="0">
                <anchor moveWithCells="1">
                  <from>
                    <xdr:col>18</xdr:col>
                    <xdr:colOff>19050</xdr:colOff>
                    <xdr:row>56</xdr:row>
                    <xdr:rowOff>257175</xdr:rowOff>
                  </from>
                  <to>
                    <xdr:col>19</xdr:col>
                    <xdr:colOff>76200</xdr:colOff>
                    <xdr:row>58</xdr:row>
                    <xdr:rowOff>19050</xdr:rowOff>
                  </to>
                </anchor>
              </controlPr>
            </control>
          </mc:Choice>
        </mc:AlternateContent>
        <mc:AlternateContent xmlns:mc="http://schemas.openxmlformats.org/markup-compatibility/2006">
          <mc:Choice Requires="x14">
            <control shapeId="19529" r:id="rId76" name="Check Box 73">
              <controlPr locked="0" defaultSize="0" autoFill="0" autoLine="0" autoPict="0">
                <anchor moveWithCells="1">
                  <from>
                    <xdr:col>6</xdr:col>
                    <xdr:colOff>66675</xdr:colOff>
                    <xdr:row>59</xdr:row>
                    <xdr:rowOff>180975</xdr:rowOff>
                  </from>
                  <to>
                    <xdr:col>7</xdr:col>
                    <xdr:colOff>28575</xdr:colOff>
                    <xdr:row>61</xdr:row>
                    <xdr:rowOff>9525</xdr:rowOff>
                  </to>
                </anchor>
              </controlPr>
            </control>
          </mc:Choice>
        </mc:AlternateContent>
        <mc:AlternateContent xmlns:mc="http://schemas.openxmlformats.org/markup-compatibility/2006">
          <mc:Choice Requires="x14">
            <control shapeId="19530" r:id="rId77" name="Check Box 74">
              <controlPr locked="0" defaultSize="0" autoFill="0" autoLine="0" autoPict="0">
                <anchor moveWithCells="1">
                  <from>
                    <xdr:col>11</xdr:col>
                    <xdr:colOff>352425</xdr:colOff>
                    <xdr:row>59</xdr:row>
                    <xdr:rowOff>180975</xdr:rowOff>
                  </from>
                  <to>
                    <xdr:col>13</xdr:col>
                    <xdr:colOff>57150</xdr:colOff>
                    <xdr:row>61</xdr:row>
                    <xdr:rowOff>9525</xdr:rowOff>
                  </to>
                </anchor>
              </controlPr>
            </control>
          </mc:Choice>
        </mc:AlternateContent>
        <mc:AlternateContent xmlns:mc="http://schemas.openxmlformats.org/markup-compatibility/2006">
          <mc:Choice Requires="x14">
            <control shapeId="19531" r:id="rId78" name="Check Box 75">
              <controlPr locked="0" defaultSize="0" autoFill="0" autoLine="0" autoPict="0">
                <anchor moveWithCells="1">
                  <from>
                    <xdr:col>17</xdr:col>
                    <xdr:colOff>47625</xdr:colOff>
                    <xdr:row>59</xdr:row>
                    <xdr:rowOff>180975</xdr:rowOff>
                  </from>
                  <to>
                    <xdr:col>18</xdr:col>
                    <xdr:colOff>28575</xdr:colOff>
                    <xdr:row>61</xdr:row>
                    <xdr:rowOff>9525</xdr:rowOff>
                  </to>
                </anchor>
              </controlPr>
            </control>
          </mc:Choice>
        </mc:AlternateContent>
        <mc:AlternateContent xmlns:mc="http://schemas.openxmlformats.org/markup-compatibility/2006">
          <mc:Choice Requires="x14">
            <control shapeId="19532" r:id="rId79" name="Check Box 76">
              <controlPr locked="0" defaultSize="0" autoFill="0" autoLine="0" autoPict="0">
                <anchor moveWithCells="1">
                  <from>
                    <xdr:col>4</xdr:col>
                    <xdr:colOff>85725</xdr:colOff>
                    <xdr:row>62</xdr:row>
                    <xdr:rowOff>180975</xdr:rowOff>
                  </from>
                  <to>
                    <xdr:col>5</xdr:col>
                    <xdr:colOff>47625</xdr:colOff>
                    <xdr:row>64</xdr:row>
                    <xdr:rowOff>9525</xdr:rowOff>
                  </to>
                </anchor>
              </controlPr>
            </control>
          </mc:Choice>
        </mc:AlternateContent>
        <mc:AlternateContent xmlns:mc="http://schemas.openxmlformats.org/markup-compatibility/2006">
          <mc:Choice Requires="x14">
            <control shapeId="19533" r:id="rId80" name="Check Box 77">
              <controlPr locked="0" defaultSize="0" autoFill="0" autoLine="0" autoPict="0">
                <anchor moveWithCells="1">
                  <from>
                    <xdr:col>6</xdr:col>
                    <xdr:colOff>247650</xdr:colOff>
                    <xdr:row>62</xdr:row>
                    <xdr:rowOff>180975</xdr:rowOff>
                  </from>
                  <to>
                    <xdr:col>8</xdr:col>
                    <xdr:colOff>47625</xdr:colOff>
                    <xdr:row>64</xdr:row>
                    <xdr:rowOff>9525</xdr:rowOff>
                  </to>
                </anchor>
              </controlPr>
            </control>
          </mc:Choice>
        </mc:AlternateContent>
        <mc:AlternateContent xmlns:mc="http://schemas.openxmlformats.org/markup-compatibility/2006">
          <mc:Choice Requires="x14">
            <control shapeId="19534" r:id="rId81" name="Check Box 78">
              <controlPr locked="0" defaultSize="0" autoFill="0" autoLine="0" autoPict="0">
                <anchor moveWithCells="1">
                  <from>
                    <xdr:col>13</xdr:col>
                    <xdr:colOff>57150</xdr:colOff>
                    <xdr:row>62</xdr:row>
                    <xdr:rowOff>180975</xdr:rowOff>
                  </from>
                  <to>
                    <xdr:col>14</xdr:col>
                    <xdr:colOff>38100</xdr:colOff>
                    <xdr:row>64</xdr:row>
                    <xdr:rowOff>9525</xdr:rowOff>
                  </to>
                </anchor>
              </controlPr>
            </control>
          </mc:Choice>
        </mc:AlternateContent>
        <mc:AlternateContent xmlns:mc="http://schemas.openxmlformats.org/markup-compatibility/2006">
          <mc:Choice Requires="x14">
            <control shapeId="19535" r:id="rId82" name="Check Box 79">
              <controlPr locked="0" defaultSize="0" autoFill="0" autoLine="0" autoPict="0">
                <anchor moveWithCells="1">
                  <from>
                    <xdr:col>3</xdr:col>
                    <xdr:colOff>419100</xdr:colOff>
                    <xdr:row>65</xdr:row>
                    <xdr:rowOff>180975</xdr:rowOff>
                  </from>
                  <to>
                    <xdr:col>4</xdr:col>
                    <xdr:colOff>123825</xdr:colOff>
                    <xdr:row>67</xdr:row>
                    <xdr:rowOff>9525</xdr:rowOff>
                  </to>
                </anchor>
              </controlPr>
            </control>
          </mc:Choice>
        </mc:AlternateContent>
        <mc:AlternateContent xmlns:mc="http://schemas.openxmlformats.org/markup-compatibility/2006">
          <mc:Choice Requires="x14">
            <control shapeId="19536" r:id="rId83" name="Check Box 80">
              <controlPr locked="0" defaultSize="0" autoFill="0" autoLine="0" autoPict="0">
                <anchor moveWithCells="1">
                  <from>
                    <xdr:col>7</xdr:col>
                    <xdr:colOff>152400</xdr:colOff>
                    <xdr:row>65</xdr:row>
                    <xdr:rowOff>180975</xdr:rowOff>
                  </from>
                  <to>
                    <xdr:col>9</xdr:col>
                    <xdr:colOff>19050</xdr:colOff>
                    <xdr:row>67</xdr:row>
                    <xdr:rowOff>9525</xdr:rowOff>
                  </to>
                </anchor>
              </controlPr>
            </control>
          </mc:Choice>
        </mc:AlternateContent>
        <mc:AlternateContent xmlns:mc="http://schemas.openxmlformats.org/markup-compatibility/2006">
          <mc:Choice Requires="x14">
            <control shapeId="19537" r:id="rId84" name="Check Box 81">
              <controlPr locked="0" defaultSize="0" autoFill="0" autoLine="0" autoPict="0">
                <anchor moveWithCells="1">
                  <from>
                    <xdr:col>13</xdr:col>
                    <xdr:colOff>19050</xdr:colOff>
                    <xdr:row>65</xdr:row>
                    <xdr:rowOff>180975</xdr:rowOff>
                  </from>
                  <to>
                    <xdr:col>14</xdr:col>
                    <xdr:colOff>0</xdr:colOff>
                    <xdr:row>67</xdr:row>
                    <xdr:rowOff>9525</xdr:rowOff>
                  </to>
                </anchor>
              </controlPr>
            </control>
          </mc:Choice>
        </mc:AlternateContent>
        <mc:AlternateContent xmlns:mc="http://schemas.openxmlformats.org/markup-compatibility/2006">
          <mc:Choice Requires="x14">
            <control shapeId="19538" r:id="rId85" name="Check Box 82">
              <controlPr locked="0" defaultSize="0" autoFill="0" autoLine="0" autoPict="0">
                <anchor moveWithCells="1">
                  <from>
                    <xdr:col>6</xdr:col>
                    <xdr:colOff>238125</xdr:colOff>
                    <xdr:row>68</xdr:row>
                    <xdr:rowOff>180975</xdr:rowOff>
                  </from>
                  <to>
                    <xdr:col>8</xdr:col>
                    <xdr:colOff>38100</xdr:colOff>
                    <xdr:row>70</xdr:row>
                    <xdr:rowOff>9525</xdr:rowOff>
                  </to>
                </anchor>
              </controlPr>
            </control>
          </mc:Choice>
        </mc:AlternateContent>
        <mc:AlternateContent xmlns:mc="http://schemas.openxmlformats.org/markup-compatibility/2006">
          <mc:Choice Requires="x14">
            <control shapeId="19539" r:id="rId86" name="Check Box 83">
              <controlPr locked="0" defaultSize="0" autoFill="0" autoLine="0" autoPict="0">
                <anchor moveWithCells="1">
                  <from>
                    <xdr:col>10</xdr:col>
                    <xdr:colOff>161925</xdr:colOff>
                    <xdr:row>68</xdr:row>
                    <xdr:rowOff>180975</xdr:rowOff>
                  </from>
                  <to>
                    <xdr:col>12</xdr:col>
                    <xdr:colOff>0</xdr:colOff>
                    <xdr:row>70</xdr:row>
                    <xdr:rowOff>9525</xdr:rowOff>
                  </to>
                </anchor>
              </controlPr>
            </control>
          </mc:Choice>
        </mc:AlternateContent>
        <mc:AlternateContent xmlns:mc="http://schemas.openxmlformats.org/markup-compatibility/2006">
          <mc:Choice Requires="x14">
            <control shapeId="19540" r:id="rId87" name="Check Box 84">
              <controlPr locked="0" defaultSize="0" autoFill="0" autoLine="0" autoPict="0">
                <anchor moveWithCells="1">
                  <from>
                    <xdr:col>14</xdr:col>
                    <xdr:colOff>180975</xdr:colOff>
                    <xdr:row>68</xdr:row>
                    <xdr:rowOff>180975</xdr:rowOff>
                  </from>
                  <to>
                    <xdr:col>15</xdr:col>
                    <xdr:colOff>161925</xdr:colOff>
                    <xdr:row>70</xdr:row>
                    <xdr:rowOff>9525</xdr:rowOff>
                  </to>
                </anchor>
              </controlPr>
            </control>
          </mc:Choice>
        </mc:AlternateContent>
        <mc:AlternateContent xmlns:mc="http://schemas.openxmlformats.org/markup-compatibility/2006">
          <mc:Choice Requires="x14">
            <control shapeId="19541" r:id="rId88" name="Check Box 85">
              <controlPr locked="0" defaultSize="0" autoFill="0" autoLine="0" autoPict="0">
                <anchor moveWithCells="1">
                  <from>
                    <xdr:col>6</xdr:col>
                    <xdr:colOff>228600</xdr:colOff>
                    <xdr:row>74</xdr:row>
                    <xdr:rowOff>257175</xdr:rowOff>
                  </from>
                  <to>
                    <xdr:col>8</xdr:col>
                    <xdr:colOff>28575</xdr:colOff>
                    <xdr:row>76</xdr:row>
                    <xdr:rowOff>19050</xdr:rowOff>
                  </to>
                </anchor>
              </controlPr>
            </control>
          </mc:Choice>
        </mc:AlternateContent>
        <mc:AlternateContent xmlns:mc="http://schemas.openxmlformats.org/markup-compatibility/2006">
          <mc:Choice Requires="x14">
            <control shapeId="19542" r:id="rId89" name="Check Box 86">
              <controlPr locked="0" defaultSize="0" autoFill="0" autoLine="0" autoPict="0">
                <anchor moveWithCells="1">
                  <from>
                    <xdr:col>11</xdr:col>
                    <xdr:colOff>352425</xdr:colOff>
                    <xdr:row>74</xdr:row>
                    <xdr:rowOff>257175</xdr:rowOff>
                  </from>
                  <to>
                    <xdr:col>13</xdr:col>
                    <xdr:colOff>57150</xdr:colOff>
                    <xdr:row>76</xdr:row>
                    <xdr:rowOff>19050</xdr:rowOff>
                  </to>
                </anchor>
              </controlPr>
            </control>
          </mc:Choice>
        </mc:AlternateContent>
        <mc:AlternateContent xmlns:mc="http://schemas.openxmlformats.org/markup-compatibility/2006">
          <mc:Choice Requires="x14">
            <control shapeId="19543" r:id="rId90" name="Check Box 87">
              <controlPr locked="0" defaultSize="0" autoFill="0" autoLine="0" autoPict="0">
                <anchor moveWithCells="1">
                  <from>
                    <xdr:col>18</xdr:col>
                    <xdr:colOff>19050</xdr:colOff>
                    <xdr:row>74</xdr:row>
                    <xdr:rowOff>257175</xdr:rowOff>
                  </from>
                  <to>
                    <xdr:col>19</xdr:col>
                    <xdr:colOff>76200</xdr:colOff>
                    <xdr:row>76</xdr:row>
                    <xdr:rowOff>19050</xdr:rowOff>
                  </to>
                </anchor>
              </controlPr>
            </control>
          </mc:Choice>
        </mc:AlternateContent>
        <mc:AlternateContent xmlns:mc="http://schemas.openxmlformats.org/markup-compatibility/2006">
          <mc:Choice Requires="x14">
            <control shapeId="19544" r:id="rId91" name="Check Box 88">
              <controlPr locked="0" defaultSize="0" autoFill="0" autoLine="0" autoPict="0">
                <anchor moveWithCells="1">
                  <from>
                    <xdr:col>6</xdr:col>
                    <xdr:colOff>66675</xdr:colOff>
                    <xdr:row>77</xdr:row>
                    <xdr:rowOff>180975</xdr:rowOff>
                  </from>
                  <to>
                    <xdr:col>7</xdr:col>
                    <xdr:colOff>28575</xdr:colOff>
                    <xdr:row>79</xdr:row>
                    <xdr:rowOff>9525</xdr:rowOff>
                  </to>
                </anchor>
              </controlPr>
            </control>
          </mc:Choice>
        </mc:AlternateContent>
        <mc:AlternateContent xmlns:mc="http://schemas.openxmlformats.org/markup-compatibility/2006">
          <mc:Choice Requires="x14">
            <control shapeId="19545" r:id="rId92" name="Check Box 89">
              <controlPr locked="0" defaultSize="0" autoFill="0" autoLine="0" autoPict="0">
                <anchor moveWithCells="1">
                  <from>
                    <xdr:col>11</xdr:col>
                    <xdr:colOff>352425</xdr:colOff>
                    <xdr:row>77</xdr:row>
                    <xdr:rowOff>180975</xdr:rowOff>
                  </from>
                  <to>
                    <xdr:col>13</xdr:col>
                    <xdr:colOff>57150</xdr:colOff>
                    <xdr:row>79</xdr:row>
                    <xdr:rowOff>9525</xdr:rowOff>
                  </to>
                </anchor>
              </controlPr>
            </control>
          </mc:Choice>
        </mc:AlternateContent>
        <mc:AlternateContent xmlns:mc="http://schemas.openxmlformats.org/markup-compatibility/2006">
          <mc:Choice Requires="x14">
            <control shapeId="19546" r:id="rId93" name="Check Box 90">
              <controlPr locked="0" defaultSize="0" autoFill="0" autoLine="0" autoPict="0">
                <anchor moveWithCells="1">
                  <from>
                    <xdr:col>17</xdr:col>
                    <xdr:colOff>47625</xdr:colOff>
                    <xdr:row>77</xdr:row>
                    <xdr:rowOff>180975</xdr:rowOff>
                  </from>
                  <to>
                    <xdr:col>18</xdr:col>
                    <xdr:colOff>28575</xdr:colOff>
                    <xdr:row>79</xdr:row>
                    <xdr:rowOff>9525</xdr:rowOff>
                  </to>
                </anchor>
              </controlPr>
            </control>
          </mc:Choice>
        </mc:AlternateContent>
        <mc:AlternateContent xmlns:mc="http://schemas.openxmlformats.org/markup-compatibility/2006">
          <mc:Choice Requires="x14">
            <control shapeId="19547" r:id="rId94" name="Check Box 91">
              <controlPr locked="0" defaultSize="0" autoFill="0" autoLine="0" autoPict="0">
                <anchor moveWithCells="1">
                  <from>
                    <xdr:col>4</xdr:col>
                    <xdr:colOff>85725</xdr:colOff>
                    <xdr:row>80</xdr:row>
                    <xdr:rowOff>180975</xdr:rowOff>
                  </from>
                  <to>
                    <xdr:col>5</xdr:col>
                    <xdr:colOff>47625</xdr:colOff>
                    <xdr:row>82</xdr:row>
                    <xdr:rowOff>9525</xdr:rowOff>
                  </to>
                </anchor>
              </controlPr>
            </control>
          </mc:Choice>
        </mc:AlternateContent>
        <mc:AlternateContent xmlns:mc="http://schemas.openxmlformats.org/markup-compatibility/2006">
          <mc:Choice Requires="x14">
            <control shapeId="19548" r:id="rId95" name="Check Box 92">
              <controlPr locked="0" defaultSize="0" autoFill="0" autoLine="0" autoPict="0">
                <anchor moveWithCells="1">
                  <from>
                    <xdr:col>6</xdr:col>
                    <xdr:colOff>247650</xdr:colOff>
                    <xdr:row>80</xdr:row>
                    <xdr:rowOff>180975</xdr:rowOff>
                  </from>
                  <to>
                    <xdr:col>8</xdr:col>
                    <xdr:colOff>47625</xdr:colOff>
                    <xdr:row>82</xdr:row>
                    <xdr:rowOff>9525</xdr:rowOff>
                  </to>
                </anchor>
              </controlPr>
            </control>
          </mc:Choice>
        </mc:AlternateContent>
        <mc:AlternateContent xmlns:mc="http://schemas.openxmlformats.org/markup-compatibility/2006">
          <mc:Choice Requires="x14">
            <control shapeId="19549" r:id="rId96" name="Check Box 93">
              <controlPr locked="0" defaultSize="0" autoFill="0" autoLine="0" autoPict="0">
                <anchor moveWithCells="1">
                  <from>
                    <xdr:col>13</xdr:col>
                    <xdr:colOff>57150</xdr:colOff>
                    <xdr:row>80</xdr:row>
                    <xdr:rowOff>180975</xdr:rowOff>
                  </from>
                  <to>
                    <xdr:col>14</xdr:col>
                    <xdr:colOff>38100</xdr:colOff>
                    <xdr:row>82</xdr:row>
                    <xdr:rowOff>9525</xdr:rowOff>
                  </to>
                </anchor>
              </controlPr>
            </control>
          </mc:Choice>
        </mc:AlternateContent>
        <mc:AlternateContent xmlns:mc="http://schemas.openxmlformats.org/markup-compatibility/2006">
          <mc:Choice Requires="x14">
            <control shapeId="19550" r:id="rId97" name="Check Box 94">
              <controlPr locked="0" defaultSize="0" autoFill="0" autoLine="0" autoPict="0">
                <anchor moveWithCells="1">
                  <from>
                    <xdr:col>3</xdr:col>
                    <xdr:colOff>419100</xdr:colOff>
                    <xdr:row>83</xdr:row>
                    <xdr:rowOff>180975</xdr:rowOff>
                  </from>
                  <to>
                    <xdr:col>4</xdr:col>
                    <xdr:colOff>123825</xdr:colOff>
                    <xdr:row>85</xdr:row>
                    <xdr:rowOff>9525</xdr:rowOff>
                  </to>
                </anchor>
              </controlPr>
            </control>
          </mc:Choice>
        </mc:AlternateContent>
        <mc:AlternateContent xmlns:mc="http://schemas.openxmlformats.org/markup-compatibility/2006">
          <mc:Choice Requires="x14">
            <control shapeId="19551" r:id="rId98" name="Check Box 95">
              <controlPr locked="0" defaultSize="0" autoFill="0" autoLine="0" autoPict="0">
                <anchor moveWithCells="1">
                  <from>
                    <xdr:col>7</xdr:col>
                    <xdr:colOff>152400</xdr:colOff>
                    <xdr:row>83</xdr:row>
                    <xdr:rowOff>180975</xdr:rowOff>
                  </from>
                  <to>
                    <xdr:col>9</xdr:col>
                    <xdr:colOff>19050</xdr:colOff>
                    <xdr:row>85</xdr:row>
                    <xdr:rowOff>9525</xdr:rowOff>
                  </to>
                </anchor>
              </controlPr>
            </control>
          </mc:Choice>
        </mc:AlternateContent>
        <mc:AlternateContent xmlns:mc="http://schemas.openxmlformats.org/markup-compatibility/2006">
          <mc:Choice Requires="x14">
            <control shapeId="19552" r:id="rId99" name="Check Box 96">
              <controlPr locked="0" defaultSize="0" autoFill="0" autoLine="0" autoPict="0">
                <anchor moveWithCells="1">
                  <from>
                    <xdr:col>13</xdr:col>
                    <xdr:colOff>19050</xdr:colOff>
                    <xdr:row>83</xdr:row>
                    <xdr:rowOff>180975</xdr:rowOff>
                  </from>
                  <to>
                    <xdr:col>14</xdr:col>
                    <xdr:colOff>0</xdr:colOff>
                    <xdr:row>85</xdr:row>
                    <xdr:rowOff>9525</xdr:rowOff>
                  </to>
                </anchor>
              </controlPr>
            </control>
          </mc:Choice>
        </mc:AlternateContent>
        <mc:AlternateContent xmlns:mc="http://schemas.openxmlformats.org/markup-compatibility/2006">
          <mc:Choice Requires="x14">
            <control shapeId="19553" r:id="rId100" name="Check Box 97">
              <controlPr locked="0" defaultSize="0" autoFill="0" autoLine="0" autoPict="0">
                <anchor moveWithCells="1">
                  <from>
                    <xdr:col>6</xdr:col>
                    <xdr:colOff>238125</xdr:colOff>
                    <xdr:row>86</xdr:row>
                    <xdr:rowOff>180975</xdr:rowOff>
                  </from>
                  <to>
                    <xdr:col>8</xdr:col>
                    <xdr:colOff>38100</xdr:colOff>
                    <xdr:row>88</xdr:row>
                    <xdr:rowOff>9525</xdr:rowOff>
                  </to>
                </anchor>
              </controlPr>
            </control>
          </mc:Choice>
        </mc:AlternateContent>
        <mc:AlternateContent xmlns:mc="http://schemas.openxmlformats.org/markup-compatibility/2006">
          <mc:Choice Requires="x14">
            <control shapeId="19554" r:id="rId101" name="Check Box 98">
              <controlPr locked="0" defaultSize="0" autoFill="0" autoLine="0" autoPict="0">
                <anchor moveWithCells="1">
                  <from>
                    <xdr:col>10</xdr:col>
                    <xdr:colOff>161925</xdr:colOff>
                    <xdr:row>86</xdr:row>
                    <xdr:rowOff>180975</xdr:rowOff>
                  </from>
                  <to>
                    <xdr:col>12</xdr:col>
                    <xdr:colOff>0</xdr:colOff>
                    <xdr:row>88</xdr:row>
                    <xdr:rowOff>9525</xdr:rowOff>
                  </to>
                </anchor>
              </controlPr>
            </control>
          </mc:Choice>
        </mc:AlternateContent>
        <mc:AlternateContent xmlns:mc="http://schemas.openxmlformats.org/markup-compatibility/2006">
          <mc:Choice Requires="x14">
            <control shapeId="19555" r:id="rId102" name="Check Box 99">
              <controlPr locked="0" defaultSize="0" autoFill="0" autoLine="0" autoPict="0">
                <anchor moveWithCells="1">
                  <from>
                    <xdr:col>14</xdr:col>
                    <xdr:colOff>180975</xdr:colOff>
                    <xdr:row>86</xdr:row>
                    <xdr:rowOff>180975</xdr:rowOff>
                  </from>
                  <to>
                    <xdr:col>15</xdr:col>
                    <xdr:colOff>161925</xdr:colOff>
                    <xdr:row>88</xdr:row>
                    <xdr:rowOff>9525</xdr:rowOff>
                  </to>
                </anchor>
              </controlPr>
            </control>
          </mc:Choice>
        </mc:AlternateContent>
        <mc:AlternateContent xmlns:mc="http://schemas.openxmlformats.org/markup-compatibility/2006">
          <mc:Choice Requires="x14">
            <control shapeId="19556" r:id="rId103" name="Check Box 100">
              <controlPr locked="0" defaultSize="0" autoFill="0" autoLine="0" autoPict="0">
                <anchor moveWithCells="1">
                  <from>
                    <xdr:col>6</xdr:col>
                    <xdr:colOff>228600</xdr:colOff>
                    <xdr:row>92</xdr:row>
                    <xdr:rowOff>257175</xdr:rowOff>
                  </from>
                  <to>
                    <xdr:col>8</xdr:col>
                    <xdr:colOff>28575</xdr:colOff>
                    <xdr:row>94</xdr:row>
                    <xdr:rowOff>19050</xdr:rowOff>
                  </to>
                </anchor>
              </controlPr>
            </control>
          </mc:Choice>
        </mc:AlternateContent>
        <mc:AlternateContent xmlns:mc="http://schemas.openxmlformats.org/markup-compatibility/2006">
          <mc:Choice Requires="x14">
            <control shapeId="19557" r:id="rId104" name="Check Box 101">
              <controlPr locked="0" defaultSize="0" autoFill="0" autoLine="0" autoPict="0">
                <anchor moveWithCells="1">
                  <from>
                    <xdr:col>11</xdr:col>
                    <xdr:colOff>352425</xdr:colOff>
                    <xdr:row>92</xdr:row>
                    <xdr:rowOff>257175</xdr:rowOff>
                  </from>
                  <to>
                    <xdr:col>13</xdr:col>
                    <xdr:colOff>57150</xdr:colOff>
                    <xdr:row>94</xdr:row>
                    <xdr:rowOff>19050</xdr:rowOff>
                  </to>
                </anchor>
              </controlPr>
            </control>
          </mc:Choice>
        </mc:AlternateContent>
        <mc:AlternateContent xmlns:mc="http://schemas.openxmlformats.org/markup-compatibility/2006">
          <mc:Choice Requires="x14">
            <control shapeId="19558" r:id="rId105" name="Check Box 102">
              <controlPr locked="0" defaultSize="0" autoFill="0" autoLine="0" autoPict="0">
                <anchor moveWithCells="1">
                  <from>
                    <xdr:col>18</xdr:col>
                    <xdr:colOff>19050</xdr:colOff>
                    <xdr:row>92</xdr:row>
                    <xdr:rowOff>257175</xdr:rowOff>
                  </from>
                  <to>
                    <xdr:col>19</xdr:col>
                    <xdr:colOff>76200</xdr:colOff>
                    <xdr:row>94</xdr:row>
                    <xdr:rowOff>19050</xdr:rowOff>
                  </to>
                </anchor>
              </controlPr>
            </control>
          </mc:Choice>
        </mc:AlternateContent>
        <mc:AlternateContent xmlns:mc="http://schemas.openxmlformats.org/markup-compatibility/2006">
          <mc:Choice Requires="x14">
            <control shapeId="19559" r:id="rId106" name="Check Box 103">
              <controlPr locked="0" defaultSize="0" autoFill="0" autoLine="0" autoPict="0">
                <anchor moveWithCells="1">
                  <from>
                    <xdr:col>6</xdr:col>
                    <xdr:colOff>66675</xdr:colOff>
                    <xdr:row>95</xdr:row>
                    <xdr:rowOff>180975</xdr:rowOff>
                  </from>
                  <to>
                    <xdr:col>7</xdr:col>
                    <xdr:colOff>28575</xdr:colOff>
                    <xdr:row>97</xdr:row>
                    <xdr:rowOff>9525</xdr:rowOff>
                  </to>
                </anchor>
              </controlPr>
            </control>
          </mc:Choice>
        </mc:AlternateContent>
        <mc:AlternateContent xmlns:mc="http://schemas.openxmlformats.org/markup-compatibility/2006">
          <mc:Choice Requires="x14">
            <control shapeId="19560" r:id="rId107" name="Check Box 104">
              <controlPr locked="0" defaultSize="0" autoFill="0" autoLine="0" autoPict="0">
                <anchor moveWithCells="1">
                  <from>
                    <xdr:col>11</xdr:col>
                    <xdr:colOff>352425</xdr:colOff>
                    <xdr:row>95</xdr:row>
                    <xdr:rowOff>180975</xdr:rowOff>
                  </from>
                  <to>
                    <xdr:col>13</xdr:col>
                    <xdr:colOff>57150</xdr:colOff>
                    <xdr:row>97</xdr:row>
                    <xdr:rowOff>9525</xdr:rowOff>
                  </to>
                </anchor>
              </controlPr>
            </control>
          </mc:Choice>
        </mc:AlternateContent>
        <mc:AlternateContent xmlns:mc="http://schemas.openxmlformats.org/markup-compatibility/2006">
          <mc:Choice Requires="x14">
            <control shapeId="19561" r:id="rId108" name="Check Box 105">
              <controlPr locked="0" defaultSize="0" autoFill="0" autoLine="0" autoPict="0">
                <anchor moveWithCells="1">
                  <from>
                    <xdr:col>17</xdr:col>
                    <xdr:colOff>47625</xdr:colOff>
                    <xdr:row>95</xdr:row>
                    <xdr:rowOff>180975</xdr:rowOff>
                  </from>
                  <to>
                    <xdr:col>18</xdr:col>
                    <xdr:colOff>28575</xdr:colOff>
                    <xdr:row>97</xdr:row>
                    <xdr:rowOff>9525</xdr:rowOff>
                  </to>
                </anchor>
              </controlPr>
            </control>
          </mc:Choice>
        </mc:AlternateContent>
        <mc:AlternateContent xmlns:mc="http://schemas.openxmlformats.org/markup-compatibility/2006">
          <mc:Choice Requires="x14">
            <control shapeId="19562" r:id="rId109" name="Check Box 106">
              <controlPr locked="0" defaultSize="0" autoFill="0" autoLine="0" autoPict="0">
                <anchor moveWithCells="1">
                  <from>
                    <xdr:col>4</xdr:col>
                    <xdr:colOff>85725</xdr:colOff>
                    <xdr:row>98</xdr:row>
                    <xdr:rowOff>180975</xdr:rowOff>
                  </from>
                  <to>
                    <xdr:col>5</xdr:col>
                    <xdr:colOff>47625</xdr:colOff>
                    <xdr:row>100</xdr:row>
                    <xdr:rowOff>9525</xdr:rowOff>
                  </to>
                </anchor>
              </controlPr>
            </control>
          </mc:Choice>
        </mc:AlternateContent>
        <mc:AlternateContent xmlns:mc="http://schemas.openxmlformats.org/markup-compatibility/2006">
          <mc:Choice Requires="x14">
            <control shapeId="19563" r:id="rId110" name="Check Box 107">
              <controlPr locked="0" defaultSize="0" autoFill="0" autoLine="0" autoPict="0">
                <anchor moveWithCells="1">
                  <from>
                    <xdr:col>6</xdr:col>
                    <xdr:colOff>247650</xdr:colOff>
                    <xdr:row>98</xdr:row>
                    <xdr:rowOff>180975</xdr:rowOff>
                  </from>
                  <to>
                    <xdr:col>8</xdr:col>
                    <xdr:colOff>47625</xdr:colOff>
                    <xdr:row>100</xdr:row>
                    <xdr:rowOff>9525</xdr:rowOff>
                  </to>
                </anchor>
              </controlPr>
            </control>
          </mc:Choice>
        </mc:AlternateContent>
        <mc:AlternateContent xmlns:mc="http://schemas.openxmlformats.org/markup-compatibility/2006">
          <mc:Choice Requires="x14">
            <control shapeId="19564" r:id="rId111" name="Check Box 108">
              <controlPr locked="0" defaultSize="0" autoFill="0" autoLine="0" autoPict="0">
                <anchor moveWithCells="1">
                  <from>
                    <xdr:col>13</xdr:col>
                    <xdr:colOff>57150</xdr:colOff>
                    <xdr:row>98</xdr:row>
                    <xdr:rowOff>180975</xdr:rowOff>
                  </from>
                  <to>
                    <xdr:col>14</xdr:col>
                    <xdr:colOff>38100</xdr:colOff>
                    <xdr:row>100</xdr:row>
                    <xdr:rowOff>9525</xdr:rowOff>
                  </to>
                </anchor>
              </controlPr>
            </control>
          </mc:Choice>
        </mc:AlternateContent>
        <mc:AlternateContent xmlns:mc="http://schemas.openxmlformats.org/markup-compatibility/2006">
          <mc:Choice Requires="x14">
            <control shapeId="19565" r:id="rId112" name="Check Box 109">
              <controlPr locked="0" defaultSize="0" autoFill="0" autoLine="0" autoPict="0">
                <anchor moveWithCells="1">
                  <from>
                    <xdr:col>3</xdr:col>
                    <xdr:colOff>419100</xdr:colOff>
                    <xdr:row>101</xdr:row>
                    <xdr:rowOff>180975</xdr:rowOff>
                  </from>
                  <to>
                    <xdr:col>4</xdr:col>
                    <xdr:colOff>123825</xdr:colOff>
                    <xdr:row>103</xdr:row>
                    <xdr:rowOff>9525</xdr:rowOff>
                  </to>
                </anchor>
              </controlPr>
            </control>
          </mc:Choice>
        </mc:AlternateContent>
        <mc:AlternateContent xmlns:mc="http://schemas.openxmlformats.org/markup-compatibility/2006">
          <mc:Choice Requires="x14">
            <control shapeId="19566" r:id="rId113" name="Check Box 110">
              <controlPr locked="0" defaultSize="0" autoFill="0" autoLine="0" autoPict="0">
                <anchor moveWithCells="1">
                  <from>
                    <xdr:col>7</xdr:col>
                    <xdr:colOff>152400</xdr:colOff>
                    <xdr:row>101</xdr:row>
                    <xdr:rowOff>180975</xdr:rowOff>
                  </from>
                  <to>
                    <xdr:col>9</xdr:col>
                    <xdr:colOff>19050</xdr:colOff>
                    <xdr:row>103</xdr:row>
                    <xdr:rowOff>9525</xdr:rowOff>
                  </to>
                </anchor>
              </controlPr>
            </control>
          </mc:Choice>
        </mc:AlternateContent>
        <mc:AlternateContent xmlns:mc="http://schemas.openxmlformats.org/markup-compatibility/2006">
          <mc:Choice Requires="x14">
            <control shapeId="19567" r:id="rId114" name="Check Box 111">
              <controlPr locked="0" defaultSize="0" autoFill="0" autoLine="0" autoPict="0">
                <anchor moveWithCells="1">
                  <from>
                    <xdr:col>13</xdr:col>
                    <xdr:colOff>19050</xdr:colOff>
                    <xdr:row>101</xdr:row>
                    <xdr:rowOff>180975</xdr:rowOff>
                  </from>
                  <to>
                    <xdr:col>14</xdr:col>
                    <xdr:colOff>0</xdr:colOff>
                    <xdr:row>103</xdr:row>
                    <xdr:rowOff>9525</xdr:rowOff>
                  </to>
                </anchor>
              </controlPr>
            </control>
          </mc:Choice>
        </mc:AlternateContent>
        <mc:AlternateContent xmlns:mc="http://schemas.openxmlformats.org/markup-compatibility/2006">
          <mc:Choice Requires="x14">
            <control shapeId="19568" r:id="rId115" name="Check Box 112">
              <controlPr locked="0" defaultSize="0" autoFill="0" autoLine="0" autoPict="0">
                <anchor moveWithCells="1">
                  <from>
                    <xdr:col>6</xdr:col>
                    <xdr:colOff>238125</xdr:colOff>
                    <xdr:row>104</xdr:row>
                    <xdr:rowOff>180975</xdr:rowOff>
                  </from>
                  <to>
                    <xdr:col>8</xdr:col>
                    <xdr:colOff>38100</xdr:colOff>
                    <xdr:row>106</xdr:row>
                    <xdr:rowOff>9525</xdr:rowOff>
                  </to>
                </anchor>
              </controlPr>
            </control>
          </mc:Choice>
        </mc:AlternateContent>
        <mc:AlternateContent xmlns:mc="http://schemas.openxmlformats.org/markup-compatibility/2006">
          <mc:Choice Requires="x14">
            <control shapeId="19569" r:id="rId116" name="Check Box 113">
              <controlPr locked="0" defaultSize="0" autoFill="0" autoLine="0" autoPict="0">
                <anchor moveWithCells="1">
                  <from>
                    <xdr:col>10</xdr:col>
                    <xdr:colOff>161925</xdr:colOff>
                    <xdr:row>104</xdr:row>
                    <xdr:rowOff>180975</xdr:rowOff>
                  </from>
                  <to>
                    <xdr:col>12</xdr:col>
                    <xdr:colOff>0</xdr:colOff>
                    <xdr:row>106</xdr:row>
                    <xdr:rowOff>9525</xdr:rowOff>
                  </to>
                </anchor>
              </controlPr>
            </control>
          </mc:Choice>
        </mc:AlternateContent>
        <mc:AlternateContent xmlns:mc="http://schemas.openxmlformats.org/markup-compatibility/2006">
          <mc:Choice Requires="x14">
            <control shapeId="19570" r:id="rId117" name="Check Box 114">
              <controlPr locked="0" defaultSize="0" autoFill="0" autoLine="0" autoPict="0">
                <anchor moveWithCells="1">
                  <from>
                    <xdr:col>14</xdr:col>
                    <xdr:colOff>180975</xdr:colOff>
                    <xdr:row>104</xdr:row>
                    <xdr:rowOff>180975</xdr:rowOff>
                  </from>
                  <to>
                    <xdr:col>15</xdr:col>
                    <xdr:colOff>161925</xdr:colOff>
                    <xdr:row>106</xdr:row>
                    <xdr:rowOff>9525</xdr:rowOff>
                  </to>
                </anchor>
              </controlPr>
            </control>
          </mc:Choice>
        </mc:AlternateContent>
        <mc:AlternateContent xmlns:mc="http://schemas.openxmlformats.org/markup-compatibility/2006">
          <mc:Choice Requires="x14">
            <control shapeId="19571" r:id="rId118" name="Check Box 115">
              <controlPr locked="0" defaultSize="0" autoFill="0" autoLine="0" autoPict="0">
                <anchor moveWithCells="1">
                  <from>
                    <xdr:col>6</xdr:col>
                    <xdr:colOff>228600</xdr:colOff>
                    <xdr:row>2</xdr:row>
                    <xdr:rowOff>257175</xdr:rowOff>
                  </from>
                  <to>
                    <xdr:col>8</xdr:col>
                    <xdr:colOff>28575</xdr:colOff>
                    <xdr:row>4</xdr:row>
                    <xdr:rowOff>19050</xdr:rowOff>
                  </to>
                </anchor>
              </controlPr>
            </control>
          </mc:Choice>
        </mc:AlternateContent>
        <mc:AlternateContent xmlns:mc="http://schemas.openxmlformats.org/markup-compatibility/2006">
          <mc:Choice Requires="x14">
            <control shapeId="19572" r:id="rId119" name="Check Box 116">
              <controlPr locked="0" defaultSize="0" autoFill="0" autoLine="0" autoPict="0">
                <anchor moveWithCells="1">
                  <from>
                    <xdr:col>11</xdr:col>
                    <xdr:colOff>352425</xdr:colOff>
                    <xdr:row>2</xdr:row>
                    <xdr:rowOff>257175</xdr:rowOff>
                  </from>
                  <to>
                    <xdr:col>13</xdr:col>
                    <xdr:colOff>57150</xdr:colOff>
                    <xdr:row>4</xdr:row>
                    <xdr:rowOff>19050</xdr:rowOff>
                  </to>
                </anchor>
              </controlPr>
            </control>
          </mc:Choice>
        </mc:AlternateContent>
        <mc:AlternateContent xmlns:mc="http://schemas.openxmlformats.org/markup-compatibility/2006">
          <mc:Choice Requires="x14">
            <control shapeId="19573" r:id="rId120" name="Check Box 117">
              <controlPr locked="0" defaultSize="0" autoFill="0" autoLine="0" autoPict="0">
                <anchor moveWithCells="1">
                  <from>
                    <xdr:col>18</xdr:col>
                    <xdr:colOff>19050</xdr:colOff>
                    <xdr:row>2</xdr:row>
                    <xdr:rowOff>257175</xdr:rowOff>
                  </from>
                  <to>
                    <xdr:col>19</xdr:col>
                    <xdr:colOff>76200</xdr:colOff>
                    <xdr:row>4</xdr:row>
                    <xdr:rowOff>19050</xdr:rowOff>
                  </to>
                </anchor>
              </controlPr>
            </control>
          </mc:Choice>
        </mc:AlternateContent>
        <mc:AlternateContent xmlns:mc="http://schemas.openxmlformats.org/markup-compatibility/2006">
          <mc:Choice Requires="x14">
            <control shapeId="19574" r:id="rId121" name="Check Box 118">
              <controlPr locked="0" defaultSize="0" autoFill="0" autoLine="0" autoPict="0">
                <anchor moveWithCells="1">
                  <from>
                    <xdr:col>6</xdr:col>
                    <xdr:colOff>66675</xdr:colOff>
                    <xdr:row>5</xdr:row>
                    <xdr:rowOff>180975</xdr:rowOff>
                  </from>
                  <to>
                    <xdr:col>7</xdr:col>
                    <xdr:colOff>28575</xdr:colOff>
                    <xdr:row>7</xdr:row>
                    <xdr:rowOff>9525</xdr:rowOff>
                  </to>
                </anchor>
              </controlPr>
            </control>
          </mc:Choice>
        </mc:AlternateContent>
        <mc:AlternateContent xmlns:mc="http://schemas.openxmlformats.org/markup-compatibility/2006">
          <mc:Choice Requires="x14">
            <control shapeId="19575" r:id="rId122" name="Check Box 119">
              <controlPr locked="0" defaultSize="0" autoFill="0" autoLine="0" autoPict="0">
                <anchor moveWithCells="1">
                  <from>
                    <xdr:col>11</xdr:col>
                    <xdr:colOff>352425</xdr:colOff>
                    <xdr:row>5</xdr:row>
                    <xdr:rowOff>180975</xdr:rowOff>
                  </from>
                  <to>
                    <xdr:col>13</xdr:col>
                    <xdr:colOff>57150</xdr:colOff>
                    <xdr:row>7</xdr:row>
                    <xdr:rowOff>9525</xdr:rowOff>
                  </to>
                </anchor>
              </controlPr>
            </control>
          </mc:Choice>
        </mc:AlternateContent>
        <mc:AlternateContent xmlns:mc="http://schemas.openxmlformats.org/markup-compatibility/2006">
          <mc:Choice Requires="x14">
            <control shapeId="19576" r:id="rId123" name="Check Box 120">
              <controlPr locked="0" defaultSize="0" autoFill="0" autoLine="0" autoPict="0">
                <anchor moveWithCells="1">
                  <from>
                    <xdr:col>17</xdr:col>
                    <xdr:colOff>47625</xdr:colOff>
                    <xdr:row>5</xdr:row>
                    <xdr:rowOff>180975</xdr:rowOff>
                  </from>
                  <to>
                    <xdr:col>18</xdr:col>
                    <xdr:colOff>28575</xdr:colOff>
                    <xdr:row>7</xdr:row>
                    <xdr:rowOff>9525</xdr:rowOff>
                  </to>
                </anchor>
              </controlPr>
            </control>
          </mc:Choice>
        </mc:AlternateContent>
        <mc:AlternateContent xmlns:mc="http://schemas.openxmlformats.org/markup-compatibility/2006">
          <mc:Choice Requires="x14">
            <control shapeId="19577" r:id="rId124" name="Check Box 121">
              <controlPr locked="0" defaultSize="0" autoFill="0" autoLine="0" autoPict="0">
                <anchor moveWithCells="1">
                  <from>
                    <xdr:col>4</xdr:col>
                    <xdr:colOff>85725</xdr:colOff>
                    <xdr:row>8</xdr:row>
                    <xdr:rowOff>180975</xdr:rowOff>
                  </from>
                  <to>
                    <xdr:col>5</xdr:col>
                    <xdr:colOff>47625</xdr:colOff>
                    <xdr:row>10</xdr:row>
                    <xdr:rowOff>9525</xdr:rowOff>
                  </to>
                </anchor>
              </controlPr>
            </control>
          </mc:Choice>
        </mc:AlternateContent>
        <mc:AlternateContent xmlns:mc="http://schemas.openxmlformats.org/markup-compatibility/2006">
          <mc:Choice Requires="x14">
            <control shapeId="19578" r:id="rId125" name="Check Box 122">
              <controlPr locked="0" defaultSize="0" autoFill="0" autoLine="0" autoPict="0">
                <anchor moveWithCells="1">
                  <from>
                    <xdr:col>6</xdr:col>
                    <xdr:colOff>247650</xdr:colOff>
                    <xdr:row>8</xdr:row>
                    <xdr:rowOff>180975</xdr:rowOff>
                  </from>
                  <to>
                    <xdr:col>8</xdr:col>
                    <xdr:colOff>47625</xdr:colOff>
                    <xdr:row>10</xdr:row>
                    <xdr:rowOff>9525</xdr:rowOff>
                  </to>
                </anchor>
              </controlPr>
            </control>
          </mc:Choice>
        </mc:AlternateContent>
        <mc:AlternateContent xmlns:mc="http://schemas.openxmlformats.org/markup-compatibility/2006">
          <mc:Choice Requires="x14">
            <control shapeId="19579" r:id="rId126" name="Check Box 123">
              <controlPr locked="0" defaultSize="0" autoFill="0" autoLine="0" autoPict="0">
                <anchor moveWithCells="1">
                  <from>
                    <xdr:col>13</xdr:col>
                    <xdr:colOff>57150</xdr:colOff>
                    <xdr:row>8</xdr:row>
                    <xdr:rowOff>180975</xdr:rowOff>
                  </from>
                  <to>
                    <xdr:col>14</xdr:col>
                    <xdr:colOff>38100</xdr:colOff>
                    <xdr:row>10</xdr:row>
                    <xdr:rowOff>9525</xdr:rowOff>
                  </to>
                </anchor>
              </controlPr>
            </control>
          </mc:Choice>
        </mc:AlternateContent>
        <mc:AlternateContent xmlns:mc="http://schemas.openxmlformats.org/markup-compatibility/2006">
          <mc:Choice Requires="x14">
            <control shapeId="19580" r:id="rId127" name="Check Box 124">
              <controlPr locked="0" defaultSize="0" autoFill="0" autoLine="0" autoPict="0">
                <anchor moveWithCells="1">
                  <from>
                    <xdr:col>3</xdr:col>
                    <xdr:colOff>419100</xdr:colOff>
                    <xdr:row>11</xdr:row>
                    <xdr:rowOff>180975</xdr:rowOff>
                  </from>
                  <to>
                    <xdr:col>4</xdr:col>
                    <xdr:colOff>123825</xdr:colOff>
                    <xdr:row>13</xdr:row>
                    <xdr:rowOff>9525</xdr:rowOff>
                  </to>
                </anchor>
              </controlPr>
            </control>
          </mc:Choice>
        </mc:AlternateContent>
        <mc:AlternateContent xmlns:mc="http://schemas.openxmlformats.org/markup-compatibility/2006">
          <mc:Choice Requires="x14">
            <control shapeId="19581" r:id="rId128" name="Check Box 125">
              <controlPr locked="0" defaultSize="0" autoFill="0" autoLine="0" autoPict="0">
                <anchor moveWithCells="1">
                  <from>
                    <xdr:col>7</xdr:col>
                    <xdr:colOff>152400</xdr:colOff>
                    <xdr:row>11</xdr:row>
                    <xdr:rowOff>180975</xdr:rowOff>
                  </from>
                  <to>
                    <xdr:col>9</xdr:col>
                    <xdr:colOff>19050</xdr:colOff>
                    <xdr:row>13</xdr:row>
                    <xdr:rowOff>9525</xdr:rowOff>
                  </to>
                </anchor>
              </controlPr>
            </control>
          </mc:Choice>
        </mc:AlternateContent>
        <mc:AlternateContent xmlns:mc="http://schemas.openxmlformats.org/markup-compatibility/2006">
          <mc:Choice Requires="x14">
            <control shapeId="19582" r:id="rId129" name="Check Box 126">
              <controlPr locked="0" defaultSize="0" autoFill="0" autoLine="0" autoPict="0">
                <anchor moveWithCells="1">
                  <from>
                    <xdr:col>13</xdr:col>
                    <xdr:colOff>19050</xdr:colOff>
                    <xdr:row>11</xdr:row>
                    <xdr:rowOff>180975</xdr:rowOff>
                  </from>
                  <to>
                    <xdr:col>14</xdr:col>
                    <xdr:colOff>0</xdr:colOff>
                    <xdr:row>13</xdr:row>
                    <xdr:rowOff>9525</xdr:rowOff>
                  </to>
                </anchor>
              </controlPr>
            </control>
          </mc:Choice>
        </mc:AlternateContent>
        <mc:AlternateContent xmlns:mc="http://schemas.openxmlformats.org/markup-compatibility/2006">
          <mc:Choice Requires="x14">
            <control shapeId="19583" r:id="rId130" name="Check Box 127">
              <controlPr locked="0" defaultSize="0" autoFill="0" autoLine="0" autoPict="0">
                <anchor moveWithCells="1">
                  <from>
                    <xdr:col>6</xdr:col>
                    <xdr:colOff>238125</xdr:colOff>
                    <xdr:row>14</xdr:row>
                    <xdr:rowOff>180975</xdr:rowOff>
                  </from>
                  <to>
                    <xdr:col>8</xdr:col>
                    <xdr:colOff>38100</xdr:colOff>
                    <xdr:row>16</xdr:row>
                    <xdr:rowOff>9525</xdr:rowOff>
                  </to>
                </anchor>
              </controlPr>
            </control>
          </mc:Choice>
        </mc:AlternateContent>
        <mc:AlternateContent xmlns:mc="http://schemas.openxmlformats.org/markup-compatibility/2006">
          <mc:Choice Requires="x14">
            <control shapeId="19584" r:id="rId131" name="Check Box 128">
              <controlPr locked="0" defaultSize="0" autoFill="0" autoLine="0" autoPict="0">
                <anchor moveWithCells="1">
                  <from>
                    <xdr:col>10</xdr:col>
                    <xdr:colOff>161925</xdr:colOff>
                    <xdr:row>14</xdr:row>
                    <xdr:rowOff>180975</xdr:rowOff>
                  </from>
                  <to>
                    <xdr:col>12</xdr:col>
                    <xdr:colOff>0</xdr:colOff>
                    <xdr:row>16</xdr:row>
                    <xdr:rowOff>9525</xdr:rowOff>
                  </to>
                </anchor>
              </controlPr>
            </control>
          </mc:Choice>
        </mc:AlternateContent>
        <mc:AlternateContent xmlns:mc="http://schemas.openxmlformats.org/markup-compatibility/2006">
          <mc:Choice Requires="x14">
            <control shapeId="19585" r:id="rId132" name="Check Box 129">
              <controlPr locked="0" defaultSize="0" autoFill="0" autoLine="0" autoPict="0">
                <anchor moveWithCells="1">
                  <from>
                    <xdr:col>14</xdr:col>
                    <xdr:colOff>180975</xdr:colOff>
                    <xdr:row>14</xdr:row>
                    <xdr:rowOff>180975</xdr:rowOff>
                  </from>
                  <to>
                    <xdr:col>15</xdr:col>
                    <xdr:colOff>161925</xdr:colOff>
                    <xdr:row>16</xdr:row>
                    <xdr:rowOff>9525</xdr:rowOff>
                  </to>
                </anchor>
              </controlPr>
            </control>
          </mc:Choice>
        </mc:AlternateContent>
        <mc:AlternateContent xmlns:mc="http://schemas.openxmlformats.org/markup-compatibility/2006">
          <mc:Choice Requires="x14">
            <control shapeId="19586" r:id="rId133" name="Check Box 130">
              <controlPr locked="0" defaultSize="0" autoFill="0" autoLine="0" autoPict="0">
                <anchor moveWithCells="1">
                  <from>
                    <xdr:col>22</xdr:col>
                    <xdr:colOff>104775</xdr:colOff>
                    <xdr:row>9</xdr:row>
                    <xdr:rowOff>180975</xdr:rowOff>
                  </from>
                  <to>
                    <xdr:col>22</xdr:col>
                    <xdr:colOff>323850</xdr:colOff>
                    <xdr:row>11</xdr:row>
                    <xdr:rowOff>9525</xdr:rowOff>
                  </to>
                </anchor>
              </controlPr>
            </control>
          </mc:Choice>
        </mc:AlternateContent>
        <mc:AlternateContent xmlns:mc="http://schemas.openxmlformats.org/markup-compatibility/2006">
          <mc:Choice Requires="x14">
            <control shapeId="19587" r:id="rId134" name="Check Box 131">
              <controlPr locked="0" defaultSize="0" autoFill="0" autoLine="0" autoPict="0">
                <anchor moveWithCells="1">
                  <from>
                    <xdr:col>22</xdr:col>
                    <xdr:colOff>104775</xdr:colOff>
                    <xdr:row>10</xdr:row>
                    <xdr:rowOff>180975</xdr:rowOff>
                  </from>
                  <to>
                    <xdr:col>22</xdr:col>
                    <xdr:colOff>323850</xdr:colOff>
                    <xdr:row>12</xdr:row>
                    <xdr:rowOff>9525</xdr:rowOff>
                  </to>
                </anchor>
              </controlPr>
            </control>
          </mc:Choice>
        </mc:AlternateContent>
        <mc:AlternateContent xmlns:mc="http://schemas.openxmlformats.org/markup-compatibility/2006">
          <mc:Choice Requires="x14">
            <control shapeId="19588" r:id="rId135" name="Check Box 132">
              <controlPr locked="0" defaultSize="0" autoFill="0" autoLine="0" autoPict="0">
                <anchor moveWithCells="1">
                  <from>
                    <xdr:col>9</xdr:col>
                    <xdr:colOff>76200</xdr:colOff>
                    <xdr:row>2</xdr:row>
                    <xdr:rowOff>28575</xdr:rowOff>
                  </from>
                  <to>
                    <xdr:col>10</xdr:col>
                    <xdr:colOff>104775</xdr:colOff>
                    <xdr:row>3</xdr:row>
                    <xdr:rowOff>9525</xdr:rowOff>
                  </to>
                </anchor>
              </controlPr>
            </control>
          </mc:Choice>
        </mc:AlternateContent>
        <mc:AlternateContent xmlns:mc="http://schemas.openxmlformats.org/markup-compatibility/2006">
          <mc:Choice Requires="x14">
            <control shapeId="19589" r:id="rId136" name="Check Box 133">
              <controlPr locked="0" defaultSize="0" autoFill="0" autoLine="0" autoPict="0">
                <anchor moveWithCells="1">
                  <from>
                    <xdr:col>14</xdr:col>
                    <xdr:colOff>9525</xdr:colOff>
                    <xdr:row>2</xdr:row>
                    <xdr:rowOff>28575</xdr:rowOff>
                  </from>
                  <to>
                    <xdr:col>14</xdr:col>
                    <xdr:colOff>228600</xdr:colOff>
                    <xdr:row>3</xdr:row>
                    <xdr:rowOff>9525</xdr:rowOff>
                  </to>
                </anchor>
              </controlPr>
            </control>
          </mc:Choice>
        </mc:AlternateContent>
        <mc:AlternateContent xmlns:mc="http://schemas.openxmlformats.org/markup-compatibility/2006">
          <mc:Choice Requires="x14">
            <control shapeId="19590" r:id="rId137" name="Check Box 134">
              <controlPr locked="0" defaultSize="0" autoFill="0" autoLine="0" autoPict="0">
                <anchor moveWithCells="1">
                  <from>
                    <xdr:col>9</xdr:col>
                    <xdr:colOff>76200</xdr:colOff>
                    <xdr:row>20</xdr:row>
                    <xdr:rowOff>28575</xdr:rowOff>
                  </from>
                  <to>
                    <xdr:col>10</xdr:col>
                    <xdr:colOff>104775</xdr:colOff>
                    <xdr:row>21</xdr:row>
                    <xdr:rowOff>9525</xdr:rowOff>
                  </to>
                </anchor>
              </controlPr>
            </control>
          </mc:Choice>
        </mc:AlternateContent>
        <mc:AlternateContent xmlns:mc="http://schemas.openxmlformats.org/markup-compatibility/2006">
          <mc:Choice Requires="x14">
            <control shapeId="19591" r:id="rId138" name="Check Box 135">
              <controlPr locked="0" defaultSize="0" autoFill="0" autoLine="0" autoPict="0">
                <anchor moveWithCells="1">
                  <from>
                    <xdr:col>14</xdr:col>
                    <xdr:colOff>9525</xdr:colOff>
                    <xdr:row>20</xdr:row>
                    <xdr:rowOff>28575</xdr:rowOff>
                  </from>
                  <to>
                    <xdr:col>14</xdr:col>
                    <xdr:colOff>228600</xdr:colOff>
                    <xdr:row>21</xdr:row>
                    <xdr:rowOff>9525</xdr:rowOff>
                  </to>
                </anchor>
              </controlPr>
            </control>
          </mc:Choice>
        </mc:AlternateContent>
        <mc:AlternateContent xmlns:mc="http://schemas.openxmlformats.org/markup-compatibility/2006">
          <mc:Choice Requires="x14">
            <control shapeId="19592" r:id="rId139" name="Check Box 136">
              <controlPr locked="0" defaultSize="0" autoFill="0" autoLine="0" autoPict="0">
                <anchor moveWithCells="1">
                  <from>
                    <xdr:col>6</xdr:col>
                    <xdr:colOff>228600</xdr:colOff>
                    <xdr:row>20</xdr:row>
                    <xdr:rowOff>257175</xdr:rowOff>
                  </from>
                  <to>
                    <xdr:col>8</xdr:col>
                    <xdr:colOff>28575</xdr:colOff>
                    <xdr:row>22</xdr:row>
                    <xdr:rowOff>19050</xdr:rowOff>
                  </to>
                </anchor>
              </controlPr>
            </control>
          </mc:Choice>
        </mc:AlternateContent>
        <mc:AlternateContent xmlns:mc="http://schemas.openxmlformats.org/markup-compatibility/2006">
          <mc:Choice Requires="x14">
            <control shapeId="19593" r:id="rId140" name="Check Box 137">
              <controlPr locked="0" defaultSize="0" autoFill="0" autoLine="0" autoPict="0">
                <anchor moveWithCells="1">
                  <from>
                    <xdr:col>11</xdr:col>
                    <xdr:colOff>352425</xdr:colOff>
                    <xdr:row>20</xdr:row>
                    <xdr:rowOff>257175</xdr:rowOff>
                  </from>
                  <to>
                    <xdr:col>13</xdr:col>
                    <xdr:colOff>57150</xdr:colOff>
                    <xdr:row>22</xdr:row>
                    <xdr:rowOff>19050</xdr:rowOff>
                  </to>
                </anchor>
              </controlPr>
            </control>
          </mc:Choice>
        </mc:AlternateContent>
        <mc:AlternateContent xmlns:mc="http://schemas.openxmlformats.org/markup-compatibility/2006">
          <mc:Choice Requires="x14">
            <control shapeId="19594" r:id="rId141" name="Check Box 138">
              <controlPr locked="0" defaultSize="0" autoFill="0" autoLine="0" autoPict="0">
                <anchor moveWithCells="1">
                  <from>
                    <xdr:col>18</xdr:col>
                    <xdr:colOff>19050</xdr:colOff>
                    <xdr:row>20</xdr:row>
                    <xdr:rowOff>257175</xdr:rowOff>
                  </from>
                  <to>
                    <xdr:col>19</xdr:col>
                    <xdr:colOff>76200</xdr:colOff>
                    <xdr:row>22</xdr:row>
                    <xdr:rowOff>19050</xdr:rowOff>
                  </to>
                </anchor>
              </controlPr>
            </control>
          </mc:Choice>
        </mc:AlternateContent>
        <mc:AlternateContent xmlns:mc="http://schemas.openxmlformats.org/markup-compatibility/2006">
          <mc:Choice Requires="x14">
            <control shapeId="19595" r:id="rId142" name="Check Box 139">
              <controlPr locked="0" defaultSize="0" autoFill="0" autoLine="0" autoPict="0">
                <anchor moveWithCells="1">
                  <from>
                    <xdr:col>6</xdr:col>
                    <xdr:colOff>66675</xdr:colOff>
                    <xdr:row>23</xdr:row>
                    <xdr:rowOff>180975</xdr:rowOff>
                  </from>
                  <to>
                    <xdr:col>7</xdr:col>
                    <xdr:colOff>28575</xdr:colOff>
                    <xdr:row>25</xdr:row>
                    <xdr:rowOff>9525</xdr:rowOff>
                  </to>
                </anchor>
              </controlPr>
            </control>
          </mc:Choice>
        </mc:AlternateContent>
        <mc:AlternateContent xmlns:mc="http://schemas.openxmlformats.org/markup-compatibility/2006">
          <mc:Choice Requires="x14">
            <control shapeId="19596" r:id="rId143" name="Check Box 140">
              <controlPr locked="0" defaultSize="0" autoFill="0" autoLine="0" autoPict="0">
                <anchor moveWithCells="1">
                  <from>
                    <xdr:col>11</xdr:col>
                    <xdr:colOff>352425</xdr:colOff>
                    <xdr:row>23</xdr:row>
                    <xdr:rowOff>180975</xdr:rowOff>
                  </from>
                  <to>
                    <xdr:col>13</xdr:col>
                    <xdr:colOff>57150</xdr:colOff>
                    <xdr:row>25</xdr:row>
                    <xdr:rowOff>9525</xdr:rowOff>
                  </to>
                </anchor>
              </controlPr>
            </control>
          </mc:Choice>
        </mc:AlternateContent>
        <mc:AlternateContent xmlns:mc="http://schemas.openxmlformats.org/markup-compatibility/2006">
          <mc:Choice Requires="x14">
            <control shapeId="19597" r:id="rId144" name="Check Box 141">
              <controlPr locked="0" defaultSize="0" autoFill="0" autoLine="0" autoPict="0">
                <anchor moveWithCells="1">
                  <from>
                    <xdr:col>17</xdr:col>
                    <xdr:colOff>47625</xdr:colOff>
                    <xdr:row>23</xdr:row>
                    <xdr:rowOff>180975</xdr:rowOff>
                  </from>
                  <to>
                    <xdr:col>18</xdr:col>
                    <xdr:colOff>28575</xdr:colOff>
                    <xdr:row>25</xdr:row>
                    <xdr:rowOff>9525</xdr:rowOff>
                  </to>
                </anchor>
              </controlPr>
            </control>
          </mc:Choice>
        </mc:AlternateContent>
        <mc:AlternateContent xmlns:mc="http://schemas.openxmlformats.org/markup-compatibility/2006">
          <mc:Choice Requires="x14">
            <control shapeId="19598" r:id="rId145" name="Check Box 142">
              <controlPr locked="0" defaultSize="0" autoFill="0" autoLine="0" autoPict="0">
                <anchor moveWithCells="1">
                  <from>
                    <xdr:col>4</xdr:col>
                    <xdr:colOff>85725</xdr:colOff>
                    <xdr:row>26</xdr:row>
                    <xdr:rowOff>180975</xdr:rowOff>
                  </from>
                  <to>
                    <xdr:col>5</xdr:col>
                    <xdr:colOff>47625</xdr:colOff>
                    <xdr:row>28</xdr:row>
                    <xdr:rowOff>9525</xdr:rowOff>
                  </to>
                </anchor>
              </controlPr>
            </control>
          </mc:Choice>
        </mc:AlternateContent>
        <mc:AlternateContent xmlns:mc="http://schemas.openxmlformats.org/markup-compatibility/2006">
          <mc:Choice Requires="x14">
            <control shapeId="19599" r:id="rId146" name="Check Box 143">
              <controlPr locked="0" defaultSize="0" autoFill="0" autoLine="0" autoPict="0">
                <anchor moveWithCells="1">
                  <from>
                    <xdr:col>6</xdr:col>
                    <xdr:colOff>247650</xdr:colOff>
                    <xdr:row>26</xdr:row>
                    <xdr:rowOff>180975</xdr:rowOff>
                  </from>
                  <to>
                    <xdr:col>8</xdr:col>
                    <xdr:colOff>47625</xdr:colOff>
                    <xdr:row>28</xdr:row>
                    <xdr:rowOff>9525</xdr:rowOff>
                  </to>
                </anchor>
              </controlPr>
            </control>
          </mc:Choice>
        </mc:AlternateContent>
        <mc:AlternateContent xmlns:mc="http://schemas.openxmlformats.org/markup-compatibility/2006">
          <mc:Choice Requires="x14">
            <control shapeId="19600" r:id="rId147" name="Check Box 144">
              <controlPr locked="0" defaultSize="0" autoFill="0" autoLine="0" autoPict="0">
                <anchor moveWithCells="1">
                  <from>
                    <xdr:col>13</xdr:col>
                    <xdr:colOff>57150</xdr:colOff>
                    <xdr:row>26</xdr:row>
                    <xdr:rowOff>180975</xdr:rowOff>
                  </from>
                  <to>
                    <xdr:col>14</xdr:col>
                    <xdr:colOff>38100</xdr:colOff>
                    <xdr:row>28</xdr:row>
                    <xdr:rowOff>9525</xdr:rowOff>
                  </to>
                </anchor>
              </controlPr>
            </control>
          </mc:Choice>
        </mc:AlternateContent>
        <mc:AlternateContent xmlns:mc="http://schemas.openxmlformats.org/markup-compatibility/2006">
          <mc:Choice Requires="x14">
            <control shapeId="19601" r:id="rId148" name="Check Box 145">
              <controlPr locked="0" defaultSize="0" autoFill="0" autoLine="0" autoPict="0">
                <anchor moveWithCells="1">
                  <from>
                    <xdr:col>3</xdr:col>
                    <xdr:colOff>419100</xdr:colOff>
                    <xdr:row>29</xdr:row>
                    <xdr:rowOff>180975</xdr:rowOff>
                  </from>
                  <to>
                    <xdr:col>4</xdr:col>
                    <xdr:colOff>123825</xdr:colOff>
                    <xdr:row>31</xdr:row>
                    <xdr:rowOff>9525</xdr:rowOff>
                  </to>
                </anchor>
              </controlPr>
            </control>
          </mc:Choice>
        </mc:AlternateContent>
        <mc:AlternateContent xmlns:mc="http://schemas.openxmlformats.org/markup-compatibility/2006">
          <mc:Choice Requires="x14">
            <control shapeId="19602" r:id="rId149" name="Check Box 146">
              <controlPr locked="0" defaultSize="0" autoFill="0" autoLine="0" autoPict="0">
                <anchor moveWithCells="1">
                  <from>
                    <xdr:col>7</xdr:col>
                    <xdr:colOff>152400</xdr:colOff>
                    <xdr:row>29</xdr:row>
                    <xdr:rowOff>180975</xdr:rowOff>
                  </from>
                  <to>
                    <xdr:col>9</xdr:col>
                    <xdr:colOff>19050</xdr:colOff>
                    <xdr:row>31</xdr:row>
                    <xdr:rowOff>9525</xdr:rowOff>
                  </to>
                </anchor>
              </controlPr>
            </control>
          </mc:Choice>
        </mc:AlternateContent>
        <mc:AlternateContent xmlns:mc="http://schemas.openxmlformats.org/markup-compatibility/2006">
          <mc:Choice Requires="x14">
            <control shapeId="19603" r:id="rId150" name="Check Box 147">
              <controlPr locked="0" defaultSize="0" autoFill="0" autoLine="0" autoPict="0">
                <anchor moveWithCells="1">
                  <from>
                    <xdr:col>13</xdr:col>
                    <xdr:colOff>19050</xdr:colOff>
                    <xdr:row>29</xdr:row>
                    <xdr:rowOff>180975</xdr:rowOff>
                  </from>
                  <to>
                    <xdr:col>14</xdr:col>
                    <xdr:colOff>0</xdr:colOff>
                    <xdr:row>31</xdr:row>
                    <xdr:rowOff>9525</xdr:rowOff>
                  </to>
                </anchor>
              </controlPr>
            </control>
          </mc:Choice>
        </mc:AlternateContent>
        <mc:AlternateContent xmlns:mc="http://schemas.openxmlformats.org/markup-compatibility/2006">
          <mc:Choice Requires="x14">
            <control shapeId="19604" r:id="rId151" name="Check Box 148">
              <controlPr locked="0" defaultSize="0" autoFill="0" autoLine="0" autoPict="0">
                <anchor moveWithCells="1">
                  <from>
                    <xdr:col>6</xdr:col>
                    <xdr:colOff>238125</xdr:colOff>
                    <xdr:row>32</xdr:row>
                    <xdr:rowOff>180975</xdr:rowOff>
                  </from>
                  <to>
                    <xdr:col>8</xdr:col>
                    <xdr:colOff>38100</xdr:colOff>
                    <xdr:row>34</xdr:row>
                    <xdr:rowOff>9525</xdr:rowOff>
                  </to>
                </anchor>
              </controlPr>
            </control>
          </mc:Choice>
        </mc:AlternateContent>
        <mc:AlternateContent xmlns:mc="http://schemas.openxmlformats.org/markup-compatibility/2006">
          <mc:Choice Requires="x14">
            <control shapeId="19605" r:id="rId152" name="Check Box 149">
              <controlPr locked="0" defaultSize="0" autoFill="0" autoLine="0" autoPict="0">
                <anchor moveWithCells="1">
                  <from>
                    <xdr:col>10</xdr:col>
                    <xdr:colOff>161925</xdr:colOff>
                    <xdr:row>32</xdr:row>
                    <xdr:rowOff>180975</xdr:rowOff>
                  </from>
                  <to>
                    <xdr:col>12</xdr:col>
                    <xdr:colOff>0</xdr:colOff>
                    <xdr:row>34</xdr:row>
                    <xdr:rowOff>9525</xdr:rowOff>
                  </to>
                </anchor>
              </controlPr>
            </control>
          </mc:Choice>
        </mc:AlternateContent>
        <mc:AlternateContent xmlns:mc="http://schemas.openxmlformats.org/markup-compatibility/2006">
          <mc:Choice Requires="x14">
            <control shapeId="19606" r:id="rId153" name="Check Box 150">
              <controlPr locked="0" defaultSize="0" autoFill="0" autoLine="0" autoPict="0">
                <anchor moveWithCells="1">
                  <from>
                    <xdr:col>14</xdr:col>
                    <xdr:colOff>180975</xdr:colOff>
                    <xdr:row>32</xdr:row>
                    <xdr:rowOff>180975</xdr:rowOff>
                  </from>
                  <to>
                    <xdr:col>15</xdr:col>
                    <xdr:colOff>161925</xdr:colOff>
                    <xdr:row>34</xdr:row>
                    <xdr:rowOff>9525</xdr:rowOff>
                  </to>
                </anchor>
              </controlPr>
            </control>
          </mc:Choice>
        </mc:AlternateContent>
        <mc:AlternateContent xmlns:mc="http://schemas.openxmlformats.org/markup-compatibility/2006">
          <mc:Choice Requires="x14">
            <control shapeId="19607" r:id="rId154" name="Check Box 151">
              <controlPr locked="0" defaultSize="0" autoFill="0" autoLine="0" autoPict="0">
                <anchor moveWithCells="1">
                  <from>
                    <xdr:col>22</xdr:col>
                    <xdr:colOff>104775</xdr:colOff>
                    <xdr:row>27</xdr:row>
                    <xdr:rowOff>180975</xdr:rowOff>
                  </from>
                  <to>
                    <xdr:col>22</xdr:col>
                    <xdr:colOff>323850</xdr:colOff>
                    <xdr:row>29</xdr:row>
                    <xdr:rowOff>9525</xdr:rowOff>
                  </to>
                </anchor>
              </controlPr>
            </control>
          </mc:Choice>
        </mc:AlternateContent>
        <mc:AlternateContent xmlns:mc="http://schemas.openxmlformats.org/markup-compatibility/2006">
          <mc:Choice Requires="x14">
            <control shapeId="19608" r:id="rId155" name="Check Box 152">
              <controlPr locked="0" defaultSize="0" autoFill="0" autoLine="0" autoPict="0">
                <anchor moveWithCells="1">
                  <from>
                    <xdr:col>22</xdr:col>
                    <xdr:colOff>104775</xdr:colOff>
                    <xdr:row>28</xdr:row>
                    <xdr:rowOff>180975</xdr:rowOff>
                  </from>
                  <to>
                    <xdr:col>22</xdr:col>
                    <xdr:colOff>323850</xdr:colOff>
                    <xdr:row>30</xdr:row>
                    <xdr:rowOff>9525</xdr:rowOff>
                  </to>
                </anchor>
              </controlPr>
            </control>
          </mc:Choice>
        </mc:AlternateContent>
        <mc:AlternateContent xmlns:mc="http://schemas.openxmlformats.org/markup-compatibility/2006">
          <mc:Choice Requires="x14">
            <control shapeId="19609" r:id="rId156" name="Check Box 153">
              <controlPr locked="0" defaultSize="0" autoFill="0" autoLine="0" autoPict="0">
                <anchor moveWithCells="1">
                  <from>
                    <xdr:col>9</xdr:col>
                    <xdr:colOff>76200</xdr:colOff>
                    <xdr:row>38</xdr:row>
                    <xdr:rowOff>28575</xdr:rowOff>
                  </from>
                  <to>
                    <xdr:col>10</xdr:col>
                    <xdr:colOff>104775</xdr:colOff>
                    <xdr:row>39</xdr:row>
                    <xdr:rowOff>9525</xdr:rowOff>
                  </to>
                </anchor>
              </controlPr>
            </control>
          </mc:Choice>
        </mc:AlternateContent>
        <mc:AlternateContent xmlns:mc="http://schemas.openxmlformats.org/markup-compatibility/2006">
          <mc:Choice Requires="x14">
            <control shapeId="19610" r:id="rId157" name="Check Box 154">
              <controlPr locked="0" defaultSize="0" autoFill="0" autoLine="0" autoPict="0">
                <anchor moveWithCells="1">
                  <from>
                    <xdr:col>14</xdr:col>
                    <xdr:colOff>9525</xdr:colOff>
                    <xdr:row>38</xdr:row>
                    <xdr:rowOff>28575</xdr:rowOff>
                  </from>
                  <to>
                    <xdr:col>14</xdr:col>
                    <xdr:colOff>228600</xdr:colOff>
                    <xdr:row>39</xdr:row>
                    <xdr:rowOff>9525</xdr:rowOff>
                  </to>
                </anchor>
              </controlPr>
            </control>
          </mc:Choice>
        </mc:AlternateContent>
        <mc:AlternateContent xmlns:mc="http://schemas.openxmlformats.org/markup-compatibility/2006">
          <mc:Choice Requires="x14">
            <control shapeId="19611" r:id="rId158" name="Check Box 155">
              <controlPr locked="0" defaultSize="0" autoFill="0" autoLine="0" autoPict="0">
                <anchor moveWithCells="1">
                  <from>
                    <xdr:col>22</xdr:col>
                    <xdr:colOff>104775</xdr:colOff>
                    <xdr:row>45</xdr:row>
                    <xdr:rowOff>180975</xdr:rowOff>
                  </from>
                  <to>
                    <xdr:col>22</xdr:col>
                    <xdr:colOff>323850</xdr:colOff>
                    <xdr:row>47</xdr:row>
                    <xdr:rowOff>9525</xdr:rowOff>
                  </to>
                </anchor>
              </controlPr>
            </control>
          </mc:Choice>
        </mc:AlternateContent>
        <mc:AlternateContent xmlns:mc="http://schemas.openxmlformats.org/markup-compatibility/2006">
          <mc:Choice Requires="x14">
            <control shapeId="19612" r:id="rId159" name="Check Box 156">
              <controlPr locked="0" defaultSize="0" autoFill="0" autoLine="0" autoPict="0">
                <anchor moveWithCells="1">
                  <from>
                    <xdr:col>22</xdr:col>
                    <xdr:colOff>104775</xdr:colOff>
                    <xdr:row>46</xdr:row>
                    <xdr:rowOff>180975</xdr:rowOff>
                  </from>
                  <to>
                    <xdr:col>22</xdr:col>
                    <xdr:colOff>323850</xdr:colOff>
                    <xdr:row>48</xdr:row>
                    <xdr:rowOff>9525</xdr:rowOff>
                  </to>
                </anchor>
              </controlPr>
            </control>
          </mc:Choice>
        </mc:AlternateContent>
        <mc:AlternateContent xmlns:mc="http://schemas.openxmlformats.org/markup-compatibility/2006">
          <mc:Choice Requires="x14">
            <control shapeId="19613" r:id="rId160" name="Check Box 157">
              <controlPr locked="0" defaultSize="0" autoFill="0" autoLine="0" autoPict="0">
                <anchor moveWithCells="1">
                  <from>
                    <xdr:col>22</xdr:col>
                    <xdr:colOff>104775</xdr:colOff>
                    <xdr:row>63</xdr:row>
                    <xdr:rowOff>180975</xdr:rowOff>
                  </from>
                  <to>
                    <xdr:col>22</xdr:col>
                    <xdr:colOff>323850</xdr:colOff>
                    <xdr:row>65</xdr:row>
                    <xdr:rowOff>9525</xdr:rowOff>
                  </to>
                </anchor>
              </controlPr>
            </control>
          </mc:Choice>
        </mc:AlternateContent>
        <mc:AlternateContent xmlns:mc="http://schemas.openxmlformats.org/markup-compatibility/2006">
          <mc:Choice Requires="x14">
            <control shapeId="19614" r:id="rId161" name="Check Box 158">
              <controlPr locked="0" defaultSize="0" autoFill="0" autoLine="0" autoPict="0">
                <anchor moveWithCells="1">
                  <from>
                    <xdr:col>22</xdr:col>
                    <xdr:colOff>104775</xdr:colOff>
                    <xdr:row>64</xdr:row>
                    <xdr:rowOff>180975</xdr:rowOff>
                  </from>
                  <to>
                    <xdr:col>22</xdr:col>
                    <xdr:colOff>323850</xdr:colOff>
                    <xdr:row>66</xdr:row>
                    <xdr:rowOff>9525</xdr:rowOff>
                  </to>
                </anchor>
              </controlPr>
            </control>
          </mc:Choice>
        </mc:AlternateContent>
        <mc:AlternateContent xmlns:mc="http://schemas.openxmlformats.org/markup-compatibility/2006">
          <mc:Choice Requires="x14">
            <control shapeId="19615" r:id="rId162" name="Check Box 159">
              <controlPr locked="0" defaultSize="0" autoFill="0" autoLine="0" autoPict="0">
                <anchor moveWithCells="1">
                  <from>
                    <xdr:col>22</xdr:col>
                    <xdr:colOff>104775</xdr:colOff>
                    <xdr:row>81</xdr:row>
                    <xdr:rowOff>180975</xdr:rowOff>
                  </from>
                  <to>
                    <xdr:col>22</xdr:col>
                    <xdr:colOff>323850</xdr:colOff>
                    <xdr:row>83</xdr:row>
                    <xdr:rowOff>9525</xdr:rowOff>
                  </to>
                </anchor>
              </controlPr>
            </control>
          </mc:Choice>
        </mc:AlternateContent>
        <mc:AlternateContent xmlns:mc="http://schemas.openxmlformats.org/markup-compatibility/2006">
          <mc:Choice Requires="x14">
            <control shapeId="19616" r:id="rId163" name="Check Box 160">
              <controlPr locked="0" defaultSize="0" autoFill="0" autoLine="0" autoPict="0">
                <anchor moveWithCells="1">
                  <from>
                    <xdr:col>22</xdr:col>
                    <xdr:colOff>104775</xdr:colOff>
                    <xdr:row>82</xdr:row>
                    <xdr:rowOff>180975</xdr:rowOff>
                  </from>
                  <to>
                    <xdr:col>22</xdr:col>
                    <xdr:colOff>323850</xdr:colOff>
                    <xdr:row>84</xdr:row>
                    <xdr:rowOff>9525</xdr:rowOff>
                  </to>
                </anchor>
              </controlPr>
            </control>
          </mc:Choice>
        </mc:AlternateContent>
        <mc:AlternateContent xmlns:mc="http://schemas.openxmlformats.org/markup-compatibility/2006">
          <mc:Choice Requires="x14">
            <control shapeId="19617" r:id="rId164" name="Check Box 161">
              <controlPr locked="0" defaultSize="0" autoFill="0" autoLine="0" autoPict="0">
                <anchor moveWithCells="1">
                  <from>
                    <xdr:col>22</xdr:col>
                    <xdr:colOff>104775</xdr:colOff>
                    <xdr:row>99</xdr:row>
                    <xdr:rowOff>180975</xdr:rowOff>
                  </from>
                  <to>
                    <xdr:col>22</xdr:col>
                    <xdr:colOff>323850</xdr:colOff>
                    <xdr:row>101</xdr:row>
                    <xdr:rowOff>9525</xdr:rowOff>
                  </to>
                </anchor>
              </controlPr>
            </control>
          </mc:Choice>
        </mc:AlternateContent>
        <mc:AlternateContent xmlns:mc="http://schemas.openxmlformats.org/markup-compatibility/2006">
          <mc:Choice Requires="x14">
            <control shapeId="19618" r:id="rId165" name="Check Box 162">
              <controlPr locked="0" defaultSize="0" autoFill="0" autoLine="0" autoPict="0">
                <anchor moveWithCells="1">
                  <from>
                    <xdr:col>22</xdr:col>
                    <xdr:colOff>104775</xdr:colOff>
                    <xdr:row>100</xdr:row>
                    <xdr:rowOff>180975</xdr:rowOff>
                  </from>
                  <to>
                    <xdr:col>22</xdr:col>
                    <xdr:colOff>323850</xdr:colOff>
                    <xdr:row>102</xdr:row>
                    <xdr:rowOff>9525</xdr:rowOff>
                  </to>
                </anchor>
              </controlPr>
            </control>
          </mc:Choice>
        </mc:AlternateContent>
        <mc:AlternateContent xmlns:mc="http://schemas.openxmlformats.org/markup-compatibility/2006">
          <mc:Choice Requires="x14">
            <control shapeId="19619" r:id="rId166" name="Check Box 163">
              <controlPr locked="0" defaultSize="0" autoFill="0" autoLine="0" autoPict="0">
                <anchor moveWithCells="1">
                  <from>
                    <xdr:col>9</xdr:col>
                    <xdr:colOff>76200</xdr:colOff>
                    <xdr:row>56</xdr:row>
                    <xdr:rowOff>28575</xdr:rowOff>
                  </from>
                  <to>
                    <xdr:col>10</xdr:col>
                    <xdr:colOff>104775</xdr:colOff>
                    <xdr:row>57</xdr:row>
                    <xdr:rowOff>9525</xdr:rowOff>
                  </to>
                </anchor>
              </controlPr>
            </control>
          </mc:Choice>
        </mc:AlternateContent>
        <mc:AlternateContent xmlns:mc="http://schemas.openxmlformats.org/markup-compatibility/2006">
          <mc:Choice Requires="x14">
            <control shapeId="19620" r:id="rId167" name="Check Box 164">
              <controlPr locked="0" defaultSize="0" autoFill="0" autoLine="0" autoPict="0">
                <anchor moveWithCells="1">
                  <from>
                    <xdr:col>14</xdr:col>
                    <xdr:colOff>9525</xdr:colOff>
                    <xdr:row>56</xdr:row>
                    <xdr:rowOff>28575</xdr:rowOff>
                  </from>
                  <to>
                    <xdr:col>14</xdr:col>
                    <xdr:colOff>228600</xdr:colOff>
                    <xdr:row>57</xdr:row>
                    <xdr:rowOff>9525</xdr:rowOff>
                  </to>
                </anchor>
              </controlPr>
            </control>
          </mc:Choice>
        </mc:AlternateContent>
        <mc:AlternateContent xmlns:mc="http://schemas.openxmlformats.org/markup-compatibility/2006">
          <mc:Choice Requires="x14">
            <control shapeId="19621" r:id="rId168" name="Check Box 165">
              <controlPr locked="0" defaultSize="0" autoFill="0" autoLine="0" autoPict="0">
                <anchor moveWithCells="1">
                  <from>
                    <xdr:col>9</xdr:col>
                    <xdr:colOff>76200</xdr:colOff>
                    <xdr:row>74</xdr:row>
                    <xdr:rowOff>28575</xdr:rowOff>
                  </from>
                  <to>
                    <xdr:col>10</xdr:col>
                    <xdr:colOff>104775</xdr:colOff>
                    <xdr:row>75</xdr:row>
                    <xdr:rowOff>9525</xdr:rowOff>
                  </to>
                </anchor>
              </controlPr>
            </control>
          </mc:Choice>
        </mc:AlternateContent>
        <mc:AlternateContent xmlns:mc="http://schemas.openxmlformats.org/markup-compatibility/2006">
          <mc:Choice Requires="x14">
            <control shapeId="19622" r:id="rId169" name="Check Box 166">
              <controlPr locked="0" defaultSize="0" autoFill="0" autoLine="0" autoPict="0">
                <anchor moveWithCells="1">
                  <from>
                    <xdr:col>14</xdr:col>
                    <xdr:colOff>9525</xdr:colOff>
                    <xdr:row>74</xdr:row>
                    <xdr:rowOff>28575</xdr:rowOff>
                  </from>
                  <to>
                    <xdr:col>14</xdr:col>
                    <xdr:colOff>228600</xdr:colOff>
                    <xdr:row>75</xdr:row>
                    <xdr:rowOff>9525</xdr:rowOff>
                  </to>
                </anchor>
              </controlPr>
            </control>
          </mc:Choice>
        </mc:AlternateContent>
        <mc:AlternateContent xmlns:mc="http://schemas.openxmlformats.org/markup-compatibility/2006">
          <mc:Choice Requires="x14">
            <control shapeId="19623" r:id="rId170" name="Check Box 167">
              <controlPr locked="0" defaultSize="0" autoFill="0" autoLine="0" autoPict="0">
                <anchor moveWithCells="1">
                  <from>
                    <xdr:col>9</xdr:col>
                    <xdr:colOff>76200</xdr:colOff>
                    <xdr:row>92</xdr:row>
                    <xdr:rowOff>28575</xdr:rowOff>
                  </from>
                  <to>
                    <xdr:col>10</xdr:col>
                    <xdr:colOff>104775</xdr:colOff>
                    <xdr:row>93</xdr:row>
                    <xdr:rowOff>9525</xdr:rowOff>
                  </to>
                </anchor>
              </controlPr>
            </control>
          </mc:Choice>
        </mc:AlternateContent>
        <mc:AlternateContent xmlns:mc="http://schemas.openxmlformats.org/markup-compatibility/2006">
          <mc:Choice Requires="x14">
            <control shapeId="19624" r:id="rId171" name="Check Box 168">
              <controlPr locked="0" defaultSize="0" autoFill="0" autoLine="0" autoPict="0">
                <anchor moveWithCells="1">
                  <from>
                    <xdr:col>14</xdr:col>
                    <xdr:colOff>9525</xdr:colOff>
                    <xdr:row>92</xdr:row>
                    <xdr:rowOff>28575</xdr:rowOff>
                  </from>
                  <to>
                    <xdr:col>14</xdr:col>
                    <xdr:colOff>228600</xdr:colOff>
                    <xdr:row>93</xdr:row>
                    <xdr:rowOff>9525</xdr:rowOff>
                  </to>
                </anchor>
              </controlPr>
            </control>
          </mc:Choice>
        </mc:AlternateContent>
        <mc:AlternateContent xmlns:mc="http://schemas.openxmlformats.org/markup-compatibility/2006">
          <mc:Choice Requires="x14">
            <control shapeId="19625" r:id="rId172" name="Check Box 169">
              <controlPr locked="0" defaultSize="0" autoFill="0" autoLine="0" autoPict="0">
                <anchor moveWithCells="1">
                  <from>
                    <xdr:col>6</xdr:col>
                    <xdr:colOff>228600</xdr:colOff>
                    <xdr:row>38</xdr:row>
                    <xdr:rowOff>257175</xdr:rowOff>
                  </from>
                  <to>
                    <xdr:col>8</xdr:col>
                    <xdr:colOff>28575</xdr:colOff>
                    <xdr:row>40</xdr:row>
                    <xdr:rowOff>19050</xdr:rowOff>
                  </to>
                </anchor>
              </controlPr>
            </control>
          </mc:Choice>
        </mc:AlternateContent>
        <mc:AlternateContent xmlns:mc="http://schemas.openxmlformats.org/markup-compatibility/2006">
          <mc:Choice Requires="x14">
            <control shapeId="19626" r:id="rId173" name="Check Box 170">
              <controlPr locked="0" defaultSize="0" autoFill="0" autoLine="0" autoPict="0">
                <anchor moveWithCells="1">
                  <from>
                    <xdr:col>11</xdr:col>
                    <xdr:colOff>352425</xdr:colOff>
                    <xdr:row>38</xdr:row>
                    <xdr:rowOff>257175</xdr:rowOff>
                  </from>
                  <to>
                    <xdr:col>13</xdr:col>
                    <xdr:colOff>57150</xdr:colOff>
                    <xdr:row>40</xdr:row>
                    <xdr:rowOff>19050</xdr:rowOff>
                  </to>
                </anchor>
              </controlPr>
            </control>
          </mc:Choice>
        </mc:AlternateContent>
        <mc:AlternateContent xmlns:mc="http://schemas.openxmlformats.org/markup-compatibility/2006">
          <mc:Choice Requires="x14">
            <control shapeId="19627" r:id="rId174" name="Check Box 171">
              <controlPr locked="0" defaultSize="0" autoFill="0" autoLine="0" autoPict="0">
                <anchor moveWithCells="1">
                  <from>
                    <xdr:col>18</xdr:col>
                    <xdr:colOff>19050</xdr:colOff>
                    <xdr:row>38</xdr:row>
                    <xdr:rowOff>257175</xdr:rowOff>
                  </from>
                  <to>
                    <xdr:col>19</xdr:col>
                    <xdr:colOff>76200</xdr:colOff>
                    <xdr:row>40</xdr:row>
                    <xdr:rowOff>19050</xdr:rowOff>
                  </to>
                </anchor>
              </controlPr>
            </control>
          </mc:Choice>
        </mc:AlternateContent>
        <mc:AlternateContent xmlns:mc="http://schemas.openxmlformats.org/markup-compatibility/2006">
          <mc:Choice Requires="x14">
            <control shapeId="19628" r:id="rId175" name="Check Box 172">
              <controlPr locked="0" defaultSize="0" autoFill="0" autoLine="0" autoPict="0">
                <anchor moveWithCells="1">
                  <from>
                    <xdr:col>6</xdr:col>
                    <xdr:colOff>66675</xdr:colOff>
                    <xdr:row>41</xdr:row>
                    <xdr:rowOff>180975</xdr:rowOff>
                  </from>
                  <to>
                    <xdr:col>7</xdr:col>
                    <xdr:colOff>28575</xdr:colOff>
                    <xdr:row>43</xdr:row>
                    <xdr:rowOff>9525</xdr:rowOff>
                  </to>
                </anchor>
              </controlPr>
            </control>
          </mc:Choice>
        </mc:AlternateContent>
        <mc:AlternateContent xmlns:mc="http://schemas.openxmlformats.org/markup-compatibility/2006">
          <mc:Choice Requires="x14">
            <control shapeId="19629" r:id="rId176" name="Check Box 173">
              <controlPr locked="0" defaultSize="0" autoFill="0" autoLine="0" autoPict="0">
                <anchor moveWithCells="1">
                  <from>
                    <xdr:col>11</xdr:col>
                    <xdr:colOff>352425</xdr:colOff>
                    <xdr:row>41</xdr:row>
                    <xdr:rowOff>180975</xdr:rowOff>
                  </from>
                  <to>
                    <xdr:col>13</xdr:col>
                    <xdr:colOff>57150</xdr:colOff>
                    <xdr:row>43</xdr:row>
                    <xdr:rowOff>9525</xdr:rowOff>
                  </to>
                </anchor>
              </controlPr>
            </control>
          </mc:Choice>
        </mc:AlternateContent>
        <mc:AlternateContent xmlns:mc="http://schemas.openxmlformats.org/markup-compatibility/2006">
          <mc:Choice Requires="x14">
            <control shapeId="19630" r:id="rId177" name="Check Box 174">
              <controlPr locked="0" defaultSize="0" autoFill="0" autoLine="0" autoPict="0">
                <anchor moveWithCells="1">
                  <from>
                    <xdr:col>17</xdr:col>
                    <xdr:colOff>47625</xdr:colOff>
                    <xdr:row>41</xdr:row>
                    <xdr:rowOff>180975</xdr:rowOff>
                  </from>
                  <to>
                    <xdr:col>18</xdr:col>
                    <xdr:colOff>28575</xdr:colOff>
                    <xdr:row>43</xdr:row>
                    <xdr:rowOff>9525</xdr:rowOff>
                  </to>
                </anchor>
              </controlPr>
            </control>
          </mc:Choice>
        </mc:AlternateContent>
        <mc:AlternateContent xmlns:mc="http://schemas.openxmlformats.org/markup-compatibility/2006">
          <mc:Choice Requires="x14">
            <control shapeId="19631" r:id="rId178" name="Check Box 175">
              <controlPr locked="0" defaultSize="0" autoFill="0" autoLine="0" autoPict="0">
                <anchor moveWithCells="1">
                  <from>
                    <xdr:col>4</xdr:col>
                    <xdr:colOff>85725</xdr:colOff>
                    <xdr:row>44</xdr:row>
                    <xdr:rowOff>180975</xdr:rowOff>
                  </from>
                  <to>
                    <xdr:col>5</xdr:col>
                    <xdr:colOff>47625</xdr:colOff>
                    <xdr:row>46</xdr:row>
                    <xdr:rowOff>9525</xdr:rowOff>
                  </to>
                </anchor>
              </controlPr>
            </control>
          </mc:Choice>
        </mc:AlternateContent>
        <mc:AlternateContent xmlns:mc="http://schemas.openxmlformats.org/markup-compatibility/2006">
          <mc:Choice Requires="x14">
            <control shapeId="19632" r:id="rId179" name="Check Box 176">
              <controlPr locked="0" defaultSize="0" autoFill="0" autoLine="0" autoPict="0">
                <anchor moveWithCells="1">
                  <from>
                    <xdr:col>6</xdr:col>
                    <xdr:colOff>247650</xdr:colOff>
                    <xdr:row>44</xdr:row>
                    <xdr:rowOff>180975</xdr:rowOff>
                  </from>
                  <to>
                    <xdr:col>8</xdr:col>
                    <xdr:colOff>47625</xdr:colOff>
                    <xdr:row>46</xdr:row>
                    <xdr:rowOff>9525</xdr:rowOff>
                  </to>
                </anchor>
              </controlPr>
            </control>
          </mc:Choice>
        </mc:AlternateContent>
        <mc:AlternateContent xmlns:mc="http://schemas.openxmlformats.org/markup-compatibility/2006">
          <mc:Choice Requires="x14">
            <control shapeId="19633" r:id="rId180" name="Check Box 177">
              <controlPr locked="0" defaultSize="0" autoFill="0" autoLine="0" autoPict="0">
                <anchor moveWithCells="1">
                  <from>
                    <xdr:col>13</xdr:col>
                    <xdr:colOff>57150</xdr:colOff>
                    <xdr:row>44</xdr:row>
                    <xdr:rowOff>180975</xdr:rowOff>
                  </from>
                  <to>
                    <xdr:col>14</xdr:col>
                    <xdr:colOff>38100</xdr:colOff>
                    <xdr:row>46</xdr:row>
                    <xdr:rowOff>9525</xdr:rowOff>
                  </to>
                </anchor>
              </controlPr>
            </control>
          </mc:Choice>
        </mc:AlternateContent>
        <mc:AlternateContent xmlns:mc="http://schemas.openxmlformats.org/markup-compatibility/2006">
          <mc:Choice Requires="x14">
            <control shapeId="19634" r:id="rId181" name="Check Box 178">
              <controlPr locked="0" defaultSize="0" autoFill="0" autoLine="0" autoPict="0">
                <anchor moveWithCells="1">
                  <from>
                    <xdr:col>3</xdr:col>
                    <xdr:colOff>419100</xdr:colOff>
                    <xdr:row>47</xdr:row>
                    <xdr:rowOff>180975</xdr:rowOff>
                  </from>
                  <to>
                    <xdr:col>4</xdr:col>
                    <xdr:colOff>123825</xdr:colOff>
                    <xdr:row>49</xdr:row>
                    <xdr:rowOff>9525</xdr:rowOff>
                  </to>
                </anchor>
              </controlPr>
            </control>
          </mc:Choice>
        </mc:AlternateContent>
        <mc:AlternateContent xmlns:mc="http://schemas.openxmlformats.org/markup-compatibility/2006">
          <mc:Choice Requires="x14">
            <control shapeId="19635" r:id="rId182" name="Check Box 179">
              <controlPr locked="0" defaultSize="0" autoFill="0" autoLine="0" autoPict="0">
                <anchor moveWithCells="1">
                  <from>
                    <xdr:col>7</xdr:col>
                    <xdr:colOff>152400</xdr:colOff>
                    <xdr:row>47</xdr:row>
                    <xdr:rowOff>180975</xdr:rowOff>
                  </from>
                  <to>
                    <xdr:col>9</xdr:col>
                    <xdr:colOff>19050</xdr:colOff>
                    <xdr:row>49</xdr:row>
                    <xdr:rowOff>9525</xdr:rowOff>
                  </to>
                </anchor>
              </controlPr>
            </control>
          </mc:Choice>
        </mc:AlternateContent>
        <mc:AlternateContent xmlns:mc="http://schemas.openxmlformats.org/markup-compatibility/2006">
          <mc:Choice Requires="x14">
            <control shapeId="19636" r:id="rId183" name="Check Box 180">
              <controlPr locked="0" defaultSize="0" autoFill="0" autoLine="0" autoPict="0">
                <anchor moveWithCells="1">
                  <from>
                    <xdr:col>13</xdr:col>
                    <xdr:colOff>19050</xdr:colOff>
                    <xdr:row>47</xdr:row>
                    <xdr:rowOff>180975</xdr:rowOff>
                  </from>
                  <to>
                    <xdr:col>14</xdr:col>
                    <xdr:colOff>0</xdr:colOff>
                    <xdr:row>49</xdr:row>
                    <xdr:rowOff>9525</xdr:rowOff>
                  </to>
                </anchor>
              </controlPr>
            </control>
          </mc:Choice>
        </mc:AlternateContent>
        <mc:AlternateContent xmlns:mc="http://schemas.openxmlformats.org/markup-compatibility/2006">
          <mc:Choice Requires="x14">
            <control shapeId="19637" r:id="rId184" name="Check Box 181">
              <controlPr locked="0" defaultSize="0" autoFill="0" autoLine="0" autoPict="0">
                <anchor moveWithCells="1">
                  <from>
                    <xdr:col>6</xdr:col>
                    <xdr:colOff>238125</xdr:colOff>
                    <xdr:row>50</xdr:row>
                    <xdr:rowOff>180975</xdr:rowOff>
                  </from>
                  <to>
                    <xdr:col>8</xdr:col>
                    <xdr:colOff>38100</xdr:colOff>
                    <xdr:row>52</xdr:row>
                    <xdr:rowOff>9525</xdr:rowOff>
                  </to>
                </anchor>
              </controlPr>
            </control>
          </mc:Choice>
        </mc:AlternateContent>
        <mc:AlternateContent xmlns:mc="http://schemas.openxmlformats.org/markup-compatibility/2006">
          <mc:Choice Requires="x14">
            <control shapeId="19638" r:id="rId185" name="Check Box 182">
              <controlPr locked="0" defaultSize="0" autoFill="0" autoLine="0" autoPict="0">
                <anchor moveWithCells="1">
                  <from>
                    <xdr:col>10</xdr:col>
                    <xdr:colOff>161925</xdr:colOff>
                    <xdr:row>50</xdr:row>
                    <xdr:rowOff>180975</xdr:rowOff>
                  </from>
                  <to>
                    <xdr:col>12</xdr:col>
                    <xdr:colOff>0</xdr:colOff>
                    <xdr:row>52</xdr:row>
                    <xdr:rowOff>9525</xdr:rowOff>
                  </to>
                </anchor>
              </controlPr>
            </control>
          </mc:Choice>
        </mc:AlternateContent>
        <mc:AlternateContent xmlns:mc="http://schemas.openxmlformats.org/markup-compatibility/2006">
          <mc:Choice Requires="x14">
            <control shapeId="19639" r:id="rId186" name="Check Box 183">
              <controlPr locked="0" defaultSize="0" autoFill="0" autoLine="0" autoPict="0">
                <anchor moveWithCells="1">
                  <from>
                    <xdr:col>14</xdr:col>
                    <xdr:colOff>180975</xdr:colOff>
                    <xdr:row>50</xdr:row>
                    <xdr:rowOff>180975</xdr:rowOff>
                  </from>
                  <to>
                    <xdr:col>15</xdr:col>
                    <xdr:colOff>161925</xdr:colOff>
                    <xdr:row>52</xdr:row>
                    <xdr:rowOff>9525</xdr:rowOff>
                  </to>
                </anchor>
              </controlPr>
            </control>
          </mc:Choice>
        </mc:AlternateContent>
        <mc:AlternateContent xmlns:mc="http://schemas.openxmlformats.org/markup-compatibility/2006">
          <mc:Choice Requires="x14">
            <control shapeId="19640" r:id="rId187" name="Check Box 184">
              <controlPr locked="0" defaultSize="0" autoFill="0" autoLine="0" autoPict="0">
                <anchor moveWithCells="1">
                  <from>
                    <xdr:col>6</xdr:col>
                    <xdr:colOff>228600</xdr:colOff>
                    <xdr:row>56</xdr:row>
                    <xdr:rowOff>257175</xdr:rowOff>
                  </from>
                  <to>
                    <xdr:col>8</xdr:col>
                    <xdr:colOff>28575</xdr:colOff>
                    <xdr:row>58</xdr:row>
                    <xdr:rowOff>19050</xdr:rowOff>
                  </to>
                </anchor>
              </controlPr>
            </control>
          </mc:Choice>
        </mc:AlternateContent>
        <mc:AlternateContent xmlns:mc="http://schemas.openxmlformats.org/markup-compatibility/2006">
          <mc:Choice Requires="x14">
            <control shapeId="19641" r:id="rId188" name="Check Box 185">
              <controlPr locked="0" defaultSize="0" autoFill="0" autoLine="0" autoPict="0">
                <anchor moveWithCells="1">
                  <from>
                    <xdr:col>11</xdr:col>
                    <xdr:colOff>352425</xdr:colOff>
                    <xdr:row>56</xdr:row>
                    <xdr:rowOff>257175</xdr:rowOff>
                  </from>
                  <to>
                    <xdr:col>13</xdr:col>
                    <xdr:colOff>57150</xdr:colOff>
                    <xdr:row>58</xdr:row>
                    <xdr:rowOff>19050</xdr:rowOff>
                  </to>
                </anchor>
              </controlPr>
            </control>
          </mc:Choice>
        </mc:AlternateContent>
        <mc:AlternateContent xmlns:mc="http://schemas.openxmlformats.org/markup-compatibility/2006">
          <mc:Choice Requires="x14">
            <control shapeId="19642" r:id="rId189" name="Check Box 186">
              <controlPr locked="0" defaultSize="0" autoFill="0" autoLine="0" autoPict="0">
                <anchor moveWithCells="1">
                  <from>
                    <xdr:col>18</xdr:col>
                    <xdr:colOff>19050</xdr:colOff>
                    <xdr:row>56</xdr:row>
                    <xdr:rowOff>257175</xdr:rowOff>
                  </from>
                  <to>
                    <xdr:col>19</xdr:col>
                    <xdr:colOff>76200</xdr:colOff>
                    <xdr:row>58</xdr:row>
                    <xdr:rowOff>19050</xdr:rowOff>
                  </to>
                </anchor>
              </controlPr>
            </control>
          </mc:Choice>
        </mc:AlternateContent>
        <mc:AlternateContent xmlns:mc="http://schemas.openxmlformats.org/markup-compatibility/2006">
          <mc:Choice Requires="x14">
            <control shapeId="19643" r:id="rId190" name="Check Box 187">
              <controlPr locked="0" defaultSize="0" autoFill="0" autoLine="0" autoPict="0">
                <anchor moveWithCells="1">
                  <from>
                    <xdr:col>6</xdr:col>
                    <xdr:colOff>66675</xdr:colOff>
                    <xdr:row>59</xdr:row>
                    <xdr:rowOff>180975</xdr:rowOff>
                  </from>
                  <to>
                    <xdr:col>7</xdr:col>
                    <xdr:colOff>28575</xdr:colOff>
                    <xdr:row>61</xdr:row>
                    <xdr:rowOff>9525</xdr:rowOff>
                  </to>
                </anchor>
              </controlPr>
            </control>
          </mc:Choice>
        </mc:AlternateContent>
        <mc:AlternateContent xmlns:mc="http://schemas.openxmlformats.org/markup-compatibility/2006">
          <mc:Choice Requires="x14">
            <control shapeId="19644" r:id="rId191" name="Check Box 188">
              <controlPr locked="0" defaultSize="0" autoFill="0" autoLine="0" autoPict="0">
                <anchor moveWithCells="1">
                  <from>
                    <xdr:col>11</xdr:col>
                    <xdr:colOff>352425</xdr:colOff>
                    <xdr:row>59</xdr:row>
                    <xdr:rowOff>180975</xdr:rowOff>
                  </from>
                  <to>
                    <xdr:col>13</xdr:col>
                    <xdr:colOff>57150</xdr:colOff>
                    <xdr:row>61</xdr:row>
                    <xdr:rowOff>9525</xdr:rowOff>
                  </to>
                </anchor>
              </controlPr>
            </control>
          </mc:Choice>
        </mc:AlternateContent>
        <mc:AlternateContent xmlns:mc="http://schemas.openxmlformats.org/markup-compatibility/2006">
          <mc:Choice Requires="x14">
            <control shapeId="19645" r:id="rId192" name="Check Box 189">
              <controlPr locked="0" defaultSize="0" autoFill="0" autoLine="0" autoPict="0">
                <anchor moveWithCells="1">
                  <from>
                    <xdr:col>17</xdr:col>
                    <xdr:colOff>47625</xdr:colOff>
                    <xdr:row>59</xdr:row>
                    <xdr:rowOff>180975</xdr:rowOff>
                  </from>
                  <to>
                    <xdr:col>18</xdr:col>
                    <xdr:colOff>28575</xdr:colOff>
                    <xdr:row>61</xdr:row>
                    <xdr:rowOff>9525</xdr:rowOff>
                  </to>
                </anchor>
              </controlPr>
            </control>
          </mc:Choice>
        </mc:AlternateContent>
        <mc:AlternateContent xmlns:mc="http://schemas.openxmlformats.org/markup-compatibility/2006">
          <mc:Choice Requires="x14">
            <control shapeId="19646" r:id="rId193" name="Check Box 190">
              <controlPr locked="0" defaultSize="0" autoFill="0" autoLine="0" autoPict="0">
                <anchor moveWithCells="1">
                  <from>
                    <xdr:col>4</xdr:col>
                    <xdr:colOff>85725</xdr:colOff>
                    <xdr:row>62</xdr:row>
                    <xdr:rowOff>180975</xdr:rowOff>
                  </from>
                  <to>
                    <xdr:col>5</xdr:col>
                    <xdr:colOff>47625</xdr:colOff>
                    <xdr:row>64</xdr:row>
                    <xdr:rowOff>9525</xdr:rowOff>
                  </to>
                </anchor>
              </controlPr>
            </control>
          </mc:Choice>
        </mc:AlternateContent>
        <mc:AlternateContent xmlns:mc="http://schemas.openxmlformats.org/markup-compatibility/2006">
          <mc:Choice Requires="x14">
            <control shapeId="19647" r:id="rId194" name="Check Box 191">
              <controlPr locked="0" defaultSize="0" autoFill="0" autoLine="0" autoPict="0">
                <anchor moveWithCells="1">
                  <from>
                    <xdr:col>6</xdr:col>
                    <xdr:colOff>247650</xdr:colOff>
                    <xdr:row>62</xdr:row>
                    <xdr:rowOff>180975</xdr:rowOff>
                  </from>
                  <to>
                    <xdr:col>8</xdr:col>
                    <xdr:colOff>47625</xdr:colOff>
                    <xdr:row>64</xdr:row>
                    <xdr:rowOff>9525</xdr:rowOff>
                  </to>
                </anchor>
              </controlPr>
            </control>
          </mc:Choice>
        </mc:AlternateContent>
        <mc:AlternateContent xmlns:mc="http://schemas.openxmlformats.org/markup-compatibility/2006">
          <mc:Choice Requires="x14">
            <control shapeId="19648" r:id="rId195" name="Check Box 192">
              <controlPr locked="0" defaultSize="0" autoFill="0" autoLine="0" autoPict="0">
                <anchor moveWithCells="1">
                  <from>
                    <xdr:col>13</xdr:col>
                    <xdr:colOff>57150</xdr:colOff>
                    <xdr:row>62</xdr:row>
                    <xdr:rowOff>180975</xdr:rowOff>
                  </from>
                  <to>
                    <xdr:col>14</xdr:col>
                    <xdr:colOff>38100</xdr:colOff>
                    <xdr:row>64</xdr:row>
                    <xdr:rowOff>9525</xdr:rowOff>
                  </to>
                </anchor>
              </controlPr>
            </control>
          </mc:Choice>
        </mc:AlternateContent>
        <mc:AlternateContent xmlns:mc="http://schemas.openxmlformats.org/markup-compatibility/2006">
          <mc:Choice Requires="x14">
            <control shapeId="19649" r:id="rId196" name="Check Box 193">
              <controlPr locked="0" defaultSize="0" autoFill="0" autoLine="0" autoPict="0">
                <anchor moveWithCells="1">
                  <from>
                    <xdr:col>3</xdr:col>
                    <xdr:colOff>419100</xdr:colOff>
                    <xdr:row>65</xdr:row>
                    <xdr:rowOff>180975</xdr:rowOff>
                  </from>
                  <to>
                    <xdr:col>4</xdr:col>
                    <xdr:colOff>123825</xdr:colOff>
                    <xdr:row>67</xdr:row>
                    <xdr:rowOff>9525</xdr:rowOff>
                  </to>
                </anchor>
              </controlPr>
            </control>
          </mc:Choice>
        </mc:AlternateContent>
        <mc:AlternateContent xmlns:mc="http://schemas.openxmlformats.org/markup-compatibility/2006">
          <mc:Choice Requires="x14">
            <control shapeId="19650" r:id="rId197" name="Check Box 194">
              <controlPr locked="0" defaultSize="0" autoFill="0" autoLine="0" autoPict="0">
                <anchor moveWithCells="1">
                  <from>
                    <xdr:col>7</xdr:col>
                    <xdr:colOff>152400</xdr:colOff>
                    <xdr:row>65</xdr:row>
                    <xdr:rowOff>180975</xdr:rowOff>
                  </from>
                  <to>
                    <xdr:col>9</xdr:col>
                    <xdr:colOff>19050</xdr:colOff>
                    <xdr:row>67</xdr:row>
                    <xdr:rowOff>9525</xdr:rowOff>
                  </to>
                </anchor>
              </controlPr>
            </control>
          </mc:Choice>
        </mc:AlternateContent>
        <mc:AlternateContent xmlns:mc="http://schemas.openxmlformats.org/markup-compatibility/2006">
          <mc:Choice Requires="x14">
            <control shapeId="19651" r:id="rId198" name="Check Box 195">
              <controlPr locked="0" defaultSize="0" autoFill="0" autoLine="0" autoPict="0">
                <anchor moveWithCells="1">
                  <from>
                    <xdr:col>13</xdr:col>
                    <xdr:colOff>19050</xdr:colOff>
                    <xdr:row>65</xdr:row>
                    <xdr:rowOff>180975</xdr:rowOff>
                  </from>
                  <to>
                    <xdr:col>14</xdr:col>
                    <xdr:colOff>0</xdr:colOff>
                    <xdr:row>67</xdr:row>
                    <xdr:rowOff>9525</xdr:rowOff>
                  </to>
                </anchor>
              </controlPr>
            </control>
          </mc:Choice>
        </mc:AlternateContent>
        <mc:AlternateContent xmlns:mc="http://schemas.openxmlformats.org/markup-compatibility/2006">
          <mc:Choice Requires="x14">
            <control shapeId="19652" r:id="rId199" name="Check Box 196">
              <controlPr locked="0" defaultSize="0" autoFill="0" autoLine="0" autoPict="0">
                <anchor moveWithCells="1">
                  <from>
                    <xdr:col>6</xdr:col>
                    <xdr:colOff>238125</xdr:colOff>
                    <xdr:row>68</xdr:row>
                    <xdr:rowOff>180975</xdr:rowOff>
                  </from>
                  <to>
                    <xdr:col>8</xdr:col>
                    <xdr:colOff>38100</xdr:colOff>
                    <xdr:row>70</xdr:row>
                    <xdr:rowOff>9525</xdr:rowOff>
                  </to>
                </anchor>
              </controlPr>
            </control>
          </mc:Choice>
        </mc:AlternateContent>
        <mc:AlternateContent xmlns:mc="http://schemas.openxmlformats.org/markup-compatibility/2006">
          <mc:Choice Requires="x14">
            <control shapeId="19653" r:id="rId200" name="Check Box 197">
              <controlPr locked="0" defaultSize="0" autoFill="0" autoLine="0" autoPict="0">
                <anchor moveWithCells="1">
                  <from>
                    <xdr:col>10</xdr:col>
                    <xdr:colOff>161925</xdr:colOff>
                    <xdr:row>68</xdr:row>
                    <xdr:rowOff>180975</xdr:rowOff>
                  </from>
                  <to>
                    <xdr:col>12</xdr:col>
                    <xdr:colOff>0</xdr:colOff>
                    <xdr:row>70</xdr:row>
                    <xdr:rowOff>9525</xdr:rowOff>
                  </to>
                </anchor>
              </controlPr>
            </control>
          </mc:Choice>
        </mc:AlternateContent>
        <mc:AlternateContent xmlns:mc="http://schemas.openxmlformats.org/markup-compatibility/2006">
          <mc:Choice Requires="x14">
            <control shapeId="19654" r:id="rId201" name="Check Box 198">
              <controlPr locked="0" defaultSize="0" autoFill="0" autoLine="0" autoPict="0">
                <anchor moveWithCells="1">
                  <from>
                    <xdr:col>14</xdr:col>
                    <xdr:colOff>180975</xdr:colOff>
                    <xdr:row>68</xdr:row>
                    <xdr:rowOff>180975</xdr:rowOff>
                  </from>
                  <to>
                    <xdr:col>15</xdr:col>
                    <xdr:colOff>161925</xdr:colOff>
                    <xdr:row>70</xdr:row>
                    <xdr:rowOff>9525</xdr:rowOff>
                  </to>
                </anchor>
              </controlPr>
            </control>
          </mc:Choice>
        </mc:AlternateContent>
        <mc:AlternateContent xmlns:mc="http://schemas.openxmlformats.org/markup-compatibility/2006">
          <mc:Choice Requires="x14">
            <control shapeId="19655" r:id="rId202" name="Check Box 199">
              <controlPr locked="0" defaultSize="0" autoFill="0" autoLine="0" autoPict="0">
                <anchor moveWithCells="1">
                  <from>
                    <xdr:col>6</xdr:col>
                    <xdr:colOff>228600</xdr:colOff>
                    <xdr:row>74</xdr:row>
                    <xdr:rowOff>257175</xdr:rowOff>
                  </from>
                  <to>
                    <xdr:col>8</xdr:col>
                    <xdr:colOff>28575</xdr:colOff>
                    <xdr:row>76</xdr:row>
                    <xdr:rowOff>19050</xdr:rowOff>
                  </to>
                </anchor>
              </controlPr>
            </control>
          </mc:Choice>
        </mc:AlternateContent>
        <mc:AlternateContent xmlns:mc="http://schemas.openxmlformats.org/markup-compatibility/2006">
          <mc:Choice Requires="x14">
            <control shapeId="19656" r:id="rId203" name="Check Box 200">
              <controlPr locked="0" defaultSize="0" autoFill="0" autoLine="0" autoPict="0">
                <anchor moveWithCells="1">
                  <from>
                    <xdr:col>11</xdr:col>
                    <xdr:colOff>352425</xdr:colOff>
                    <xdr:row>74</xdr:row>
                    <xdr:rowOff>257175</xdr:rowOff>
                  </from>
                  <to>
                    <xdr:col>13</xdr:col>
                    <xdr:colOff>57150</xdr:colOff>
                    <xdr:row>76</xdr:row>
                    <xdr:rowOff>19050</xdr:rowOff>
                  </to>
                </anchor>
              </controlPr>
            </control>
          </mc:Choice>
        </mc:AlternateContent>
        <mc:AlternateContent xmlns:mc="http://schemas.openxmlformats.org/markup-compatibility/2006">
          <mc:Choice Requires="x14">
            <control shapeId="19657" r:id="rId204" name="Check Box 201">
              <controlPr locked="0" defaultSize="0" autoFill="0" autoLine="0" autoPict="0">
                <anchor moveWithCells="1">
                  <from>
                    <xdr:col>18</xdr:col>
                    <xdr:colOff>19050</xdr:colOff>
                    <xdr:row>74</xdr:row>
                    <xdr:rowOff>257175</xdr:rowOff>
                  </from>
                  <to>
                    <xdr:col>19</xdr:col>
                    <xdr:colOff>76200</xdr:colOff>
                    <xdr:row>76</xdr:row>
                    <xdr:rowOff>19050</xdr:rowOff>
                  </to>
                </anchor>
              </controlPr>
            </control>
          </mc:Choice>
        </mc:AlternateContent>
        <mc:AlternateContent xmlns:mc="http://schemas.openxmlformats.org/markup-compatibility/2006">
          <mc:Choice Requires="x14">
            <control shapeId="19658" r:id="rId205" name="Check Box 202">
              <controlPr locked="0" defaultSize="0" autoFill="0" autoLine="0" autoPict="0">
                <anchor moveWithCells="1">
                  <from>
                    <xdr:col>6</xdr:col>
                    <xdr:colOff>66675</xdr:colOff>
                    <xdr:row>77</xdr:row>
                    <xdr:rowOff>180975</xdr:rowOff>
                  </from>
                  <to>
                    <xdr:col>7</xdr:col>
                    <xdr:colOff>28575</xdr:colOff>
                    <xdr:row>79</xdr:row>
                    <xdr:rowOff>9525</xdr:rowOff>
                  </to>
                </anchor>
              </controlPr>
            </control>
          </mc:Choice>
        </mc:AlternateContent>
        <mc:AlternateContent xmlns:mc="http://schemas.openxmlformats.org/markup-compatibility/2006">
          <mc:Choice Requires="x14">
            <control shapeId="19659" r:id="rId206" name="Check Box 203">
              <controlPr locked="0" defaultSize="0" autoFill="0" autoLine="0" autoPict="0">
                <anchor moveWithCells="1">
                  <from>
                    <xdr:col>11</xdr:col>
                    <xdr:colOff>352425</xdr:colOff>
                    <xdr:row>77</xdr:row>
                    <xdr:rowOff>180975</xdr:rowOff>
                  </from>
                  <to>
                    <xdr:col>13</xdr:col>
                    <xdr:colOff>57150</xdr:colOff>
                    <xdr:row>79</xdr:row>
                    <xdr:rowOff>9525</xdr:rowOff>
                  </to>
                </anchor>
              </controlPr>
            </control>
          </mc:Choice>
        </mc:AlternateContent>
        <mc:AlternateContent xmlns:mc="http://schemas.openxmlformats.org/markup-compatibility/2006">
          <mc:Choice Requires="x14">
            <control shapeId="19660" r:id="rId207" name="Check Box 204">
              <controlPr locked="0" defaultSize="0" autoFill="0" autoLine="0" autoPict="0">
                <anchor moveWithCells="1">
                  <from>
                    <xdr:col>17</xdr:col>
                    <xdr:colOff>47625</xdr:colOff>
                    <xdr:row>77</xdr:row>
                    <xdr:rowOff>180975</xdr:rowOff>
                  </from>
                  <to>
                    <xdr:col>18</xdr:col>
                    <xdr:colOff>28575</xdr:colOff>
                    <xdr:row>79</xdr:row>
                    <xdr:rowOff>9525</xdr:rowOff>
                  </to>
                </anchor>
              </controlPr>
            </control>
          </mc:Choice>
        </mc:AlternateContent>
        <mc:AlternateContent xmlns:mc="http://schemas.openxmlformats.org/markup-compatibility/2006">
          <mc:Choice Requires="x14">
            <control shapeId="19661" r:id="rId208" name="Check Box 205">
              <controlPr locked="0" defaultSize="0" autoFill="0" autoLine="0" autoPict="0">
                <anchor moveWithCells="1">
                  <from>
                    <xdr:col>4</xdr:col>
                    <xdr:colOff>85725</xdr:colOff>
                    <xdr:row>80</xdr:row>
                    <xdr:rowOff>180975</xdr:rowOff>
                  </from>
                  <to>
                    <xdr:col>5</xdr:col>
                    <xdr:colOff>47625</xdr:colOff>
                    <xdr:row>82</xdr:row>
                    <xdr:rowOff>9525</xdr:rowOff>
                  </to>
                </anchor>
              </controlPr>
            </control>
          </mc:Choice>
        </mc:AlternateContent>
        <mc:AlternateContent xmlns:mc="http://schemas.openxmlformats.org/markup-compatibility/2006">
          <mc:Choice Requires="x14">
            <control shapeId="19662" r:id="rId209" name="Check Box 206">
              <controlPr locked="0" defaultSize="0" autoFill="0" autoLine="0" autoPict="0">
                <anchor moveWithCells="1">
                  <from>
                    <xdr:col>6</xdr:col>
                    <xdr:colOff>247650</xdr:colOff>
                    <xdr:row>80</xdr:row>
                    <xdr:rowOff>180975</xdr:rowOff>
                  </from>
                  <to>
                    <xdr:col>8</xdr:col>
                    <xdr:colOff>47625</xdr:colOff>
                    <xdr:row>82</xdr:row>
                    <xdr:rowOff>9525</xdr:rowOff>
                  </to>
                </anchor>
              </controlPr>
            </control>
          </mc:Choice>
        </mc:AlternateContent>
        <mc:AlternateContent xmlns:mc="http://schemas.openxmlformats.org/markup-compatibility/2006">
          <mc:Choice Requires="x14">
            <control shapeId="19663" r:id="rId210" name="Check Box 207">
              <controlPr locked="0" defaultSize="0" autoFill="0" autoLine="0" autoPict="0">
                <anchor moveWithCells="1">
                  <from>
                    <xdr:col>13</xdr:col>
                    <xdr:colOff>57150</xdr:colOff>
                    <xdr:row>80</xdr:row>
                    <xdr:rowOff>180975</xdr:rowOff>
                  </from>
                  <to>
                    <xdr:col>14</xdr:col>
                    <xdr:colOff>38100</xdr:colOff>
                    <xdr:row>82</xdr:row>
                    <xdr:rowOff>9525</xdr:rowOff>
                  </to>
                </anchor>
              </controlPr>
            </control>
          </mc:Choice>
        </mc:AlternateContent>
        <mc:AlternateContent xmlns:mc="http://schemas.openxmlformats.org/markup-compatibility/2006">
          <mc:Choice Requires="x14">
            <control shapeId="19664" r:id="rId211" name="Check Box 208">
              <controlPr locked="0" defaultSize="0" autoFill="0" autoLine="0" autoPict="0">
                <anchor moveWithCells="1">
                  <from>
                    <xdr:col>3</xdr:col>
                    <xdr:colOff>419100</xdr:colOff>
                    <xdr:row>83</xdr:row>
                    <xdr:rowOff>180975</xdr:rowOff>
                  </from>
                  <to>
                    <xdr:col>4</xdr:col>
                    <xdr:colOff>123825</xdr:colOff>
                    <xdr:row>85</xdr:row>
                    <xdr:rowOff>9525</xdr:rowOff>
                  </to>
                </anchor>
              </controlPr>
            </control>
          </mc:Choice>
        </mc:AlternateContent>
        <mc:AlternateContent xmlns:mc="http://schemas.openxmlformats.org/markup-compatibility/2006">
          <mc:Choice Requires="x14">
            <control shapeId="19665" r:id="rId212" name="Check Box 209">
              <controlPr locked="0" defaultSize="0" autoFill="0" autoLine="0" autoPict="0">
                <anchor moveWithCells="1">
                  <from>
                    <xdr:col>7</xdr:col>
                    <xdr:colOff>152400</xdr:colOff>
                    <xdr:row>83</xdr:row>
                    <xdr:rowOff>180975</xdr:rowOff>
                  </from>
                  <to>
                    <xdr:col>9</xdr:col>
                    <xdr:colOff>19050</xdr:colOff>
                    <xdr:row>85</xdr:row>
                    <xdr:rowOff>9525</xdr:rowOff>
                  </to>
                </anchor>
              </controlPr>
            </control>
          </mc:Choice>
        </mc:AlternateContent>
        <mc:AlternateContent xmlns:mc="http://schemas.openxmlformats.org/markup-compatibility/2006">
          <mc:Choice Requires="x14">
            <control shapeId="19666" r:id="rId213" name="Check Box 210">
              <controlPr locked="0" defaultSize="0" autoFill="0" autoLine="0" autoPict="0">
                <anchor moveWithCells="1">
                  <from>
                    <xdr:col>13</xdr:col>
                    <xdr:colOff>19050</xdr:colOff>
                    <xdr:row>83</xdr:row>
                    <xdr:rowOff>180975</xdr:rowOff>
                  </from>
                  <to>
                    <xdr:col>14</xdr:col>
                    <xdr:colOff>0</xdr:colOff>
                    <xdr:row>85</xdr:row>
                    <xdr:rowOff>9525</xdr:rowOff>
                  </to>
                </anchor>
              </controlPr>
            </control>
          </mc:Choice>
        </mc:AlternateContent>
        <mc:AlternateContent xmlns:mc="http://schemas.openxmlformats.org/markup-compatibility/2006">
          <mc:Choice Requires="x14">
            <control shapeId="19667" r:id="rId214" name="Check Box 211">
              <controlPr locked="0" defaultSize="0" autoFill="0" autoLine="0" autoPict="0">
                <anchor moveWithCells="1">
                  <from>
                    <xdr:col>6</xdr:col>
                    <xdr:colOff>238125</xdr:colOff>
                    <xdr:row>86</xdr:row>
                    <xdr:rowOff>180975</xdr:rowOff>
                  </from>
                  <to>
                    <xdr:col>8</xdr:col>
                    <xdr:colOff>38100</xdr:colOff>
                    <xdr:row>88</xdr:row>
                    <xdr:rowOff>9525</xdr:rowOff>
                  </to>
                </anchor>
              </controlPr>
            </control>
          </mc:Choice>
        </mc:AlternateContent>
        <mc:AlternateContent xmlns:mc="http://schemas.openxmlformats.org/markup-compatibility/2006">
          <mc:Choice Requires="x14">
            <control shapeId="19668" r:id="rId215" name="Check Box 212">
              <controlPr locked="0" defaultSize="0" autoFill="0" autoLine="0" autoPict="0">
                <anchor moveWithCells="1">
                  <from>
                    <xdr:col>10</xdr:col>
                    <xdr:colOff>161925</xdr:colOff>
                    <xdr:row>86</xdr:row>
                    <xdr:rowOff>180975</xdr:rowOff>
                  </from>
                  <to>
                    <xdr:col>12</xdr:col>
                    <xdr:colOff>0</xdr:colOff>
                    <xdr:row>88</xdr:row>
                    <xdr:rowOff>9525</xdr:rowOff>
                  </to>
                </anchor>
              </controlPr>
            </control>
          </mc:Choice>
        </mc:AlternateContent>
        <mc:AlternateContent xmlns:mc="http://schemas.openxmlformats.org/markup-compatibility/2006">
          <mc:Choice Requires="x14">
            <control shapeId="19669" r:id="rId216" name="Check Box 213">
              <controlPr locked="0" defaultSize="0" autoFill="0" autoLine="0" autoPict="0">
                <anchor moveWithCells="1">
                  <from>
                    <xdr:col>14</xdr:col>
                    <xdr:colOff>180975</xdr:colOff>
                    <xdr:row>86</xdr:row>
                    <xdr:rowOff>180975</xdr:rowOff>
                  </from>
                  <to>
                    <xdr:col>15</xdr:col>
                    <xdr:colOff>161925</xdr:colOff>
                    <xdr:row>88</xdr:row>
                    <xdr:rowOff>9525</xdr:rowOff>
                  </to>
                </anchor>
              </controlPr>
            </control>
          </mc:Choice>
        </mc:AlternateContent>
        <mc:AlternateContent xmlns:mc="http://schemas.openxmlformats.org/markup-compatibility/2006">
          <mc:Choice Requires="x14">
            <control shapeId="19670" r:id="rId217" name="Check Box 214">
              <controlPr locked="0" defaultSize="0" autoFill="0" autoLine="0" autoPict="0">
                <anchor moveWithCells="1">
                  <from>
                    <xdr:col>6</xdr:col>
                    <xdr:colOff>228600</xdr:colOff>
                    <xdr:row>92</xdr:row>
                    <xdr:rowOff>257175</xdr:rowOff>
                  </from>
                  <to>
                    <xdr:col>8</xdr:col>
                    <xdr:colOff>28575</xdr:colOff>
                    <xdr:row>94</xdr:row>
                    <xdr:rowOff>19050</xdr:rowOff>
                  </to>
                </anchor>
              </controlPr>
            </control>
          </mc:Choice>
        </mc:AlternateContent>
        <mc:AlternateContent xmlns:mc="http://schemas.openxmlformats.org/markup-compatibility/2006">
          <mc:Choice Requires="x14">
            <control shapeId="19671" r:id="rId218" name="Check Box 215">
              <controlPr locked="0" defaultSize="0" autoFill="0" autoLine="0" autoPict="0">
                <anchor moveWithCells="1">
                  <from>
                    <xdr:col>11</xdr:col>
                    <xdr:colOff>352425</xdr:colOff>
                    <xdr:row>92</xdr:row>
                    <xdr:rowOff>257175</xdr:rowOff>
                  </from>
                  <to>
                    <xdr:col>13</xdr:col>
                    <xdr:colOff>57150</xdr:colOff>
                    <xdr:row>94</xdr:row>
                    <xdr:rowOff>19050</xdr:rowOff>
                  </to>
                </anchor>
              </controlPr>
            </control>
          </mc:Choice>
        </mc:AlternateContent>
        <mc:AlternateContent xmlns:mc="http://schemas.openxmlformats.org/markup-compatibility/2006">
          <mc:Choice Requires="x14">
            <control shapeId="19672" r:id="rId219" name="Check Box 216">
              <controlPr locked="0" defaultSize="0" autoFill="0" autoLine="0" autoPict="0">
                <anchor moveWithCells="1">
                  <from>
                    <xdr:col>18</xdr:col>
                    <xdr:colOff>19050</xdr:colOff>
                    <xdr:row>92</xdr:row>
                    <xdr:rowOff>257175</xdr:rowOff>
                  </from>
                  <to>
                    <xdr:col>19</xdr:col>
                    <xdr:colOff>76200</xdr:colOff>
                    <xdr:row>94</xdr:row>
                    <xdr:rowOff>19050</xdr:rowOff>
                  </to>
                </anchor>
              </controlPr>
            </control>
          </mc:Choice>
        </mc:AlternateContent>
        <mc:AlternateContent xmlns:mc="http://schemas.openxmlformats.org/markup-compatibility/2006">
          <mc:Choice Requires="x14">
            <control shapeId="19673" r:id="rId220" name="Check Box 217">
              <controlPr locked="0" defaultSize="0" autoFill="0" autoLine="0" autoPict="0">
                <anchor moveWithCells="1">
                  <from>
                    <xdr:col>6</xdr:col>
                    <xdr:colOff>66675</xdr:colOff>
                    <xdr:row>95</xdr:row>
                    <xdr:rowOff>180975</xdr:rowOff>
                  </from>
                  <to>
                    <xdr:col>7</xdr:col>
                    <xdr:colOff>28575</xdr:colOff>
                    <xdr:row>97</xdr:row>
                    <xdr:rowOff>9525</xdr:rowOff>
                  </to>
                </anchor>
              </controlPr>
            </control>
          </mc:Choice>
        </mc:AlternateContent>
        <mc:AlternateContent xmlns:mc="http://schemas.openxmlformats.org/markup-compatibility/2006">
          <mc:Choice Requires="x14">
            <control shapeId="19674" r:id="rId221" name="Check Box 218">
              <controlPr locked="0" defaultSize="0" autoFill="0" autoLine="0" autoPict="0">
                <anchor moveWithCells="1">
                  <from>
                    <xdr:col>11</xdr:col>
                    <xdr:colOff>352425</xdr:colOff>
                    <xdr:row>95</xdr:row>
                    <xdr:rowOff>180975</xdr:rowOff>
                  </from>
                  <to>
                    <xdr:col>13</xdr:col>
                    <xdr:colOff>57150</xdr:colOff>
                    <xdr:row>97</xdr:row>
                    <xdr:rowOff>9525</xdr:rowOff>
                  </to>
                </anchor>
              </controlPr>
            </control>
          </mc:Choice>
        </mc:AlternateContent>
        <mc:AlternateContent xmlns:mc="http://schemas.openxmlformats.org/markup-compatibility/2006">
          <mc:Choice Requires="x14">
            <control shapeId="19675" r:id="rId222" name="Check Box 219">
              <controlPr locked="0" defaultSize="0" autoFill="0" autoLine="0" autoPict="0">
                <anchor moveWithCells="1">
                  <from>
                    <xdr:col>17</xdr:col>
                    <xdr:colOff>47625</xdr:colOff>
                    <xdr:row>95</xdr:row>
                    <xdr:rowOff>180975</xdr:rowOff>
                  </from>
                  <to>
                    <xdr:col>18</xdr:col>
                    <xdr:colOff>28575</xdr:colOff>
                    <xdr:row>97</xdr:row>
                    <xdr:rowOff>9525</xdr:rowOff>
                  </to>
                </anchor>
              </controlPr>
            </control>
          </mc:Choice>
        </mc:AlternateContent>
        <mc:AlternateContent xmlns:mc="http://schemas.openxmlformats.org/markup-compatibility/2006">
          <mc:Choice Requires="x14">
            <control shapeId="19676" r:id="rId223" name="Check Box 220">
              <controlPr locked="0" defaultSize="0" autoFill="0" autoLine="0" autoPict="0">
                <anchor moveWithCells="1">
                  <from>
                    <xdr:col>4</xdr:col>
                    <xdr:colOff>85725</xdr:colOff>
                    <xdr:row>98</xdr:row>
                    <xdr:rowOff>180975</xdr:rowOff>
                  </from>
                  <to>
                    <xdr:col>5</xdr:col>
                    <xdr:colOff>47625</xdr:colOff>
                    <xdr:row>100</xdr:row>
                    <xdr:rowOff>9525</xdr:rowOff>
                  </to>
                </anchor>
              </controlPr>
            </control>
          </mc:Choice>
        </mc:AlternateContent>
        <mc:AlternateContent xmlns:mc="http://schemas.openxmlformats.org/markup-compatibility/2006">
          <mc:Choice Requires="x14">
            <control shapeId="19677" r:id="rId224" name="Check Box 221">
              <controlPr locked="0" defaultSize="0" autoFill="0" autoLine="0" autoPict="0">
                <anchor moveWithCells="1">
                  <from>
                    <xdr:col>6</xdr:col>
                    <xdr:colOff>247650</xdr:colOff>
                    <xdr:row>98</xdr:row>
                    <xdr:rowOff>180975</xdr:rowOff>
                  </from>
                  <to>
                    <xdr:col>8</xdr:col>
                    <xdr:colOff>47625</xdr:colOff>
                    <xdr:row>100</xdr:row>
                    <xdr:rowOff>9525</xdr:rowOff>
                  </to>
                </anchor>
              </controlPr>
            </control>
          </mc:Choice>
        </mc:AlternateContent>
        <mc:AlternateContent xmlns:mc="http://schemas.openxmlformats.org/markup-compatibility/2006">
          <mc:Choice Requires="x14">
            <control shapeId="19678" r:id="rId225" name="Check Box 222">
              <controlPr locked="0" defaultSize="0" autoFill="0" autoLine="0" autoPict="0">
                <anchor moveWithCells="1">
                  <from>
                    <xdr:col>13</xdr:col>
                    <xdr:colOff>57150</xdr:colOff>
                    <xdr:row>98</xdr:row>
                    <xdr:rowOff>180975</xdr:rowOff>
                  </from>
                  <to>
                    <xdr:col>14</xdr:col>
                    <xdr:colOff>38100</xdr:colOff>
                    <xdr:row>100</xdr:row>
                    <xdr:rowOff>9525</xdr:rowOff>
                  </to>
                </anchor>
              </controlPr>
            </control>
          </mc:Choice>
        </mc:AlternateContent>
        <mc:AlternateContent xmlns:mc="http://schemas.openxmlformats.org/markup-compatibility/2006">
          <mc:Choice Requires="x14">
            <control shapeId="19679" r:id="rId226" name="Check Box 223">
              <controlPr locked="0" defaultSize="0" autoFill="0" autoLine="0" autoPict="0">
                <anchor moveWithCells="1">
                  <from>
                    <xdr:col>3</xdr:col>
                    <xdr:colOff>419100</xdr:colOff>
                    <xdr:row>101</xdr:row>
                    <xdr:rowOff>180975</xdr:rowOff>
                  </from>
                  <to>
                    <xdr:col>4</xdr:col>
                    <xdr:colOff>123825</xdr:colOff>
                    <xdr:row>103</xdr:row>
                    <xdr:rowOff>9525</xdr:rowOff>
                  </to>
                </anchor>
              </controlPr>
            </control>
          </mc:Choice>
        </mc:AlternateContent>
        <mc:AlternateContent xmlns:mc="http://schemas.openxmlformats.org/markup-compatibility/2006">
          <mc:Choice Requires="x14">
            <control shapeId="19680" r:id="rId227" name="Check Box 224">
              <controlPr locked="0" defaultSize="0" autoFill="0" autoLine="0" autoPict="0">
                <anchor moveWithCells="1">
                  <from>
                    <xdr:col>7</xdr:col>
                    <xdr:colOff>152400</xdr:colOff>
                    <xdr:row>101</xdr:row>
                    <xdr:rowOff>180975</xdr:rowOff>
                  </from>
                  <to>
                    <xdr:col>9</xdr:col>
                    <xdr:colOff>19050</xdr:colOff>
                    <xdr:row>103</xdr:row>
                    <xdr:rowOff>9525</xdr:rowOff>
                  </to>
                </anchor>
              </controlPr>
            </control>
          </mc:Choice>
        </mc:AlternateContent>
        <mc:AlternateContent xmlns:mc="http://schemas.openxmlformats.org/markup-compatibility/2006">
          <mc:Choice Requires="x14">
            <control shapeId="19681" r:id="rId228" name="Check Box 225">
              <controlPr locked="0" defaultSize="0" autoFill="0" autoLine="0" autoPict="0">
                <anchor moveWithCells="1">
                  <from>
                    <xdr:col>13</xdr:col>
                    <xdr:colOff>19050</xdr:colOff>
                    <xdr:row>101</xdr:row>
                    <xdr:rowOff>180975</xdr:rowOff>
                  </from>
                  <to>
                    <xdr:col>14</xdr:col>
                    <xdr:colOff>0</xdr:colOff>
                    <xdr:row>103</xdr:row>
                    <xdr:rowOff>9525</xdr:rowOff>
                  </to>
                </anchor>
              </controlPr>
            </control>
          </mc:Choice>
        </mc:AlternateContent>
        <mc:AlternateContent xmlns:mc="http://schemas.openxmlformats.org/markup-compatibility/2006">
          <mc:Choice Requires="x14">
            <control shapeId="19682" r:id="rId229" name="Check Box 226">
              <controlPr locked="0" defaultSize="0" autoFill="0" autoLine="0" autoPict="0">
                <anchor moveWithCells="1">
                  <from>
                    <xdr:col>6</xdr:col>
                    <xdr:colOff>238125</xdr:colOff>
                    <xdr:row>104</xdr:row>
                    <xdr:rowOff>180975</xdr:rowOff>
                  </from>
                  <to>
                    <xdr:col>8</xdr:col>
                    <xdr:colOff>38100</xdr:colOff>
                    <xdr:row>106</xdr:row>
                    <xdr:rowOff>9525</xdr:rowOff>
                  </to>
                </anchor>
              </controlPr>
            </control>
          </mc:Choice>
        </mc:AlternateContent>
        <mc:AlternateContent xmlns:mc="http://schemas.openxmlformats.org/markup-compatibility/2006">
          <mc:Choice Requires="x14">
            <control shapeId="19683" r:id="rId230" name="Check Box 227">
              <controlPr locked="0" defaultSize="0" autoFill="0" autoLine="0" autoPict="0">
                <anchor moveWithCells="1">
                  <from>
                    <xdr:col>10</xdr:col>
                    <xdr:colOff>161925</xdr:colOff>
                    <xdr:row>104</xdr:row>
                    <xdr:rowOff>180975</xdr:rowOff>
                  </from>
                  <to>
                    <xdr:col>12</xdr:col>
                    <xdr:colOff>0</xdr:colOff>
                    <xdr:row>106</xdr:row>
                    <xdr:rowOff>9525</xdr:rowOff>
                  </to>
                </anchor>
              </controlPr>
            </control>
          </mc:Choice>
        </mc:AlternateContent>
        <mc:AlternateContent xmlns:mc="http://schemas.openxmlformats.org/markup-compatibility/2006">
          <mc:Choice Requires="x14">
            <control shapeId="19684" r:id="rId231" name="Check Box 228">
              <controlPr locked="0" defaultSize="0" autoFill="0" autoLine="0" autoPict="0">
                <anchor moveWithCells="1">
                  <from>
                    <xdr:col>14</xdr:col>
                    <xdr:colOff>180975</xdr:colOff>
                    <xdr:row>104</xdr:row>
                    <xdr:rowOff>180975</xdr:rowOff>
                  </from>
                  <to>
                    <xdr:col>15</xdr:col>
                    <xdr:colOff>161925</xdr:colOff>
                    <xdr:row>106</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81CC1-ACDD-4E65-BE25-30D197582DCC}">
  <sheetPr codeName="Sheet7">
    <tabColor theme="9" tint="0.59999389629810485"/>
    <pageSetUpPr fitToPage="1"/>
  </sheetPr>
  <dimension ref="A2:BB74"/>
  <sheetViews>
    <sheetView zoomScaleNormal="100" workbookViewId="0">
      <selection activeCell="W35" sqref="W35"/>
    </sheetView>
  </sheetViews>
  <sheetFormatPr defaultColWidth="2.625" defaultRowHeight="12" customHeight="1" x14ac:dyDescent="0.4"/>
  <cols>
    <col min="1" max="21" width="2.625" style="155"/>
    <col min="22" max="22" width="2.625" style="155" customWidth="1"/>
    <col min="23" max="37" width="2.625" style="155"/>
    <col min="38" max="44" width="2.625" style="157"/>
    <col min="45" max="45" width="3.5" style="157" bestFit="1" customWidth="1"/>
    <col min="46" max="300" width="2.625" style="157"/>
    <col min="301" max="301" width="3.5" style="157" bestFit="1" customWidth="1"/>
    <col min="302" max="556" width="2.625" style="157"/>
    <col min="557" max="557" width="3.5" style="157" bestFit="1" customWidth="1"/>
    <col min="558" max="812" width="2.625" style="157"/>
    <col min="813" max="813" width="3.5" style="157" bestFit="1" customWidth="1"/>
    <col min="814" max="1068" width="2.625" style="157"/>
    <col min="1069" max="1069" width="3.5" style="157" bestFit="1" customWidth="1"/>
    <col min="1070" max="1324" width="2.625" style="157"/>
    <col min="1325" max="1325" width="3.5" style="157" bestFit="1" customWidth="1"/>
    <col min="1326" max="1580" width="2.625" style="157"/>
    <col min="1581" max="1581" width="3.5" style="157" bestFit="1" customWidth="1"/>
    <col min="1582" max="1836" width="2.625" style="157"/>
    <col min="1837" max="1837" width="3.5" style="157" bestFit="1" customWidth="1"/>
    <col min="1838" max="2092" width="2.625" style="157"/>
    <col min="2093" max="2093" width="3.5" style="157" bestFit="1" customWidth="1"/>
    <col min="2094" max="2348" width="2.625" style="157"/>
    <col min="2349" max="2349" width="3.5" style="157" bestFit="1" customWidth="1"/>
    <col min="2350" max="2604" width="2.625" style="157"/>
    <col min="2605" max="2605" width="3.5" style="157" bestFit="1" customWidth="1"/>
    <col min="2606" max="2860" width="2.625" style="157"/>
    <col min="2861" max="2861" width="3.5" style="157" bestFit="1" customWidth="1"/>
    <col min="2862" max="3116" width="2.625" style="157"/>
    <col min="3117" max="3117" width="3.5" style="157" bestFit="1" customWidth="1"/>
    <col min="3118" max="3372" width="2.625" style="157"/>
    <col min="3373" max="3373" width="3.5" style="157" bestFit="1" customWidth="1"/>
    <col min="3374" max="3628" width="2.625" style="157"/>
    <col min="3629" max="3629" width="3.5" style="157" bestFit="1" customWidth="1"/>
    <col min="3630" max="3884" width="2.625" style="157"/>
    <col min="3885" max="3885" width="3.5" style="157" bestFit="1" customWidth="1"/>
    <col min="3886" max="4140" width="2.625" style="157"/>
    <col min="4141" max="4141" width="3.5" style="157" bestFit="1" customWidth="1"/>
    <col min="4142" max="4396" width="2.625" style="157"/>
    <col min="4397" max="4397" width="3.5" style="157" bestFit="1" customWidth="1"/>
    <col min="4398" max="4652" width="2.625" style="157"/>
    <col min="4653" max="4653" width="3.5" style="157" bestFit="1" customWidth="1"/>
    <col min="4654" max="4908" width="2.625" style="157"/>
    <col min="4909" max="4909" width="3.5" style="157" bestFit="1" customWidth="1"/>
    <col min="4910" max="5164" width="2.625" style="157"/>
    <col min="5165" max="5165" width="3.5" style="157" bestFit="1" customWidth="1"/>
    <col min="5166" max="5420" width="2.625" style="157"/>
    <col min="5421" max="5421" width="3.5" style="157" bestFit="1" customWidth="1"/>
    <col min="5422" max="5676" width="2.625" style="157"/>
    <col min="5677" max="5677" width="3.5" style="157" bestFit="1" customWidth="1"/>
    <col min="5678" max="5932" width="2.625" style="157"/>
    <col min="5933" max="5933" width="3.5" style="157" bestFit="1" customWidth="1"/>
    <col min="5934" max="6188" width="2.625" style="157"/>
    <col min="6189" max="6189" width="3.5" style="157" bestFit="1" customWidth="1"/>
    <col min="6190" max="6444" width="2.625" style="157"/>
    <col min="6445" max="6445" width="3.5" style="157" bestFit="1" customWidth="1"/>
    <col min="6446" max="6700" width="2.625" style="157"/>
    <col min="6701" max="6701" width="3.5" style="157" bestFit="1" customWidth="1"/>
    <col min="6702" max="6956" width="2.625" style="157"/>
    <col min="6957" max="6957" width="3.5" style="157" bestFit="1" customWidth="1"/>
    <col min="6958" max="7212" width="2.625" style="157"/>
    <col min="7213" max="7213" width="3.5" style="157" bestFit="1" customWidth="1"/>
    <col min="7214" max="7468" width="2.625" style="157"/>
    <col min="7469" max="7469" width="3.5" style="157" bestFit="1" customWidth="1"/>
    <col min="7470" max="7724" width="2.625" style="157"/>
    <col min="7725" max="7725" width="3.5" style="157" bestFit="1" customWidth="1"/>
    <col min="7726" max="7980" width="2.625" style="157"/>
    <col min="7981" max="7981" width="3.5" style="157" bestFit="1" customWidth="1"/>
    <col min="7982" max="8236" width="2.625" style="157"/>
    <col min="8237" max="8237" width="3.5" style="157" bestFit="1" customWidth="1"/>
    <col min="8238" max="8492" width="2.625" style="157"/>
    <col min="8493" max="8493" width="3.5" style="157" bestFit="1" customWidth="1"/>
    <col min="8494" max="8748" width="2.625" style="157"/>
    <col min="8749" max="8749" width="3.5" style="157" bestFit="1" customWidth="1"/>
    <col min="8750" max="9004" width="2.625" style="157"/>
    <col min="9005" max="9005" width="3.5" style="157" bestFit="1" customWidth="1"/>
    <col min="9006" max="9260" width="2.625" style="157"/>
    <col min="9261" max="9261" width="3.5" style="157" bestFit="1" customWidth="1"/>
    <col min="9262" max="9516" width="2.625" style="157"/>
    <col min="9517" max="9517" width="3.5" style="157" bestFit="1" customWidth="1"/>
    <col min="9518" max="9772" width="2.625" style="157"/>
    <col min="9773" max="9773" width="3.5" style="157" bestFit="1" customWidth="1"/>
    <col min="9774" max="10028" width="2.625" style="157"/>
    <col min="10029" max="10029" width="3.5" style="157" bestFit="1" customWidth="1"/>
    <col min="10030" max="10284" width="2.625" style="157"/>
    <col min="10285" max="10285" width="3.5" style="157" bestFit="1" customWidth="1"/>
    <col min="10286" max="10540" width="2.625" style="157"/>
    <col min="10541" max="10541" width="3.5" style="157" bestFit="1" customWidth="1"/>
    <col min="10542" max="10796" width="2.625" style="157"/>
    <col min="10797" max="10797" width="3.5" style="157" bestFit="1" customWidth="1"/>
    <col min="10798" max="11052" width="2.625" style="157"/>
    <col min="11053" max="11053" width="3.5" style="157" bestFit="1" customWidth="1"/>
    <col min="11054" max="11308" width="2.625" style="157"/>
    <col min="11309" max="11309" width="3.5" style="157" bestFit="1" customWidth="1"/>
    <col min="11310" max="11564" width="2.625" style="157"/>
    <col min="11565" max="11565" width="3.5" style="157" bestFit="1" customWidth="1"/>
    <col min="11566" max="11820" width="2.625" style="157"/>
    <col min="11821" max="11821" width="3.5" style="157" bestFit="1" customWidth="1"/>
    <col min="11822" max="12076" width="2.625" style="157"/>
    <col min="12077" max="12077" width="3.5" style="157" bestFit="1" customWidth="1"/>
    <col min="12078" max="12332" width="2.625" style="157"/>
    <col min="12333" max="12333" width="3.5" style="157" bestFit="1" customWidth="1"/>
    <col min="12334" max="12588" width="2.625" style="157"/>
    <col min="12589" max="12589" width="3.5" style="157" bestFit="1" customWidth="1"/>
    <col min="12590" max="12844" width="2.625" style="157"/>
    <col min="12845" max="12845" width="3.5" style="157" bestFit="1" customWidth="1"/>
    <col min="12846" max="13100" width="2.625" style="157"/>
    <col min="13101" max="13101" width="3.5" style="157" bestFit="1" customWidth="1"/>
    <col min="13102" max="13356" width="2.625" style="157"/>
    <col min="13357" max="13357" width="3.5" style="157" bestFit="1" customWidth="1"/>
    <col min="13358" max="13612" width="2.625" style="157"/>
    <col min="13613" max="13613" width="3.5" style="157" bestFit="1" customWidth="1"/>
    <col min="13614" max="13868" width="2.625" style="157"/>
    <col min="13869" max="13869" width="3.5" style="157" bestFit="1" customWidth="1"/>
    <col min="13870" max="14124" width="2.625" style="157"/>
    <col min="14125" max="14125" width="3.5" style="157" bestFit="1" customWidth="1"/>
    <col min="14126" max="14380" width="2.625" style="157"/>
    <col min="14381" max="14381" width="3.5" style="157" bestFit="1" customWidth="1"/>
    <col min="14382" max="14636" width="2.625" style="157"/>
    <col min="14637" max="14637" width="3.5" style="157" bestFit="1" customWidth="1"/>
    <col min="14638" max="14892" width="2.625" style="157"/>
    <col min="14893" max="14893" width="3.5" style="157" bestFit="1" customWidth="1"/>
    <col min="14894" max="15148" width="2.625" style="157"/>
    <col min="15149" max="15149" width="3.5" style="157" bestFit="1" customWidth="1"/>
    <col min="15150" max="15404" width="2.625" style="157"/>
    <col min="15405" max="15405" width="3.5" style="157" bestFit="1" customWidth="1"/>
    <col min="15406" max="15660" width="2.625" style="157"/>
    <col min="15661" max="15661" width="3.5" style="157" bestFit="1" customWidth="1"/>
    <col min="15662" max="15916" width="2.625" style="157"/>
    <col min="15917" max="15917" width="3.5" style="157" bestFit="1" customWidth="1"/>
    <col min="15918" max="16172" width="2.625" style="157"/>
    <col min="16173" max="16173" width="3.5" style="157" bestFit="1" customWidth="1"/>
    <col min="16174" max="16384" width="2.625" style="157"/>
  </cols>
  <sheetData>
    <row r="2" spans="1:54" ht="12" customHeight="1" x14ac:dyDescent="0.4">
      <c r="A2" s="1554" t="s">
        <v>1233</v>
      </c>
      <c r="B2" s="1554"/>
      <c r="C2" s="1554"/>
      <c r="D2" s="1554"/>
      <c r="E2" s="1554"/>
      <c r="F2" s="1554"/>
      <c r="G2" s="1554"/>
      <c r="H2" s="1554"/>
      <c r="I2" s="1554"/>
      <c r="J2" s="1554"/>
      <c r="K2" s="1554"/>
      <c r="L2" s="1555" t="s">
        <v>402</v>
      </c>
      <c r="M2" s="1555"/>
      <c r="Y2" s="156"/>
      <c r="Z2" s="156"/>
      <c r="AA2" s="156"/>
      <c r="AB2" s="156"/>
      <c r="AC2" s="1556">
        <f ca="1">TODAY()</f>
        <v>46096</v>
      </c>
      <c r="AD2" s="1556"/>
      <c r="AE2" s="1556"/>
      <c r="AF2" s="1556"/>
      <c r="AG2" s="1556"/>
      <c r="AH2" s="1556"/>
      <c r="AI2" s="1556"/>
      <c r="AJ2" s="1556"/>
      <c r="AK2" s="1556"/>
    </row>
    <row r="3" spans="1:54" ht="12" customHeight="1" x14ac:dyDescent="0.4">
      <c r="A3" s="1554"/>
      <c r="B3" s="1554"/>
      <c r="C3" s="1554"/>
      <c r="D3" s="1554"/>
      <c r="E3" s="1554"/>
      <c r="F3" s="1554"/>
      <c r="G3" s="1554"/>
      <c r="H3" s="1554"/>
      <c r="I3" s="1554"/>
      <c r="J3" s="1554"/>
      <c r="K3" s="1554"/>
      <c r="L3" s="1555"/>
      <c r="M3" s="1555"/>
      <c r="Y3" s="156"/>
      <c r="Z3" s="156"/>
      <c r="AA3" s="156"/>
      <c r="AB3" s="156"/>
      <c r="AC3" s="1556"/>
      <c r="AD3" s="1556"/>
      <c r="AE3" s="1556"/>
      <c r="AF3" s="1556"/>
      <c r="AG3" s="1556"/>
      <c r="AH3" s="1556"/>
      <c r="AI3" s="1556"/>
      <c r="AJ3" s="1556"/>
      <c r="AK3" s="1556"/>
    </row>
    <row r="4" spans="1:54" ht="12" customHeight="1" x14ac:dyDescent="0.4">
      <c r="A4" s="1557"/>
      <c r="B4" s="1557"/>
      <c r="C4" s="1557"/>
      <c r="D4" s="1557"/>
      <c r="E4" s="1557"/>
      <c r="F4" s="1557"/>
      <c r="G4" s="1557"/>
      <c r="H4" s="1557"/>
      <c r="I4" s="1557"/>
      <c r="J4" s="1557"/>
      <c r="K4" s="1557"/>
      <c r="L4" s="1555"/>
      <c r="M4" s="1555"/>
      <c r="Y4" s="1557" t="s">
        <v>405</v>
      </c>
      <c r="Z4" s="1557"/>
      <c r="AA4" s="1557"/>
      <c r="AB4" s="1557"/>
      <c r="AC4" s="1557"/>
      <c r="AD4" s="1557"/>
      <c r="AE4" s="1557"/>
      <c r="AF4" s="1557"/>
      <c r="AG4" s="1557"/>
      <c r="AH4" s="1557"/>
      <c r="AI4" s="1557"/>
      <c r="AJ4" s="1557"/>
      <c r="AK4" s="1557"/>
    </row>
    <row r="5" spans="1:54" ht="12" customHeight="1" x14ac:dyDescent="0.4">
      <c r="A5" s="1557"/>
      <c r="B5" s="1557"/>
      <c r="C5" s="1557"/>
      <c r="D5" s="1557"/>
      <c r="E5" s="1557"/>
      <c r="F5" s="1557"/>
      <c r="G5" s="1557"/>
      <c r="H5" s="1557"/>
      <c r="I5" s="1557"/>
      <c r="J5" s="1557"/>
      <c r="K5" s="1557"/>
      <c r="L5" s="1555"/>
      <c r="M5" s="1555"/>
      <c r="Y5" s="1557"/>
      <c r="Z5" s="1557"/>
      <c r="AA5" s="1557"/>
      <c r="AB5" s="1557"/>
      <c r="AC5" s="1557"/>
      <c r="AD5" s="1557"/>
      <c r="AE5" s="1557"/>
      <c r="AF5" s="1557"/>
      <c r="AG5" s="1557"/>
      <c r="AH5" s="1557"/>
      <c r="AI5" s="1557"/>
      <c r="AJ5" s="1557"/>
      <c r="AK5" s="1557"/>
    </row>
    <row r="6" spans="1:54" ht="12" customHeight="1" x14ac:dyDescent="0.4">
      <c r="Y6" s="156"/>
      <c r="Z6" s="156"/>
      <c r="AA6" s="156"/>
      <c r="AB6" s="156"/>
      <c r="AC6" s="156"/>
      <c r="AD6" s="1557">
        <f>'[2]（最新）アセスメントシート'!AG3</f>
        <v>0</v>
      </c>
      <c r="AE6" s="1557"/>
      <c r="AF6" s="1557"/>
      <c r="AG6" s="1557"/>
      <c r="AH6" s="1557"/>
      <c r="AI6" s="1557"/>
      <c r="AJ6" s="1557"/>
      <c r="AK6" s="1557"/>
    </row>
    <row r="7" spans="1:54" ht="12" customHeight="1" x14ac:dyDescent="0.4">
      <c r="Y7" s="156"/>
      <c r="Z7" s="156"/>
      <c r="AA7" s="156"/>
      <c r="AB7" s="156"/>
      <c r="AC7" s="156"/>
      <c r="AD7" s="1557"/>
      <c r="AE7" s="1557"/>
      <c r="AF7" s="1557"/>
      <c r="AG7" s="1557"/>
      <c r="AH7" s="1557"/>
      <c r="AI7" s="1557"/>
      <c r="AJ7" s="1557"/>
      <c r="AK7" s="1557"/>
    </row>
    <row r="9" spans="1:54" ht="12" customHeight="1" x14ac:dyDescent="0.4">
      <c r="A9" s="1560" t="s">
        <v>408</v>
      </c>
      <c r="B9" s="1560"/>
      <c r="C9" s="1560"/>
      <c r="D9" s="1560"/>
      <c r="E9" s="1560"/>
      <c r="F9" s="1560"/>
      <c r="G9" s="1560"/>
      <c r="H9" s="1560"/>
      <c r="I9" s="1560"/>
      <c r="J9" s="1560"/>
      <c r="K9" s="1560"/>
      <c r="L9" s="1560"/>
      <c r="M9" s="1560"/>
      <c r="N9" s="1560"/>
      <c r="O9" s="1560"/>
      <c r="P9" s="1560"/>
      <c r="Q9" s="1560"/>
      <c r="R9" s="1560"/>
      <c r="S9" s="1560"/>
      <c r="T9" s="1560"/>
      <c r="U9" s="1560"/>
      <c r="V9" s="1560"/>
      <c r="W9" s="1560"/>
      <c r="X9" s="1560"/>
      <c r="Y9" s="1560"/>
      <c r="Z9" s="1560"/>
      <c r="AA9" s="1560"/>
      <c r="AB9" s="1560"/>
      <c r="AC9" s="1560"/>
      <c r="AD9" s="1560"/>
      <c r="AE9" s="1560"/>
      <c r="AF9" s="1560"/>
      <c r="AG9" s="1560"/>
      <c r="AH9" s="1560"/>
      <c r="AI9" s="1560"/>
      <c r="AJ9" s="1560"/>
      <c r="AK9" s="1560"/>
    </row>
    <row r="10" spans="1:54" ht="12" customHeight="1" x14ac:dyDescent="0.4">
      <c r="A10" s="1561"/>
      <c r="B10" s="1561"/>
      <c r="C10" s="1561"/>
      <c r="D10" s="1561"/>
      <c r="E10" s="1561"/>
      <c r="F10" s="1561"/>
      <c r="G10" s="1561"/>
      <c r="H10" s="1561"/>
      <c r="I10" s="1561"/>
      <c r="J10" s="1561"/>
      <c r="K10" s="1561"/>
      <c r="L10" s="1561"/>
      <c r="M10" s="1561"/>
      <c r="N10" s="1561"/>
      <c r="O10" s="1561"/>
      <c r="P10" s="1561"/>
      <c r="Q10" s="1561"/>
      <c r="R10" s="1561"/>
      <c r="S10" s="1561"/>
      <c r="T10" s="1561"/>
      <c r="U10" s="1561"/>
      <c r="V10" s="1561"/>
      <c r="W10" s="1561"/>
      <c r="X10" s="1561"/>
      <c r="Y10" s="1561"/>
      <c r="Z10" s="1561"/>
      <c r="AA10" s="1561"/>
      <c r="AB10" s="1561"/>
      <c r="AC10" s="1561"/>
      <c r="AD10" s="1561"/>
      <c r="AE10" s="1561"/>
      <c r="AF10" s="1561"/>
      <c r="AG10" s="1561"/>
      <c r="AH10" s="1561"/>
      <c r="AI10" s="1561"/>
      <c r="AJ10" s="1561"/>
      <c r="AK10" s="1561"/>
    </row>
    <row r="11" spans="1:54" ht="12" customHeight="1" x14ac:dyDescent="0.4">
      <c r="A11" s="158"/>
      <c r="B11" s="158"/>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row>
    <row r="12" spans="1:54" ht="12" customHeight="1" x14ac:dyDescent="0.4">
      <c r="A12" s="1562" t="s">
        <v>410</v>
      </c>
      <c r="B12" s="1562"/>
      <c r="C12" s="1562"/>
      <c r="D12" s="1562"/>
      <c r="E12" s="1562"/>
      <c r="F12" s="1562"/>
      <c r="G12" s="1562"/>
      <c r="H12" s="1562"/>
      <c r="I12" s="1562"/>
      <c r="J12" s="1562"/>
      <c r="K12" s="1562"/>
      <c r="L12" s="1562"/>
      <c r="M12" s="1562"/>
      <c r="N12" s="1562"/>
      <c r="O12" s="1562"/>
      <c r="P12" s="1562"/>
      <c r="Q12" s="1562"/>
      <c r="R12" s="1562"/>
      <c r="S12" s="1562"/>
      <c r="T12" s="1562"/>
      <c r="U12" s="1562"/>
      <c r="V12" s="1562"/>
      <c r="W12" s="1562"/>
      <c r="X12" s="1562"/>
      <c r="Y12" s="1562"/>
      <c r="Z12" s="1562"/>
      <c r="AA12" s="1562"/>
      <c r="AB12" s="1562"/>
      <c r="AC12" s="1562"/>
      <c r="AD12" s="1562"/>
      <c r="AE12" s="1562"/>
      <c r="AF12" s="1562"/>
      <c r="AG12" s="1562"/>
      <c r="AH12" s="1562"/>
      <c r="AI12" s="1562"/>
      <c r="AJ12" s="1562"/>
      <c r="AK12" s="1562"/>
    </row>
    <row r="13" spans="1:54" ht="12" customHeight="1" x14ac:dyDescent="0.4">
      <c r="A13" s="1562"/>
      <c r="B13" s="1562"/>
      <c r="C13" s="1562"/>
      <c r="D13" s="1562"/>
      <c r="E13" s="1562"/>
      <c r="F13" s="1562"/>
      <c r="G13" s="1562"/>
      <c r="H13" s="1562"/>
      <c r="I13" s="1562"/>
      <c r="J13" s="1562"/>
      <c r="K13" s="1562"/>
      <c r="L13" s="1562"/>
      <c r="M13" s="1562"/>
      <c r="N13" s="1562"/>
      <c r="O13" s="1562"/>
      <c r="P13" s="1562"/>
      <c r="Q13" s="1562"/>
      <c r="R13" s="1562"/>
      <c r="S13" s="1562"/>
      <c r="T13" s="1562"/>
      <c r="U13" s="1562"/>
      <c r="V13" s="1562"/>
      <c r="W13" s="1562"/>
      <c r="X13" s="1562"/>
      <c r="Y13" s="1562"/>
      <c r="Z13" s="1562"/>
      <c r="AA13" s="1562"/>
      <c r="AB13" s="1562"/>
      <c r="AC13" s="1562"/>
      <c r="AD13" s="1562"/>
      <c r="AE13" s="1562"/>
      <c r="AF13" s="1562"/>
      <c r="AG13" s="1562"/>
      <c r="AH13" s="1562"/>
      <c r="AI13" s="1562"/>
      <c r="AJ13" s="1562"/>
      <c r="AK13" s="1562"/>
    </row>
    <row r="14" spans="1:54" ht="12" customHeight="1" x14ac:dyDescent="0.4">
      <c r="A14" s="1562"/>
      <c r="B14" s="1562"/>
      <c r="C14" s="1562"/>
      <c r="D14" s="1562"/>
      <c r="E14" s="1562"/>
      <c r="F14" s="1562"/>
      <c r="G14" s="1562"/>
      <c r="H14" s="1562"/>
      <c r="I14" s="1562"/>
      <c r="J14" s="1562"/>
      <c r="K14" s="1562"/>
      <c r="L14" s="1562"/>
      <c r="M14" s="1562"/>
      <c r="N14" s="1562"/>
      <c r="O14" s="1562"/>
      <c r="P14" s="1562"/>
      <c r="Q14" s="1562"/>
      <c r="R14" s="1562"/>
      <c r="S14" s="1562"/>
      <c r="T14" s="1562"/>
      <c r="U14" s="1562"/>
      <c r="V14" s="1562"/>
      <c r="W14" s="1562"/>
      <c r="X14" s="1562"/>
      <c r="Y14" s="1562"/>
      <c r="Z14" s="1562"/>
      <c r="AA14" s="1562"/>
      <c r="AB14" s="1562"/>
      <c r="AC14" s="1562"/>
      <c r="AD14" s="1562"/>
      <c r="AE14" s="1562"/>
      <c r="AF14" s="1562"/>
      <c r="AG14" s="1562"/>
      <c r="AH14" s="1562"/>
      <c r="AI14" s="1562"/>
      <c r="AJ14" s="1562"/>
      <c r="AK14" s="1562"/>
    </row>
    <row r="15" spans="1:54" ht="12" customHeight="1" x14ac:dyDescent="0.4">
      <c r="A15" s="1562"/>
      <c r="B15" s="1562"/>
      <c r="C15" s="1562"/>
      <c r="D15" s="1562"/>
      <c r="E15" s="1562"/>
      <c r="F15" s="1562"/>
      <c r="G15" s="1562"/>
      <c r="H15" s="1562"/>
      <c r="I15" s="1562"/>
      <c r="J15" s="1562"/>
      <c r="K15" s="1562"/>
      <c r="L15" s="1562"/>
      <c r="M15" s="1562"/>
      <c r="N15" s="1562"/>
      <c r="O15" s="1562"/>
      <c r="P15" s="1562"/>
      <c r="Q15" s="1562"/>
      <c r="R15" s="1562"/>
      <c r="S15" s="1562"/>
      <c r="T15" s="1562"/>
      <c r="U15" s="1562"/>
      <c r="V15" s="1562"/>
      <c r="W15" s="1562"/>
      <c r="X15" s="1562"/>
      <c r="Y15" s="1562"/>
      <c r="Z15" s="1562"/>
      <c r="AA15" s="1562"/>
      <c r="AB15" s="1562"/>
      <c r="AC15" s="1562"/>
      <c r="AD15" s="1562"/>
      <c r="AE15" s="1562"/>
      <c r="AF15" s="1562"/>
      <c r="AG15" s="1562"/>
      <c r="AH15" s="1562"/>
      <c r="AI15" s="1562"/>
      <c r="AJ15" s="1562"/>
      <c r="AK15" s="1562"/>
      <c r="BB15" s="159"/>
    </row>
    <row r="16" spans="1:54" ht="12" customHeight="1" x14ac:dyDescent="0.4">
      <c r="A16" s="1562"/>
      <c r="B16" s="1562"/>
      <c r="C16" s="1562"/>
      <c r="D16" s="1562"/>
      <c r="E16" s="1562"/>
      <c r="F16" s="1562"/>
      <c r="G16" s="1562"/>
      <c r="H16" s="1562"/>
      <c r="I16" s="1562"/>
      <c r="J16" s="1562"/>
      <c r="K16" s="1562"/>
      <c r="L16" s="1562"/>
      <c r="M16" s="1562"/>
      <c r="N16" s="1562"/>
      <c r="O16" s="1562"/>
      <c r="P16" s="1562"/>
      <c r="Q16" s="1562"/>
      <c r="R16" s="1562"/>
      <c r="S16" s="1562"/>
      <c r="T16" s="1562"/>
      <c r="U16" s="1562"/>
      <c r="V16" s="1562"/>
      <c r="W16" s="1562"/>
      <c r="X16" s="1562"/>
      <c r="Y16" s="1562"/>
      <c r="Z16" s="1562"/>
      <c r="AA16" s="1562"/>
      <c r="AB16" s="1562"/>
      <c r="AC16" s="1562"/>
      <c r="AD16" s="1562"/>
      <c r="AE16" s="1562"/>
      <c r="AF16" s="1562"/>
      <c r="AG16" s="1562"/>
      <c r="AH16" s="1562"/>
      <c r="AI16" s="1562"/>
      <c r="AJ16" s="1562"/>
      <c r="AK16" s="1562"/>
      <c r="BB16" s="159"/>
    </row>
    <row r="17" spans="1:54" ht="12" customHeight="1" x14ac:dyDescent="0.4">
      <c r="A17" s="154"/>
      <c r="B17" s="154"/>
      <c r="C17" s="154"/>
      <c r="D17" s="154"/>
      <c r="E17" s="154"/>
      <c r="F17" s="154"/>
      <c r="G17" s="154"/>
      <c r="H17" s="154"/>
      <c r="I17" s="154"/>
      <c r="J17" s="154"/>
      <c r="K17" s="154"/>
      <c r="L17" s="154"/>
      <c r="M17" s="154"/>
      <c r="N17" s="160"/>
      <c r="O17" s="160"/>
      <c r="P17" s="160"/>
      <c r="Q17" s="160"/>
      <c r="R17" s="160"/>
      <c r="S17" s="160"/>
      <c r="T17" s="160"/>
      <c r="U17" s="160"/>
      <c r="V17" s="160"/>
      <c r="W17" s="154"/>
      <c r="X17" s="154"/>
      <c r="Y17" s="154"/>
      <c r="Z17" s="154"/>
      <c r="AA17" s="154"/>
      <c r="AB17" s="154"/>
      <c r="AC17" s="154"/>
      <c r="AD17" s="154"/>
      <c r="AE17" s="154"/>
      <c r="AF17" s="154"/>
      <c r="AG17" s="154"/>
      <c r="AH17" s="154"/>
      <c r="AI17" s="154"/>
      <c r="AJ17" s="154"/>
      <c r="AK17" s="154"/>
      <c r="BB17" s="159"/>
    </row>
    <row r="19" spans="1:54" ht="12" customHeight="1" x14ac:dyDescent="0.4">
      <c r="A19" s="1557" t="s">
        <v>411</v>
      </c>
      <c r="B19" s="1557"/>
      <c r="C19" s="1557"/>
      <c r="D19" s="1557"/>
      <c r="E19" s="1557"/>
      <c r="F19" s="1557"/>
      <c r="G19" s="1557"/>
      <c r="H19" s="1557"/>
      <c r="I19" s="1579" t="s">
        <v>1239</v>
      </c>
      <c r="J19" s="1579"/>
      <c r="K19" s="1579"/>
      <c r="L19" s="1579"/>
      <c r="M19" s="1579"/>
      <c r="N19" s="1564"/>
      <c r="O19" s="1564"/>
      <c r="P19" s="1579" t="s">
        <v>1234</v>
      </c>
      <c r="Q19" s="1579"/>
      <c r="R19" s="1564"/>
      <c r="S19" s="1564"/>
      <c r="T19" s="1579" t="s">
        <v>1235</v>
      </c>
      <c r="U19" s="1579"/>
      <c r="V19" s="1563" t="s">
        <v>1237</v>
      </c>
      <c r="W19" s="1564" t="s">
        <v>1236</v>
      </c>
      <c r="X19" s="1564"/>
      <c r="Y19" s="1558" t="s">
        <v>1238</v>
      </c>
      <c r="Z19" s="1558"/>
      <c r="AA19" s="1558"/>
      <c r="AB19" s="1565" t="s">
        <v>409</v>
      </c>
      <c r="AC19" s="1565"/>
      <c r="AD19" s="1565"/>
      <c r="AE19" s="1566" t="s">
        <v>1232</v>
      </c>
      <c r="AF19" s="1566"/>
      <c r="AG19" s="1566"/>
      <c r="AH19" s="1566"/>
      <c r="AI19" s="1566"/>
      <c r="AJ19" s="156"/>
      <c r="AK19" s="156"/>
    </row>
    <row r="20" spans="1:54" ht="12" customHeight="1" x14ac:dyDescent="0.4">
      <c r="A20" s="1557"/>
      <c r="B20" s="1557"/>
      <c r="C20" s="1557"/>
      <c r="D20" s="1557"/>
      <c r="E20" s="1557"/>
      <c r="F20" s="1557"/>
      <c r="G20" s="1557"/>
      <c r="H20" s="1557"/>
      <c r="I20" s="1579"/>
      <c r="J20" s="1579"/>
      <c r="K20" s="1579"/>
      <c r="L20" s="1579"/>
      <c r="M20" s="1579"/>
      <c r="N20" s="1564"/>
      <c r="O20" s="1564"/>
      <c r="P20" s="1579"/>
      <c r="Q20" s="1579"/>
      <c r="R20" s="1564"/>
      <c r="S20" s="1564"/>
      <c r="T20" s="1579"/>
      <c r="U20" s="1579"/>
      <c r="V20" s="1563"/>
      <c r="W20" s="1564"/>
      <c r="X20" s="1564"/>
      <c r="Y20" s="1558"/>
      <c r="Z20" s="1558"/>
      <c r="AA20" s="1558"/>
      <c r="AB20" s="1565"/>
      <c r="AC20" s="1565"/>
      <c r="AD20" s="1565"/>
      <c r="AE20" s="1566"/>
      <c r="AF20" s="1566"/>
      <c r="AG20" s="1566"/>
      <c r="AH20" s="1566"/>
      <c r="AI20" s="1566"/>
      <c r="AJ20" s="156"/>
      <c r="AK20" s="156"/>
    </row>
    <row r="21" spans="1:54" ht="12" customHeight="1" x14ac:dyDescent="0.4">
      <c r="A21" s="161"/>
      <c r="B21" s="161"/>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row>
    <row r="22" spans="1:54" ht="12" customHeight="1" x14ac:dyDescent="0.4">
      <c r="A22" s="1557" t="s">
        <v>412</v>
      </c>
      <c r="B22" s="1557"/>
      <c r="C22" s="1557"/>
      <c r="D22" s="1557"/>
      <c r="E22" s="1557"/>
      <c r="F22" s="1557"/>
      <c r="G22" s="1557"/>
      <c r="H22" s="1557"/>
      <c r="I22" s="1558" t="s">
        <v>1230</v>
      </c>
      <c r="J22" s="1558"/>
      <c r="K22" s="1558"/>
      <c r="L22" s="1558"/>
      <c r="M22" s="1558"/>
      <c r="N22" s="1558"/>
      <c r="O22" s="1558"/>
      <c r="P22" s="1558"/>
      <c r="Q22" s="1558"/>
      <c r="R22" s="1558"/>
      <c r="S22" s="1558"/>
      <c r="T22" s="1558"/>
      <c r="U22" s="1558"/>
      <c r="V22" s="1558"/>
      <c r="W22" s="1558"/>
      <c r="X22" s="1558"/>
      <c r="Y22" s="1558"/>
      <c r="Z22" s="1558"/>
      <c r="AA22" s="1558"/>
      <c r="AB22" s="1558"/>
      <c r="AC22" s="1558"/>
      <c r="AD22" s="1558"/>
      <c r="AE22" s="1558"/>
      <c r="AF22" s="1558"/>
      <c r="AG22" s="1558"/>
      <c r="AH22" s="1558"/>
      <c r="AI22" s="1558"/>
      <c r="AJ22" s="1558"/>
      <c r="AK22" s="1558"/>
    </row>
    <row r="23" spans="1:54" ht="12" customHeight="1" x14ac:dyDescent="0.4">
      <c r="A23" s="1557"/>
      <c r="B23" s="1557"/>
      <c r="C23" s="1557"/>
      <c r="D23" s="1557"/>
      <c r="E23" s="1557"/>
      <c r="F23" s="1557"/>
      <c r="G23" s="1557"/>
      <c r="H23" s="1557"/>
      <c r="I23" s="1559"/>
      <c r="J23" s="1559"/>
      <c r="K23" s="1559"/>
      <c r="L23" s="1559"/>
      <c r="M23" s="1559"/>
      <c r="N23" s="1559"/>
      <c r="O23" s="1559"/>
      <c r="P23" s="1559"/>
      <c r="Q23" s="1559"/>
      <c r="R23" s="1559"/>
      <c r="S23" s="1559"/>
      <c r="T23" s="1559"/>
      <c r="U23" s="1559"/>
      <c r="V23" s="1559"/>
      <c r="W23" s="1559"/>
      <c r="X23" s="1559"/>
      <c r="Y23" s="1559"/>
      <c r="Z23" s="1559"/>
      <c r="AA23" s="1559"/>
      <c r="AB23" s="1559"/>
      <c r="AC23" s="1559"/>
      <c r="AD23" s="1559"/>
      <c r="AE23" s="1559"/>
      <c r="AF23" s="1559"/>
      <c r="AG23" s="1559"/>
      <c r="AH23" s="1559"/>
      <c r="AI23" s="1559"/>
      <c r="AJ23" s="1559"/>
      <c r="AK23" s="1559"/>
    </row>
    <row r="24" spans="1:54" ht="12" customHeight="1" x14ac:dyDescent="0.4">
      <c r="A24" s="161"/>
      <c r="B24" s="161"/>
      <c r="C24" s="161"/>
      <c r="D24" s="161"/>
      <c r="E24" s="161"/>
      <c r="F24" s="161"/>
      <c r="G24" s="161"/>
      <c r="H24" s="161"/>
      <c r="I24" s="161"/>
    </row>
    <row r="25" spans="1:54" ht="12" customHeight="1" x14ac:dyDescent="0.4">
      <c r="A25" s="1557" t="s">
        <v>413</v>
      </c>
      <c r="B25" s="1557"/>
      <c r="C25" s="1557"/>
      <c r="D25" s="1557"/>
      <c r="E25" s="1557"/>
      <c r="F25" s="1557"/>
      <c r="G25" s="1557"/>
      <c r="H25" s="1557"/>
      <c r="I25" s="1565">
        <f>'[2]（最新）アセスメントシート'!D5</f>
        <v>0</v>
      </c>
      <c r="J25" s="1565"/>
      <c r="K25" s="1565"/>
      <c r="L25" s="1565"/>
      <c r="M25" s="1565"/>
      <c r="N25" s="1565"/>
      <c r="O25" s="1565"/>
      <c r="P25" s="1565"/>
      <c r="Q25" s="1565"/>
      <c r="R25" s="1565"/>
      <c r="S25" s="1565"/>
      <c r="T25" s="1565"/>
      <c r="U25" s="1565"/>
      <c r="V25" s="1565"/>
      <c r="W25" s="1565"/>
      <c r="X25" s="1565"/>
      <c r="Y25" s="1558" t="s">
        <v>422</v>
      </c>
      <c r="Z25" s="1558"/>
      <c r="AA25" s="171"/>
      <c r="AB25" s="171"/>
      <c r="AC25" s="171"/>
      <c r="AD25" s="171"/>
      <c r="AE25" s="171"/>
      <c r="AF25" s="171"/>
      <c r="AG25" s="171"/>
      <c r="AH25" s="171"/>
      <c r="AI25" s="171"/>
      <c r="AJ25" s="171"/>
      <c r="AK25" s="171"/>
    </row>
    <row r="26" spans="1:54" ht="12" customHeight="1" x14ac:dyDescent="0.4">
      <c r="A26" s="1557"/>
      <c r="B26" s="1557"/>
      <c r="C26" s="1557"/>
      <c r="D26" s="1557"/>
      <c r="E26" s="1557"/>
      <c r="F26" s="1557"/>
      <c r="G26" s="1557"/>
      <c r="H26" s="1557"/>
      <c r="I26" s="1578"/>
      <c r="J26" s="1578"/>
      <c r="K26" s="1578"/>
      <c r="L26" s="1578"/>
      <c r="M26" s="1578"/>
      <c r="N26" s="1578"/>
      <c r="O26" s="1578"/>
      <c r="P26" s="1578"/>
      <c r="Q26" s="1578"/>
      <c r="R26" s="1578"/>
      <c r="S26" s="1578"/>
      <c r="T26" s="1578"/>
      <c r="U26" s="1578"/>
      <c r="V26" s="1578"/>
      <c r="W26" s="1578"/>
      <c r="X26" s="1578"/>
      <c r="Y26" s="1559"/>
      <c r="Z26" s="1559"/>
      <c r="AA26" s="172"/>
      <c r="AB26" s="172"/>
      <c r="AC26" s="172"/>
      <c r="AD26" s="172"/>
      <c r="AE26" s="172"/>
      <c r="AF26" s="172"/>
      <c r="AG26" s="172"/>
      <c r="AH26" s="172"/>
      <c r="AI26" s="172"/>
      <c r="AJ26" s="172"/>
      <c r="AK26" s="172"/>
    </row>
    <row r="27" spans="1:54" ht="12" customHeight="1" x14ac:dyDescent="0.4">
      <c r="A27" s="161"/>
      <c r="B27" s="161"/>
      <c r="C27" s="161"/>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row>
    <row r="28" spans="1:54" ht="12" customHeight="1" x14ac:dyDescent="0.4">
      <c r="A28" s="1557" t="s">
        <v>414</v>
      </c>
      <c r="B28" s="1557"/>
      <c r="C28" s="1557"/>
      <c r="D28" s="1557"/>
      <c r="E28" s="1557"/>
      <c r="F28" s="1557"/>
      <c r="G28" s="1557"/>
      <c r="H28" s="1557"/>
      <c r="I28" s="1557" t="s">
        <v>1231</v>
      </c>
      <c r="J28" s="1557"/>
      <c r="K28" s="1557"/>
      <c r="L28" s="1557"/>
      <c r="M28" s="1557"/>
      <c r="N28" s="1557"/>
      <c r="O28" s="1557"/>
      <c r="P28" s="1557"/>
      <c r="Q28" s="1557"/>
      <c r="R28" s="1557"/>
      <c r="S28" s="1557"/>
      <c r="T28" s="1557"/>
      <c r="U28" s="1557"/>
      <c r="V28" s="1557"/>
      <c r="W28" s="1557"/>
      <c r="X28" s="1557"/>
      <c r="Y28" s="1557"/>
      <c r="Z28" s="1557"/>
      <c r="AA28" s="1557"/>
      <c r="AB28" s="1557"/>
      <c r="AC28" s="1557"/>
      <c r="AD28" s="1557"/>
      <c r="AE28" s="1557"/>
      <c r="AF28" s="1557"/>
      <c r="AG28" s="1557"/>
      <c r="AH28" s="1557"/>
      <c r="AI28" s="1557"/>
      <c r="AJ28" s="1557"/>
      <c r="AK28" s="1557"/>
    </row>
    <row r="29" spans="1:54" ht="12" customHeight="1" x14ac:dyDescent="0.4">
      <c r="A29" s="1557"/>
      <c r="B29" s="1557"/>
      <c r="C29" s="1557"/>
      <c r="D29" s="1557"/>
      <c r="E29" s="1557"/>
      <c r="F29" s="1557"/>
      <c r="G29" s="1557"/>
      <c r="H29" s="1557"/>
      <c r="I29" s="1570"/>
      <c r="J29" s="1570"/>
      <c r="K29" s="1570"/>
      <c r="L29" s="1570"/>
      <c r="M29" s="1570"/>
      <c r="N29" s="1570"/>
      <c r="O29" s="1570"/>
      <c r="P29" s="1570"/>
      <c r="Q29" s="1570"/>
      <c r="R29" s="1570"/>
      <c r="S29" s="1570"/>
      <c r="T29" s="1570"/>
      <c r="U29" s="1570"/>
      <c r="V29" s="1570"/>
      <c r="W29" s="1570"/>
      <c r="X29" s="1570"/>
      <c r="Y29" s="1570"/>
      <c r="Z29" s="1570"/>
      <c r="AA29" s="1570"/>
      <c r="AB29" s="1570"/>
      <c r="AC29" s="1570"/>
      <c r="AD29" s="1570"/>
      <c r="AE29" s="1570"/>
      <c r="AF29" s="1570"/>
      <c r="AG29" s="1570"/>
      <c r="AH29" s="1570"/>
      <c r="AI29" s="1570"/>
      <c r="AJ29" s="1570"/>
      <c r="AK29" s="1570"/>
    </row>
    <row r="30" spans="1:54" ht="12" customHeight="1" x14ac:dyDescent="0.4">
      <c r="A30" s="161"/>
      <c r="B30" s="161"/>
      <c r="C30" s="161"/>
      <c r="D30" s="161"/>
      <c r="E30" s="161"/>
      <c r="F30" s="161"/>
      <c r="G30" s="161"/>
      <c r="H30" s="161"/>
    </row>
    <row r="31" spans="1:54" ht="12" customHeight="1" x14ac:dyDescent="0.4">
      <c r="A31" s="161"/>
      <c r="B31" s="161"/>
      <c r="C31" s="161"/>
      <c r="D31" s="161"/>
      <c r="E31" s="161"/>
      <c r="F31" s="161"/>
      <c r="G31" s="161"/>
      <c r="H31" s="161"/>
      <c r="I31" s="153"/>
      <c r="J31" s="153"/>
      <c r="K31" s="153"/>
      <c r="L31" s="153"/>
      <c r="M31" s="153"/>
      <c r="N31" s="153"/>
      <c r="O31" s="153"/>
      <c r="P31" s="153"/>
      <c r="Q31" s="153"/>
      <c r="R31" s="153"/>
      <c r="S31" s="153"/>
      <c r="T31" s="153"/>
      <c r="U31" s="153"/>
      <c r="V31" s="153"/>
      <c r="X31" s="153"/>
      <c r="Y31" s="153"/>
      <c r="Z31" s="153"/>
      <c r="AA31" s="153"/>
      <c r="AB31" s="153"/>
      <c r="AC31" s="153"/>
      <c r="AD31" s="153"/>
      <c r="AE31" s="153"/>
      <c r="AF31" s="153"/>
      <c r="AG31" s="153"/>
      <c r="AH31" s="153"/>
      <c r="AI31" s="153"/>
      <c r="AJ31" s="153"/>
      <c r="AK31" s="153"/>
    </row>
    <row r="32" spans="1:54" ht="12" customHeight="1" x14ac:dyDescent="0.4">
      <c r="A32" s="161"/>
      <c r="B32" s="161"/>
      <c r="C32" s="161"/>
      <c r="D32" s="161"/>
      <c r="E32" s="161"/>
      <c r="F32" s="161"/>
      <c r="G32" s="161"/>
      <c r="H32" s="161"/>
      <c r="I32" s="153"/>
      <c r="J32" s="153"/>
      <c r="K32" s="153"/>
      <c r="L32" s="153"/>
      <c r="M32" s="153"/>
      <c r="N32" s="153"/>
      <c r="O32" s="153"/>
      <c r="P32" s="153"/>
      <c r="Q32" s="153"/>
      <c r="R32" s="153"/>
      <c r="S32" s="153"/>
      <c r="T32" s="153"/>
      <c r="U32" s="153"/>
      <c r="V32" s="153"/>
      <c r="X32" s="153"/>
      <c r="Y32" s="153"/>
      <c r="Z32" s="153"/>
      <c r="AA32" s="153"/>
      <c r="AB32" s="153"/>
      <c r="AC32" s="153"/>
      <c r="AD32" s="153"/>
      <c r="AE32" s="153"/>
      <c r="AF32" s="153"/>
      <c r="AG32" s="153"/>
      <c r="AH32" s="153"/>
      <c r="AI32" s="153"/>
      <c r="AJ32" s="153"/>
      <c r="AK32" s="153"/>
    </row>
    <row r="33" spans="1:45" ht="12" customHeight="1" x14ac:dyDescent="0.4">
      <c r="A33" s="161"/>
      <c r="B33" s="161"/>
      <c r="C33" s="161"/>
      <c r="D33" s="161"/>
      <c r="E33" s="161"/>
      <c r="F33" s="161"/>
      <c r="G33" s="161"/>
      <c r="H33" s="161"/>
    </row>
    <row r="34" spans="1:45" ht="12" customHeight="1" x14ac:dyDescent="0.4">
      <c r="A34" s="161"/>
      <c r="B34" s="161"/>
      <c r="C34" s="161"/>
      <c r="D34" s="161"/>
      <c r="E34" s="161"/>
      <c r="F34" s="161"/>
      <c r="G34" s="161"/>
      <c r="H34" s="161"/>
      <c r="I34" s="153"/>
      <c r="J34" s="153"/>
      <c r="K34" s="153"/>
      <c r="L34" s="153"/>
      <c r="M34" s="153"/>
      <c r="N34" s="153"/>
      <c r="O34" s="153"/>
      <c r="P34" s="153"/>
      <c r="Q34" s="153"/>
      <c r="R34" s="153"/>
      <c r="S34" s="153"/>
      <c r="T34" s="153"/>
      <c r="U34" s="153"/>
      <c r="V34" s="153"/>
      <c r="W34" s="161"/>
      <c r="X34" s="153"/>
      <c r="Y34" s="153"/>
      <c r="Z34" s="153"/>
      <c r="AA34" s="153"/>
      <c r="AB34" s="153"/>
      <c r="AC34" s="153"/>
      <c r="AD34" s="153"/>
      <c r="AE34" s="153"/>
      <c r="AF34" s="153"/>
      <c r="AG34" s="153"/>
      <c r="AH34" s="153"/>
      <c r="AI34" s="153"/>
      <c r="AJ34" s="153"/>
      <c r="AK34" s="153"/>
    </row>
    <row r="35" spans="1:45" ht="12" customHeight="1" x14ac:dyDescent="0.4">
      <c r="A35" s="161"/>
      <c r="B35" s="161"/>
      <c r="C35" s="161"/>
      <c r="D35" s="161"/>
      <c r="E35" s="161"/>
      <c r="F35" s="161"/>
      <c r="G35" s="161"/>
      <c r="H35" s="161"/>
      <c r="I35" s="153"/>
      <c r="J35" s="153"/>
      <c r="K35" s="153"/>
      <c r="L35" s="153"/>
      <c r="M35" s="153"/>
      <c r="N35" s="153"/>
      <c r="O35" s="153"/>
      <c r="P35" s="153"/>
      <c r="Q35" s="153"/>
      <c r="R35" s="153"/>
      <c r="S35" s="153"/>
      <c r="T35" s="153"/>
      <c r="U35" s="153"/>
      <c r="V35" s="153"/>
      <c r="W35" s="161"/>
      <c r="X35" s="153"/>
      <c r="Y35" s="153"/>
      <c r="Z35" s="153"/>
      <c r="AA35" s="153"/>
      <c r="AB35" s="153"/>
      <c r="AC35" s="153"/>
      <c r="AD35" s="153"/>
      <c r="AE35" s="153"/>
      <c r="AF35" s="153"/>
      <c r="AG35" s="153"/>
      <c r="AH35" s="153"/>
      <c r="AI35" s="153"/>
      <c r="AJ35" s="153"/>
      <c r="AK35" s="153"/>
    </row>
    <row r="36" spans="1:45" ht="12" customHeight="1" x14ac:dyDescent="0.4">
      <c r="A36" s="161"/>
      <c r="B36" s="161"/>
      <c r="C36" s="161"/>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c r="AG36" s="161"/>
      <c r="AH36" s="161"/>
      <c r="AI36" s="161"/>
      <c r="AJ36" s="161"/>
      <c r="AK36" s="161"/>
    </row>
    <row r="37" spans="1:45" ht="12" customHeight="1" x14ac:dyDescent="0.4">
      <c r="A37" s="161"/>
      <c r="B37" s="161"/>
      <c r="C37" s="161"/>
      <c r="D37" s="161"/>
      <c r="E37" s="161"/>
      <c r="F37" s="161"/>
      <c r="G37" s="161"/>
      <c r="H37" s="161"/>
      <c r="I37" s="153"/>
      <c r="J37" s="153"/>
      <c r="K37" s="153"/>
      <c r="L37" s="153"/>
      <c r="M37" s="153"/>
      <c r="N37" s="153"/>
      <c r="O37" s="153"/>
      <c r="P37" s="153"/>
      <c r="Q37" s="153"/>
      <c r="R37" s="153"/>
      <c r="S37" s="153"/>
      <c r="T37" s="153"/>
      <c r="U37" s="153"/>
      <c r="V37" s="153"/>
      <c r="W37" s="161"/>
      <c r="X37" s="153"/>
      <c r="Y37" s="153"/>
      <c r="Z37" s="153"/>
      <c r="AA37" s="153"/>
      <c r="AB37" s="153"/>
      <c r="AC37" s="153"/>
      <c r="AD37" s="153"/>
      <c r="AE37" s="153"/>
      <c r="AF37" s="153"/>
      <c r="AG37" s="153"/>
      <c r="AH37" s="153"/>
      <c r="AI37" s="153"/>
      <c r="AJ37" s="153"/>
      <c r="AK37" s="153"/>
    </row>
    <row r="38" spans="1:45" ht="12" customHeight="1" x14ac:dyDescent="0.4">
      <c r="A38" s="161"/>
      <c r="B38" s="161"/>
      <c r="C38" s="161"/>
      <c r="D38" s="161"/>
      <c r="E38" s="161"/>
      <c r="F38" s="161"/>
      <c r="G38" s="161"/>
      <c r="H38" s="161"/>
      <c r="I38" s="153"/>
      <c r="J38" s="153"/>
      <c r="K38" s="153"/>
      <c r="L38" s="153"/>
      <c r="M38" s="153"/>
      <c r="N38" s="153"/>
      <c r="O38" s="153"/>
      <c r="P38" s="153"/>
      <c r="Q38" s="153"/>
      <c r="R38" s="153"/>
      <c r="S38" s="153"/>
      <c r="T38" s="153"/>
      <c r="U38" s="153"/>
      <c r="V38" s="153"/>
      <c r="W38" s="161"/>
      <c r="X38" s="153"/>
      <c r="Y38" s="153"/>
      <c r="Z38" s="153"/>
      <c r="AA38" s="153"/>
      <c r="AB38" s="153"/>
      <c r="AC38" s="153"/>
      <c r="AD38" s="153"/>
      <c r="AE38" s="153"/>
      <c r="AF38" s="153"/>
      <c r="AG38" s="153"/>
      <c r="AH38" s="153"/>
      <c r="AI38" s="153"/>
      <c r="AJ38" s="153"/>
      <c r="AK38" s="153"/>
    </row>
    <row r="39" spans="1:45" ht="12" customHeight="1" thickBot="1" x14ac:dyDescent="0.45">
      <c r="A39" s="161"/>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row>
    <row r="40" spans="1:45" ht="12" customHeight="1" thickTop="1" x14ac:dyDescent="0.4">
      <c r="A40" s="1571" t="s">
        <v>415</v>
      </c>
      <c r="B40" s="1572"/>
      <c r="C40" s="1572"/>
      <c r="D40" s="1572"/>
      <c r="E40" s="1572"/>
      <c r="F40" s="1572"/>
      <c r="G40" s="1572"/>
      <c r="H40" s="1572"/>
      <c r="I40" s="1572"/>
      <c r="J40" s="1572"/>
      <c r="K40" s="1572"/>
      <c r="L40" s="1572"/>
      <c r="M40" s="1572"/>
      <c r="N40" s="1572"/>
      <c r="O40" s="1572"/>
      <c r="P40" s="1572"/>
      <c r="Q40" s="1572"/>
      <c r="R40" s="1572"/>
      <c r="S40" s="1572"/>
      <c r="T40" s="1572"/>
      <c r="U40" s="1572"/>
      <c r="V40" s="1572"/>
      <c r="W40" s="1572"/>
      <c r="X40" s="1572"/>
      <c r="Y40" s="1572"/>
      <c r="Z40" s="1572"/>
      <c r="AA40" s="1572"/>
      <c r="AB40" s="1572"/>
      <c r="AC40" s="1572"/>
      <c r="AD40" s="1572"/>
      <c r="AE40" s="1572"/>
      <c r="AF40" s="1572"/>
      <c r="AG40" s="1572"/>
      <c r="AH40" s="1572"/>
      <c r="AI40" s="1572"/>
      <c r="AJ40" s="1572"/>
      <c r="AK40" s="1573"/>
    </row>
    <row r="41" spans="1:45" ht="12" customHeight="1" x14ac:dyDescent="0.4">
      <c r="A41" s="1574"/>
      <c r="B41" s="1557"/>
      <c r="C41" s="1557"/>
      <c r="D41" s="1557"/>
      <c r="E41" s="1557"/>
      <c r="F41" s="1557"/>
      <c r="G41" s="1557"/>
      <c r="H41" s="1557"/>
      <c r="I41" s="1557"/>
      <c r="J41" s="1557"/>
      <c r="K41" s="1557"/>
      <c r="L41" s="1557"/>
      <c r="M41" s="1557"/>
      <c r="N41" s="1557"/>
      <c r="O41" s="1557"/>
      <c r="P41" s="1557"/>
      <c r="Q41" s="1557"/>
      <c r="R41" s="1557"/>
      <c r="S41" s="1557"/>
      <c r="T41" s="1557"/>
      <c r="U41" s="1557"/>
      <c r="V41" s="1557"/>
      <c r="W41" s="1557"/>
      <c r="X41" s="1557"/>
      <c r="Y41" s="1557"/>
      <c r="Z41" s="1557"/>
      <c r="AA41" s="1557"/>
      <c r="AB41" s="1557"/>
      <c r="AC41" s="1557"/>
      <c r="AD41" s="1557"/>
      <c r="AE41" s="1557"/>
      <c r="AF41" s="1557"/>
      <c r="AG41" s="1557"/>
      <c r="AH41" s="1557"/>
      <c r="AI41" s="1557"/>
      <c r="AJ41" s="1557"/>
      <c r="AK41" s="1575"/>
    </row>
    <row r="42" spans="1:45" ht="12" customHeight="1" x14ac:dyDescent="0.4">
      <c r="A42" s="1576" t="s">
        <v>416</v>
      </c>
      <c r="B42" s="1555"/>
      <c r="C42" s="1555"/>
      <c r="D42" s="1555"/>
      <c r="E42" s="1555"/>
      <c r="F42" s="1555"/>
      <c r="G42" s="1555"/>
      <c r="H42" s="1555"/>
      <c r="I42" s="1555"/>
      <c r="J42" s="1555"/>
      <c r="K42" s="1555"/>
      <c r="L42" s="1555"/>
      <c r="M42" s="1555"/>
      <c r="N42" s="1555"/>
      <c r="O42" s="1555"/>
      <c r="P42" s="1555"/>
      <c r="Q42" s="1555"/>
      <c r="R42" s="1555"/>
      <c r="S42" s="1555"/>
      <c r="T42" s="1555"/>
      <c r="U42" s="1555"/>
      <c r="V42" s="1555"/>
      <c r="W42" s="1555"/>
      <c r="X42" s="1555"/>
      <c r="Y42" s="1555"/>
      <c r="Z42" s="1555"/>
      <c r="AA42" s="1555"/>
      <c r="AB42" s="1555"/>
      <c r="AC42" s="1555"/>
      <c r="AD42" s="1555"/>
      <c r="AE42" s="1555"/>
      <c r="AF42" s="1555"/>
      <c r="AG42" s="1555"/>
      <c r="AH42" s="1555"/>
      <c r="AI42" s="1555"/>
      <c r="AJ42" s="1555"/>
      <c r="AK42" s="1577"/>
    </row>
    <row r="43" spans="1:45" ht="12" customHeight="1" x14ac:dyDescent="0.4">
      <c r="A43" s="1576"/>
      <c r="B43" s="1555"/>
      <c r="C43" s="1555"/>
      <c r="D43" s="1555"/>
      <c r="E43" s="1555"/>
      <c r="F43" s="1555"/>
      <c r="G43" s="1555"/>
      <c r="H43" s="1555"/>
      <c r="I43" s="1555"/>
      <c r="J43" s="1555"/>
      <c r="K43" s="1555"/>
      <c r="L43" s="1555"/>
      <c r="M43" s="1555"/>
      <c r="N43" s="1555"/>
      <c r="O43" s="1555"/>
      <c r="P43" s="1555"/>
      <c r="Q43" s="1555"/>
      <c r="R43" s="1555"/>
      <c r="S43" s="1555"/>
      <c r="T43" s="1555"/>
      <c r="U43" s="1555"/>
      <c r="V43" s="1555"/>
      <c r="W43" s="1555"/>
      <c r="X43" s="1555"/>
      <c r="Y43" s="1555"/>
      <c r="Z43" s="1555"/>
      <c r="AA43" s="1555"/>
      <c r="AB43" s="1555"/>
      <c r="AC43" s="1555"/>
      <c r="AD43" s="1555"/>
      <c r="AE43" s="1555"/>
      <c r="AF43" s="1555"/>
      <c r="AG43" s="1555"/>
      <c r="AH43" s="1555"/>
      <c r="AI43" s="1555"/>
      <c r="AJ43" s="1555"/>
      <c r="AK43" s="1577"/>
    </row>
    <row r="44" spans="1:45" ht="12" customHeight="1" x14ac:dyDescent="0.4">
      <c r="A44" s="1567" t="s">
        <v>417</v>
      </c>
      <c r="B44" s="1568"/>
      <c r="C44" s="1568"/>
      <c r="D44" s="1568"/>
      <c r="E44" s="1568"/>
      <c r="F44" s="1568"/>
      <c r="G44" s="1568"/>
      <c r="H44" s="1568"/>
      <c r="I44" s="1568"/>
      <c r="J44" s="1568"/>
      <c r="K44" s="1568"/>
      <c r="L44" s="1568"/>
      <c r="M44" s="1568"/>
      <c r="N44" s="1568"/>
      <c r="O44" s="1568"/>
      <c r="P44" s="1568"/>
      <c r="Q44" s="1568"/>
      <c r="R44" s="1568"/>
      <c r="S44" s="1568"/>
      <c r="T44" s="1568"/>
      <c r="U44" s="1568"/>
      <c r="V44" s="1568"/>
      <c r="W44" s="1568"/>
      <c r="X44" s="1568"/>
      <c r="Y44" s="1568"/>
      <c r="Z44" s="1568"/>
      <c r="AA44" s="1568"/>
      <c r="AB44" s="1568"/>
      <c r="AC44" s="1568"/>
      <c r="AD44" s="1568"/>
      <c r="AE44" s="1568"/>
      <c r="AF44" s="1568"/>
      <c r="AG44" s="1568"/>
      <c r="AH44" s="1568"/>
      <c r="AI44" s="1568"/>
      <c r="AJ44" s="1568"/>
      <c r="AK44" s="1569"/>
      <c r="AS44" s="157" t="s">
        <v>1230</v>
      </c>
    </row>
    <row r="45" spans="1:45" ht="12" customHeight="1" x14ac:dyDescent="0.4">
      <c r="A45" s="1567"/>
      <c r="B45" s="1568"/>
      <c r="C45" s="1568"/>
      <c r="D45" s="1568"/>
      <c r="E45" s="1568"/>
      <c r="F45" s="1568"/>
      <c r="G45" s="1568"/>
      <c r="H45" s="1568"/>
      <c r="I45" s="1568"/>
      <c r="J45" s="1568"/>
      <c r="K45" s="1568"/>
      <c r="L45" s="1568"/>
      <c r="M45" s="1568"/>
      <c r="N45" s="1568"/>
      <c r="O45" s="1568"/>
      <c r="P45" s="1568"/>
      <c r="Q45" s="1568"/>
      <c r="R45" s="1568"/>
      <c r="S45" s="1568"/>
      <c r="T45" s="1568"/>
      <c r="U45" s="1568"/>
      <c r="V45" s="1568"/>
      <c r="W45" s="1568"/>
      <c r="X45" s="1568"/>
      <c r="Y45" s="1568"/>
      <c r="Z45" s="1568"/>
      <c r="AA45" s="1568"/>
      <c r="AB45" s="1568"/>
      <c r="AC45" s="1568"/>
      <c r="AD45" s="1568"/>
      <c r="AE45" s="1568"/>
      <c r="AF45" s="1568"/>
      <c r="AG45" s="1568"/>
      <c r="AH45" s="1568"/>
      <c r="AI45" s="1568"/>
      <c r="AJ45" s="1568"/>
      <c r="AK45" s="1569"/>
      <c r="AS45" s="157" t="s">
        <v>418</v>
      </c>
    </row>
    <row r="46" spans="1:45" ht="12" customHeight="1" x14ac:dyDescent="0.4">
      <c r="A46" s="162"/>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3"/>
      <c r="AS46" s="157" t="s">
        <v>419</v>
      </c>
    </row>
    <row r="47" spans="1:45" ht="12" customHeight="1" x14ac:dyDescent="0.4">
      <c r="A47" s="162"/>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3"/>
    </row>
    <row r="48" spans="1:45" ht="12" customHeight="1" x14ac:dyDescent="0.4">
      <c r="A48" s="162"/>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3"/>
    </row>
    <row r="49" spans="1:37" ht="12" customHeight="1" x14ac:dyDescent="0.4">
      <c r="A49" s="162"/>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3"/>
    </row>
    <row r="50" spans="1:37" ht="12" customHeight="1" x14ac:dyDescent="0.4">
      <c r="A50" s="162"/>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3"/>
    </row>
    <row r="51" spans="1:37" ht="12" customHeight="1" x14ac:dyDescent="0.4">
      <c r="A51" s="162"/>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3"/>
    </row>
    <row r="52" spans="1:37" ht="12" customHeight="1" x14ac:dyDescent="0.4">
      <c r="A52" s="162"/>
      <c r="B52" s="161"/>
      <c r="C52" s="161"/>
      <c r="D52" s="161"/>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3"/>
    </row>
    <row r="53" spans="1:37" ht="12" customHeight="1" x14ac:dyDescent="0.4">
      <c r="A53" s="162"/>
      <c r="B53" s="161"/>
      <c r="C53" s="161"/>
      <c r="D53" s="161"/>
      <c r="E53" s="161"/>
      <c r="F53" s="161"/>
      <c r="G53" s="161"/>
      <c r="H53" s="161"/>
      <c r="I53" s="161"/>
      <c r="J53" s="161"/>
      <c r="K53" s="161"/>
      <c r="L53" s="161"/>
      <c r="M53" s="161"/>
      <c r="N53" s="161"/>
      <c r="O53" s="161"/>
      <c r="P53" s="161"/>
      <c r="Q53" s="161"/>
      <c r="R53" s="161"/>
      <c r="S53" s="161"/>
      <c r="T53" s="161"/>
      <c r="U53" s="161"/>
      <c r="V53" s="161"/>
      <c r="W53" s="161"/>
      <c r="X53" s="161"/>
      <c r="Y53" s="161"/>
      <c r="Z53" s="161"/>
      <c r="AA53" s="161"/>
      <c r="AB53" s="161"/>
      <c r="AC53" s="161"/>
      <c r="AD53" s="161"/>
      <c r="AE53" s="161"/>
      <c r="AF53" s="161"/>
      <c r="AG53" s="161"/>
      <c r="AH53" s="161"/>
      <c r="AI53" s="161"/>
      <c r="AJ53" s="161"/>
      <c r="AK53" s="163"/>
    </row>
    <row r="54" spans="1:37" ht="12" customHeight="1" x14ac:dyDescent="0.4">
      <c r="A54" s="1567" t="s">
        <v>420</v>
      </c>
      <c r="B54" s="1568"/>
      <c r="C54" s="1568"/>
      <c r="D54" s="1568"/>
      <c r="E54" s="1568"/>
      <c r="F54" s="1568"/>
      <c r="G54" s="1568"/>
      <c r="H54" s="1568"/>
      <c r="I54" s="1568"/>
      <c r="J54" s="1568"/>
      <c r="K54" s="1568"/>
      <c r="L54" s="1568"/>
      <c r="M54" s="1568"/>
      <c r="N54" s="1568"/>
      <c r="O54" s="1568"/>
      <c r="P54" s="1568"/>
      <c r="Q54" s="1568"/>
      <c r="R54" s="1568"/>
      <c r="S54" s="1568"/>
      <c r="T54" s="1568"/>
      <c r="U54" s="1568"/>
      <c r="V54" s="1568"/>
      <c r="W54" s="1568"/>
      <c r="X54" s="1568"/>
      <c r="Y54" s="1568"/>
      <c r="Z54" s="1568"/>
      <c r="AA54" s="1568"/>
      <c r="AB54" s="1568"/>
      <c r="AC54" s="1568"/>
      <c r="AD54" s="1568"/>
      <c r="AE54" s="1568"/>
      <c r="AF54" s="1568"/>
      <c r="AG54" s="1568"/>
      <c r="AH54" s="1568"/>
      <c r="AI54" s="1568"/>
      <c r="AJ54" s="1568"/>
      <c r="AK54" s="1569"/>
    </row>
    <row r="55" spans="1:37" ht="12" customHeight="1" x14ac:dyDescent="0.4">
      <c r="A55" s="1567"/>
      <c r="B55" s="1568"/>
      <c r="C55" s="1568"/>
      <c r="D55" s="1568"/>
      <c r="E55" s="1568"/>
      <c r="F55" s="1568"/>
      <c r="G55" s="1568"/>
      <c r="H55" s="1568"/>
      <c r="I55" s="1568"/>
      <c r="J55" s="1568"/>
      <c r="K55" s="1568"/>
      <c r="L55" s="1568"/>
      <c r="M55" s="1568"/>
      <c r="N55" s="1568"/>
      <c r="O55" s="1568"/>
      <c r="P55" s="1568"/>
      <c r="Q55" s="1568"/>
      <c r="R55" s="1568"/>
      <c r="S55" s="1568"/>
      <c r="T55" s="1568"/>
      <c r="U55" s="1568"/>
      <c r="V55" s="1568"/>
      <c r="W55" s="1568"/>
      <c r="X55" s="1568"/>
      <c r="Y55" s="1568"/>
      <c r="Z55" s="1568"/>
      <c r="AA55" s="1568"/>
      <c r="AB55" s="1568"/>
      <c r="AC55" s="1568"/>
      <c r="AD55" s="1568"/>
      <c r="AE55" s="1568"/>
      <c r="AF55" s="1568"/>
      <c r="AG55" s="1568"/>
      <c r="AH55" s="1568"/>
      <c r="AI55" s="1568"/>
      <c r="AJ55" s="1568"/>
      <c r="AK55" s="1569"/>
    </row>
    <row r="56" spans="1:37" ht="12" customHeight="1" x14ac:dyDescent="0.4">
      <c r="A56" s="162"/>
      <c r="B56" s="161"/>
      <c r="C56" s="161"/>
      <c r="D56" s="161"/>
      <c r="E56" s="161"/>
      <c r="F56" s="161"/>
      <c r="G56" s="161"/>
      <c r="H56" s="161"/>
      <c r="I56" s="161"/>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3"/>
    </row>
    <row r="57" spans="1:37" ht="12" customHeight="1" x14ac:dyDescent="0.4">
      <c r="A57" s="162"/>
      <c r="B57" s="161"/>
      <c r="C57" s="161"/>
      <c r="D57" s="161"/>
      <c r="E57" s="161"/>
      <c r="F57" s="161"/>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3"/>
    </row>
    <row r="58" spans="1:37" ht="12" customHeight="1" x14ac:dyDescent="0.4">
      <c r="A58" s="162"/>
      <c r="B58" s="161"/>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161"/>
      <c r="AJ58" s="161"/>
      <c r="AK58" s="163"/>
    </row>
    <row r="59" spans="1:37" ht="12" customHeight="1" x14ac:dyDescent="0.4">
      <c r="A59" s="162"/>
      <c r="B59" s="161"/>
      <c r="C59" s="161"/>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3"/>
    </row>
    <row r="60" spans="1:37" ht="12" customHeight="1" x14ac:dyDescent="0.4">
      <c r="A60" s="162"/>
      <c r="B60" s="161"/>
      <c r="C60" s="161"/>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161"/>
      <c r="AB60" s="161"/>
      <c r="AC60" s="161"/>
      <c r="AD60" s="161"/>
      <c r="AE60" s="161"/>
      <c r="AF60" s="161"/>
      <c r="AG60" s="161"/>
      <c r="AH60" s="161"/>
      <c r="AI60" s="161"/>
      <c r="AJ60" s="161"/>
      <c r="AK60" s="163"/>
    </row>
    <row r="61" spans="1:37" ht="12" customHeight="1" x14ac:dyDescent="0.4">
      <c r="A61" s="162"/>
      <c r="B61" s="161"/>
      <c r="C61" s="161"/>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161"/>
      <c r="AB61" s="161"/>
      <c r="AC61" s="161"/>
      <c r="AD61" s="161"/>
      <c r="AE61" s="161"/>
      <c r="AF61" s="161"/>
      <c r="AG61" s="161"/>
      <c r="AH61" s="161"/>
      <c r="AI61" s="161"/>
      <c r="AJ61" s="161"/>
      <c r="AK61" s="163"/>
    </row>
    <row r="62" spans="1:37" ht="12" customHeight="1" x14ac:dyDescent="0.4">
      <c r="A62" s="162"/>
      <c r="B62" s="161"/>
      <c r="C62" s="161"/>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161"/>
      <c r="AB62" s="161"/>
      <c r="AC62" s="161"/>
      <c r="AD62" s="161"/>
      <c r="AE62" s="161"/>
      <c r="AF62" s="161"/>
      <c r="AG62" s="161"/>
      <c r="AH62" s="161"/>
      <c r="AI62" s="161"/>
      <c r="AJ62" s="161"/>
      <c r="AK62" s="163"/>
    </row>
    <row r="63" spans="1:37" ht="12" customHeight="1" x14ac:dyDescent="0.4">
      <c r="A63" s="162"/>
      <c r="B63" s="161"/>
      <c r="C63" s="161"/>
      <c r="D63" s="161"/>
      <c r="E63" s="161"/>
      <c r="F63" s="161"/>
      <c r="G63" s="161"/>
      <c r="H63" s="161"/>
      <c r="I63" s="161"/>
      <c r="J63" s="161"/>
      <c r="K63" s="161"/>
      <c r="L63" s="161"/>
      <c r="M63" s="161"/>
      <c r="N63" s="161"/>
      <c r="O63" s="161"/>
      <c r="P63" s="161"/>
      <c r="Q63" s="161"/>
      <c r="R63" s="161"/>
      <c r="S63" s="161"/>
      <c r="T63" s="161"/>
      <c r="U63" s="161"/>
      <c r="V63" s="161"/>
      <c r="W63" s="161"/>
      <c r="X63" s="161"/>
      <c r="Y63" s="161"/>
      <c r="Z63" s="161"/>
      <c r="AA63" s="161"/>
      <c r="AB63" s="161"/>
      <c r="AC63" s="161"/>
      <c r="AD63" s="161"/>
      <c r="AE63" s="161"/>
      <c r="AF63" s="161"/>
      <c r="AG63" s="161"/>
      <c r="AH63" s="161"/>
      <c r="AI63" s="161"/>
      <c r="AJ63" s="161"/>
      <c r="AK63" s="163"/>
    </row>
    <row r="64" spans="1:37" ht="12" customHeight="1" x14ac:dyDescent="0.4">
      <c r="A64" s="1567" t="s">
        <v>421</v>
      </c>
      <c r="B64" s="1568"/>
      <c r="C64" s="1568"/>
      <c r="D64" s="1568"/>
      <c r="E64" s="1568"/>
      <c r="F64" s="1568"/>
      <c r="G64" s="1568"/>
      <c r="H64" s="1568"/>
      <c r="I64" s="1568"/>
      <c r="J64" s="1568"/>
      <c r="K64" s="1568"/>
      <c r="L64" s="1568"/>
      <c r="M64" s="1568"/>
      <c r="N64" s="1568"/>
      <c r="O64" s="1568"/>
      <c r="P64" s="1568"/>
      <c r="Q64" s="1568"/>
      <c r="R64" s="1568"/>
      <c r="S64" s="1568"/>
      <c r="T64" s="1568"/>
      <c r="U64" s="1568"/>
      <c r="V64" s="1568"/>
      <c r="W64" s="1568"/>
      <c r="X64" s="1568"/>
      <c r="Y64" s="1568"/>
      <c r="Z64" s="1568"/>
      <c r="AA64" s="1568"/>
      <c r="AB64" s="1568"/>
      <c r="AC64" s="1568"/>
      <c r="AD64" s="1568"/>
      <c r="AE64" s="1568"/>
      <c r="AF64" s="1568"/>
      <c r="AG64" s="1568"/>
      <c r="AH64" s="1568"/>
      <c r="AI64" s="1568"/>
      <c r="AJ64" s="1568"/>
      <c r="AK64" s="1569"/>
    </row>
    <row r="65" spans="1:37" ht="12" customHeight="1" x14ac:dyDescent="0.4">
      <c r="A65" s="1567"/>
      <c r="B65" s="1568"/>
      <c r="C65" s="1568"/>
      <c r="D65" s="1568"/>
      <c r="E65" s="1568"/>
      <c r="F65" s="1568"/>
      <c r="G65" s="1568"/>
      <c r="H65" s="1568"/>
      <c r="I65" s="1568"/>
      <c r="J65" s="1568"/>
      <c r="K65" s="1568"/>
      <c r="L65" s="1568"/>
      <c r="M65" s="1568"/>
      <c r="N65" s="1568"/>
      <c r="O65" s="1568"/>
      <c r="P65" s="1568"/>
      <c r="Q65" s="1568"/>
      <c r="R65" s="1568"/>
      <c r="S65" s="1568"/>
      <c r="T65" s="1568"/>
      <c r="U65" s="1568"/>
      <c r="V65" s="1568"/>
      <c r="W65" s="1568"/>
      <c r="X65" s="1568"/>
      <c r="Y65" s="1568"/>
      <c r="Z65" s="1568"/>
      <c r="AA65" s="1568"/>
      <c r="AB65" s="1568"/>
      <c r="AC65" s="1568"/>
      <c r="AD65" s="1568"/>
      <c r="AE65" s="1568"/>
      <c r="AF65" s="1568"/>
      <c r="AG65" s="1568"/>
      <c r="AH65" s="1568"/>
      <c r="AI65" s="1568"/>
      <c r="AJ65" s="1568"/>
      <c r="AK65" s="1569"/>
    </row>
    <row r="66" spans="1:37" ht="12" customHeight="1" x14ac:dyDescent="0.4">
      <c r="A66" s="162"/>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63"/>
    </row>
    <row r="67" spans="1:37" ht="12" customHeight="1" x14ac:dyDescent="0.4">
      <c r="A67" s="162"/>
      <c r="B67" s="161"/>
      <c r="C67" s="161"/>
      <c r="D67" s="161"/>
      <c r="E67" s="161"/>
      <c r="F67" s="161"/>
      <c r="G67" s="161"/>
      <c r="H67" s="161"/>
      <c r="I67" s="161"/>
      <c r="J67" s="161"/>
      <c r="K67" s="161"/>
      <c r="L67" s="161"/>
      <c r="M67" s="161"/>
      <c r="N67" s="161"/>
      <c r="O67" s="161"/>
      <c r="P67" s="161"/>
      <c r="Q67" s="161"/>
      <c r="R67" s="161"/>
      <c r="S67" s="161"/>
      <c r="T67" s="161"/>
      <c r="U67" s="161"/>
      <c r="V67" s="161"/>
      <c r="W67" s="161"/>
      <c r="X67" s="161"/>
      <c r="Y67" s="161"/>
      <c r="Z67" s="161"/>
      <c r="AA67" s="161"/>
      <c r="AB67" s="161"/>
      <c r="AC67" s="161"/>
      <c r="AD67" s="161"/>
      <c r="AE67" s="161"/>
      <c r="AF67" s="161"/>
      <c r="AG67" s="161"/>
      <c r="AH67" s="161"/>
      <c r="AI67" s="161"/>
      <c r="AJ67" s="161"/>
      <c r="AK67" s="163"/>
    </row>
    <row r="68" spans="1:37" ht="12" customHeight="1" x14ac:dyDescent="0.4">
      <c r="A68" s="164"/>
      <c r="AK68" s="165"/>
    </row>
    <row r="69" spans="1:37" ht="12" customHeight="1" x14ac:dyDescent="0.4">
      <c r="A69" s="164"/>
      <c r="Z69" s="166"/>
      <c r="AA69" s="166"/>
      <c r="AB69" s="166"/>
      <c r="AC69" s="166"/>
      <c r="AD69" s="166"/>
      <c r="AE69" s="166"/>
      <c r="AF69" s="166"/>
      <c r="AG69" s="166"/>
      <c r="AH69" s="166"/>
      <c r="AI69" s="166"/>
      <c r="AJ69" s="166"/>
      <c r="AK69" s="167"/>
    </row>
    <row r="70" spans="1:37" ht="12" customHeight="1" x14ac:dyDescent="0.4">
      <c r="A70" s="164"/>
      <c r="AK70" s="165"/>
    </row>
    <row r="71" spans="1:37" ht="12" customHeight="1" x14ac:dyDescent="0.4">
      <c r="A71" s="164"/>
      <c r="AK71" s="165"/>
    </row>
    <row r="72" spans="1:37" ht="12" customHeight="1" x14ac:dyDescent="0.4">
      <c r="A72" s="164"/>
      <c r="AK72" s="165"/>
    </row>
    <row r="73" spans="1:37" ht="12" customHeight="1" thickBot="1" x14ac:dyDescent="0.45">
      <c r="A73" s="168"/>
      <c r="B73" s="169"/>
      <c r="C73" s="169"/>
      <c r="D73" s="169"/>
      <c r="E73" s="169"/>
      <c r="F73" s="169"/>
      <c r="G73" s="169"/>
      <c r="H73" s="169"/>
      <c r="I73" s="169"/>
      <c r="J73" s="169"/>
      <c r="K73" s="169"/>
      <c r="L73" s="169"/>
      <c r="M73" s="169"/>
      <c r="N73" s="169"/>
      <c r="O73" s="169"/>
      <c r="P73" s="169"/>
      <c r="Q73" s="169"/>
      <c r="R73" s="169"/>
      <c r="S73" s="169"/>
      <c r="T73" s="169"/>
      <c r="U73" s="169"/>
      <c r="V73" s="169"/>
      <c r="W73" s="169"/>
      <c r="X73" s="169"/>
      <c r="Y73" s="169"/>
      <c r="Z73" s="169"/>
      <c r="AA73" s="169"/>
      <c r="AB73" s="169"/>
      <c r="AC73" s="169"/>
      <c r="AD73" s="169"/>
      <c r="AE73" s="169"/>
      <c r="AF73" s="169"/>
      <c r="AG73" s="169"/>
      <c r="AH73" s="169"/>
      <c r="AI73" s="169"/>
      <c r="AJ73" s="169"/>
      <c r="AK73" s="170"/>
    </row>
    <row r="74" spans="1:37" ht="12" customHeight="1" thickTop="1" x14ac:dyDescent="0.4"/>
  </sheetData>
  <mergeCells count="32">
    <mergeCell ref="AD6:AK7"/>
    <mergeCell ref="I25:X26"/>
    <mergeCell ref="Y25:Z26"/>
    <mergeCell ref="I19:M20"/>
    <mergeCell ref="P19:Q20"/>
    <mergeCell ref="T19:U20"/>
    <mergeCell ref="A44:AK45"/>
    <mergeCell ref="A54:AK55"/>
    <mergeCell ref="A64:AK65"/>
    <mergeCell ref="A25:H26"/>
    <mergeCell ref="A28:H29"/>
    <mergeCell ref="I28:AK29"/>
    <mergeCell ref="A40:AK41"/>
    <mergeCell ref="A42:AK43"/>
    <mergeCell ref="A22:H23"/>
    <mergeCell ref="I22:AK23"/>
    <mergeCell ref="A9:AK10"/>
    <mergeCell ref="A12:AK16"/>
    <mergeCell ref="A19:H20"/>
    <mergeCell ref="V19:V20"/>
    <mergeCell ref="Y19:AA20"/>
    <mergeCell ref="W19:X20"/>
    <mergeCell ref="AB19:AD20"/>
    <mergeCell ref="AE19:AI20"/>
    <mergeCell ref="N19:O20"/>
    <mergeCell ref="R19:S20"/>
    <mergeCell ref="A2:K3"/>
    <mergeCell ref="L2:M3"/>
    <mergeCell ref="AC2:AK3"/>
    <mergeCell ref="A4:K5"/>
    <mergeCell ref="L4:M5"/>
    <mergeCell ref="Y4:AK5"/>
  </mergeCells>
  <phoneticPr fontId="1"/>
  <dataValidations count="8">
    <dataValidation type="list" allowBlank="1" showInputMessage="1" showErrorMessage="1" sqref="JH19:JI20 TD19:TE20 ACZ19:ADA20 AMV19:AMW20 AWR19:AWS20 BGN19:BGO20 BQJ19:BQK20 CAF19:CAG20 CKB19:CKC20 CTX19:CTY20 DDT19:DDU20 DNP19:DNQ20 DXL19:DXM20 EHH19:EHI20 ERD19:ERE20 FAZ19:FBA20 FKV19:FKW20 FUR19:FUS20 GEN19:GEO20 GOJ19:GOK20 GYF19:GYG20 HIB19:HIC20 HRX19:HRY20 IBT19:IBU20 ILP19:ILQ20 IVL19:IVM20 JFH19:JFI20 JPD19:JPE20 JYZ19:JZA20 KIV19:KIW20 KSR19:KSS20 LCN19:LCO20 LMJ19:LMK20 LWF19:LWG20 MGB19:MGC20 MPX19:MPY20 MZT19:MZU20 NJP19:NJQ20 NTL19:NTM20 ODH19:ODI20 OND19:ONE20 OWZ19:OXA20 PGV19:PGW20 PQR19:PQS20 QAN19:QAO20 QKJ19:QKK20 QUF19:QUG20 REB19:REC20 RNX19:RNY20 RXT19:RXU20 SHP19:SHQ20 SRL19:SRM20 TBH19:TBI20 TLD19:TLE20 TUZ19:TVA20 UEV19:UEW20 UOR19:UOS20 UYN19:UYO20 VIJ19:VIK20 VSF19:VSG20 WCB19:WCC20 WLX19:WLY20 WVT19:WVU20 L65555:M65556 JH65555:JI65556 TD65555:TE65556 ACZ65555:ADA65556 AMV65555:AMW65556 AWR65555:AWS65556 BGN65555:BGO65556 BQJ65555:BQK65556 CAF65555:CAG65556 CKB65555:CKC65556 CTX65555:CTY65556 DDT65555:DDU65556 DNP65555:DNQ65556 DXL65555:DXM65556 EHH65555:EHI65556 ERD65555:ERE65556 FAZ65555:FBA65556 FKV65555:FKW65556 FUR65555:FUS65556 GEN65555:GEO65556 GOJ65555:GOK65556 GYF65555:GYG65556 HIB65555:HIC65556 HRX65555:HRY65556 IBT65555:IBU65556 ILP65555:ILQ65556 IVL65555:IVM65556 JFH65555:JFI65556 JPD65555:JPE65556 JYZ65555:JZA65556 KIV65555:KIW65556 KSR65555:KSS65556 LCN65555:LCO65556 LMJ65555:LMK65556 LWF65555:LWG65556 MGB65555:MGC65556 MPX65555:MPY65556 MZT65555:MZU65556 NJP65555:NJQ65556 NTL65555:NTM65556 ODH65555:ODI65556 OND65555:ONE65556 OWZ65555:OXA65556 PGV65555:PGW65556 PQR65555:PQS65556 QAN65555:QAO65556 QKJ65555:QKK65556 QUF65555:QUG65556 REB65555:REC65556 RNX65555:RNY65556 RXT65555:RXU65556 SHP65555:SHQ65556 SRL65555:SRM65556 TBH65555:TBI65556 TLD65555:TLE65556 TUZ65555:TVA65556 UEV65555:UEW65556 UOR65555:UOS65556 UYN65555:UYO65556 VIJ65555:VIK65556 VSF65555:VSG65556 WCB65555:WCC65556 WLX65555:WLY65556 WVT65555:WVU65556 L131091:M131092 JH131091:JI131092 TD131091:TE131092 ACZ131091:ADA131092 AMV131091:AMW131092 AWR131091:AWS131092 BGN131091:BGO131092 BQJ131091:BQK131092 CAF131091:CAG131092 CKB131091:CKC131092 CTX131091:CTY131092 DDT131091:DDU131092 DNP131091:DNQ131092 DXL131091:DXM131092 EHH131091:EHI131092 ERD131091:ERE131092 FAZ131091:FBA131092 FKV131091:FKW131092 FUR131091:FUS131092 GEN131091:GEO131092 GOJ131091:GOK131092 GYF131091:GYG131092 HIB131091:HIC131092 HRX131091:HRY131092 IBT131091:IBU131092 ILP131091:ILQ131092 IVL131091:IVM131092 JFH131091:JFI131092 JPD131091:JPE131092 JYZ131091:JZA131092 KIV131091:KIW131092 KSR131091:KSS131092 LCN131091:LCO131092 LMJ131091:LMK131092 LWF131091:LWG131092 MGB131091:MGC131092 MPX131091:MPY131092 MZT131091:MZU131092 NJP131091:NJQ131092 NTL131091:NTM131092 ODH131091:ODI131092 OND131091:ONE131092 OWZ131091:OXA131092 PGV131091:PGW131092 PQR131091:PQS131092 QAN131091:QAO131092 QKJ131091:QKK131092 QUF131091:QUG131092 REB131091:REC131092 RNX131091:RNY131092 RXT131091:RXU131092 SHP131091:SHQ131092 SRL131091:SRM131092 TBH131091:TBI131092 TLD131091:TLE131092 TUZ131091:TVA131092 UEV131091:UEW131092 UOR131091:UOS131092 UYN131091:UYO131092 VIJ131091:VIK131092 VSF131091:VSG131092 WCB131091:WCC131092 WLX131091:WLY131092 WVT131091:WVU131092 L196627:M196628 JH196627:JI196628 TD196627:TE196628 ACZ196627:ADA196628 AMV196627:AMW196628 AWR196627:AWS196628 BGN196627:BGO196628 BQJ196627:BQK196628 CAF196627:CAG196628 CKB196627:CKC196628 CTX196627:CTY196628 DDT196627:DDU196628 DNP196627:DNQ196628 DXL196627:DXM196628 EHH196627:EHI196628 ERD196627:ERE196628 FAZ196627:FBA196628 FKV196627:FKW196628 FUR196627:FUS196628 GEN196627:GEO196628 GOJ196627:GOK196628 GYF196627:GYG196628 HIB196627:HIC196628 HRX196627:HRY196628 IBT196627:IBU196628 ILP196627:ILQ196628 IVL196627:IVM196628 JFH196627:JFI196628 JPD196627:JPE196628 JYZ196627:JZA196628 KIV196627:KIW196628 KSR196627:KSS196628 LCN196627:LCO196628 LMJ196627:LMK196628 LWF196627:LWG196628 MGB196627:MGC196628 MPX196627:MPY196628 MZT196627:MZU196628 NJP196627:NJQ196628 NTL196627:NTM196628 ODH196627:ODI196628 OND196627:ONE196628 OWZ196627:OXA196628 PGV196627:PGW196628 PQR196627:PQS196628 QAN196627:QAO196628 QKJ196627:QKK196628 QUF196627:QUG196628 REB196627:REC196628 RNX196627:RNY196628 RXT196627:RXU196628 SHP196627:SHQ196628 SRL196627:SRM196628 TBH196627:TBI196628 TLD196627:TLE196628 TUZ196627:TVA196628 UEV196627:UEW196628 UOR196627:UOS196628 UYN196627:UYO196628 VIJ196627:VIK196628 VSF196627:VSG196628 WCB196627:WCC196628 WLX196627:WLY196628 WVT196627:WVU196628 L262163:M262164 JH262163:JI262164 TD262163:TE262164 ACZ262163:ADA262164 AMV262163:AMW262164 AWR262163:AWS262164 BGN262163:BGO262164 BQJ262163:BQK262164 CAF262163:CAG262164 CKB262163:CKC262164 CTX262163:CTY262164 DDT262163:DDU262164 DNP262163:DNQ262164 DXL262163:DXM262164 EHH262163:EHI262164 ERD262163:ERE262164 FAZ262163:FBA262164 FKV262163:FKW262164 FUR262163:FUS262164 GEN262163:GEO262164 GOJ262163:GOK262164 GYF262163:GYG262164 HIB262163:HIC262164 HRX262163:HRY262164 IBT262163:IBU262164 ILP262163:ILQ262164 IVL262163:IVM262164 JFH262163:JFI262164 JPD262163:JPE262164 JYZ262163:JZA262164 KIV262163:KIW262164 KSR262163:KSS262164 LCN262163:LCO262164 LMJ262163:LMK262164 LWF262163:LWG262164 MGB262163:MGC262164 MPX262163:MPY262164 MZT262163:MZU262164 NJP262163:NJQ262164 NTL262163:NTM262164 ODH262163:ODI262164 OND262163:ONE262164 OWZ262163:OXA262164 PGV262163:PGW262164 PQR262163:PQS262164 QAN262163:QAO262164 QKJ262163:QKK262164 QUF262163:QUG262164 REB262163:REC262164 RNX262163:RNY262164 RXT262163:RXU262164 SHP262163:SHQ262164 SRL262163:SRM262164 TBH262163:TBI262164 TLD262163:TLE262164 TUZ262163:TVA262164 UEV262163:UEW262164 UOR262163:UOS262164 UYN262163:UYO262164 VIJ262163:VIK262164 VSF262163:VSG262164 WCB262163:WCC262164 WLX262163:WLY262164 WVT262163:WVU262164 L327699:M327700 JH327699:JI327700 TD327699:TE327700 ACZ327699:ADA327700 AMV327699:AMW327700 AWR327699:AWS327700 BGN327699:BGO327700 BQJ327699:BQK327700 CAF327699:CAG327700 CKB327699:CKC327700 CTX327699:CTY327700 DDT327699:DDU327700 DNP327699:DNQ327700 DXL327699:DXM327700 EHH327699:EHI327700 ERD327699:ERE327700 FAZ327699:FBA327700 FKV327699:FKW327700 FUR327699:FUS327700 GEN327699:GEO327700 GOJ327699:GOK327700 GYF327699:GYG327700 HIB327699:HIC327700 HRX327699:HRY327700 IBT327699:IBU327700 ILP327699:ILQ327700 IVL327699:IVM327700 JFH327699:JFI327700 JPD327699:JPE327700 JYZ327699:JZA327700 KIV327699:KIW327700 KSR327699:KSS327700 LCN327699:LCO327700 LMJ327699:LMK327700 LWF327699:LWG327700 MGB327699:MGC327700 MPX327699:MPY327700 MZT327699:MZU327700 NJP327699:NJQ327700 NTL327699:NTM327700 ODH327699:ODI327700 OND327699:ONE327700 OWZ327699:OXA327700 PGV327699:PGW327700 PQR327699:PQS327700 QAN327699:QAO327700 QKJ327699:QKK327700 QUF327699:QUG327700 REB327699:REC327700 RNX327699:RNY327700 RXT327699:RXU327700 SHP327699:SHQ327700 SRL327699:SRM327700 TBH327699:TBI327700 TLD327699:TLE327700 TUZ327699:TVA327700 UEV327699:UEW327700 UOR327699:UOS327700 UYN327699:UYO327700 VIJ327699:VIK327700 VSF327699:VSG327700 WCB327699:WCC327700 WLX327699:WLY327700 WVT327699:WVU327700 L393235:M393236 JH393235:JI393236 TD393235:TE393236 ACZ393235:ADA393236 AMV393235:AMW393236 AWR393235:AWS393236 BGN393235:BGO393236 BQJ393235:BQK393236 CAF393235:CAG393236 CKB393235:CKC393236 CTX393235:CTY393236 DDT393235:DDU393236 DNP393235:DNQ393236 DXL393235:DXM393236 EHH393235:EHI393236 ERD393235:ERE393236 FAZ393235:FBA393236 FKV393235:FKW393236 FUR393235:FUS393236 GEN393235:GEO393236 GOJ393235:GOK393236 GYF393235:GYG393236 HIB393235:HIC393236 HRX393235:HRY393236 IBT393235:IBU393236 ILP393235:ILQ393236 IVL393235:IVM393236 JFH393235:JFI393236 JPD393235:JPE393236 JYZ393235:JZA393236 KIV393235:KIW393236 KSR393235:KSS393236 LCN393235:LCO393236 LMJ393235:LMK393236 LWF393235:LWG393236 MGB393235:MGC393236 MPX393235:MPY393236 MZT393235:MZU393236 NJP393235:NJQ393236 NTL393235:NTM393236 ODH393235:ODI393236 OND393235:ONE393236 OWZ393235:OXA393236 PGV393235:PGW393236 PQR393235:PQS393236 QAN393235:QAO393236 QKJ393235:QKK393236 QUF393235:QUG393236 REB393235:REC393236 RNX393235:RNY393236 RXT393235:RXU393236 SHP393235:SHQ393236 SRL393235:SRM393236 TBH393235:TBI393236 TLD393235:TLE393236 TUZ393235:TVA393236 UEV393235:UEW393236 UOR393235:UOS393236 UYN393235:UYO393236 VIJ393235:VIK393236 VSF393235:VSG393236 WCB393235:WCC393236 WLX393235:WLY393236 WVT393235:WVU393236 L458771:M458772 JH458771:JI458772 TD458771:TE458772 ACZ458771:ADA458772 AMV458771:AMW458772 AWR458771:AWS458772 BGN458771:BGO458772 BQJ458771:BQK458772 CAF458771:CAG458772 CKB458771:CKC458772 CTX458771:CTY458772 DDT458771:DDU458772 DNP458771:DNQ458772 DXL458771:DXM458772 EHH458771:EHI458772 ERD458771:ERE458772 FAZ458771:FBA458772 FKV458771:FKW458772 FUR458771:FUS458772 GEN458771:GEO458772 GOJ458771:GOK458772 GYF458771:GYG458772 HIB458771:HIC458772 HRX458771:HRY458772 IBT458771:IBU458772 ILP458771:ILQ458772 IVL458771:IVM458772 JFH458771:JFI458772 JPD458771:JPE458772 JYZ458771:JZA458772 KIV458771:KIW458772 KSR458771:KSS458772 LCN458771:LCO458772 LMJ458771:LMK458772 LWF458771:LWG458772 MGB458771:MGC458772 MPX458771:MPY458772 MZT458771:MZU458772 NJP458771:NJQ458772 NTL458771:NTM458772 ODH458771:ODI458772 OND458771:ONE458772 OWZ458771:OXA458772 PGV458771:PGW458772 PQR458771:PQS458772 QAN458771:QAO458772 QKJ458771:QKK458772 QUF458771:QUG458772 REB458771:REC458772 RNX458771:RNY458772 RXT458771:RXU458772 SHP458771:SHQ458772 SRL458771:SRM458772 TBH458771:TBI458772 TLD458771:TLE458772 TUZ458771:TVA458772 UEV458771:UEW458772 UOR458771:UOS458772 UYN458771:UYO458772 VIJ458771:VIK458772 VSF458771:VSG458772 WCB458771:WCC458772 WLX458771:WLY458772 WVT458771:WVU458772 L524307:M524308 JH524307:JI524308 TD524307:TE524308 ACZ524307:ADA524308 AMV524307:AMW524308 AWR524307:AWS524308 BGN524307:BGO524308 BQJ524307:BQK524308 CAF524307:CAG524308 CKB524307:CKC524308 CTX524307:CTY524308 DDT524307:DDU524308 DNP524307:DNQ524308 DXL524307:DXM524308 EHH524307:EHI524308 ERD524307:ERE524308 FAZ524307:FBA524308 FKV524307:FKW524308 FUR524307:FUS524308 GEN524307:GEO524308 GOJ524307:GOK524308 GYF524307:GYG524308 HIB524307:HIC524308 HRX524307:HRY524308 IBT524307:IBU524308 ILP524307:ILQ524308 IVL524307:IVM524308 JFH524307:JFI524308 JPD524307:JPE524308 JYZ524307:JZA524308 KIV524307:KIW524308 KSR524307:KSS524308 LCN524307:LCO524308 LMJ524307:LMK524308 LWF524307:LWG524308 MGB524307:MGC524308 MPX524307:MPY524308 MZT524307:MZU524308 NJP524307:NJQ524308 NTL524307:NTM524308 ODH524307:ODI524308 OND524307:ONE524308 OWZ524307:OXA524308 PGV524307:PGW524308 PQR524307:PQS524308 QAN524307:QAO524308 QKJ524307:QKK524308 QUF524307:QUG524308 REB524307:REC524308 RNX524307:RNY524308 RXT524307:RXU524308 SHP524307:SHQ524308 SRL524307:SRM524308 TBH524307:TBI524308 TLD524307:TLE524308 TUZ524307:TVA524308 UEV524307:UEW524308 UOR524307:UOS524308 UYN524307:UYO524308 VIJ524307:VIK524308 VSF524307:VSG524308 WCB524307:WCC524308 WLX524307:WLY524308 WVT524307:WVU524308 L589843:M589844 JH589843:JI589844 TD589843:TE589844 ACZ589843:ADA589844 AMV589843:AMW589844 AWR589843:AWS589844 BGN589843:BGO589844 BQJ589843:BQK589844 CAF589843:CAG589844 CKB589843:CKC589844 CTX589843:CTY589844 DDT589843:DDU589844 DNP589843:DNQ589844 DXL589843:DXM589844 EHH589843:EHI589844 ERD589843:ERE589844 FAZ589843:FBA589844 FKV589843:FKW589844 FUR589843:FUS589844 GEN589843:GEO589844 GOJ589843:GOK589844 GYF589843:GYG589844 HIB589843:HIC589844 HRX589843:HRY589844 IBT589843:IBU589844 ILP589843:ILQ589844 IVL589843:IVM589844 JFH589843:JFI589844 JPD589843:JPE589844 JYZ589843:JZA589844 KIV589843:KIW589844 KSR589843:KSS589844 LCN589843:LCO589844 LMJ589843:LMK589844 LWF589843:LWG589844 MGB589843:MGC589844 MPX589843:MPY589844 MZT589843:MZU589844 NJP589843:NJQ589844 NTL589843:NTM589844 ODH589843:ODI589844 OND589843:ONE589844 OWZ589843:OXA589844 PGV589843:PGW589844 PQR589843:PQS589844 QAN589843:QAO589844 QKJ589843:QKK589844 QUF589843:QUG589844 REB589843:REC589844 RNX589843:RNY589844 RXT589843:RXU589844 SHP589843:SHQ589844 SRL589843:SRM589844 TBH589843:TBI589844 TLD589843:TLE589844 TUZ589843:TVA589844 UEV589843:UEW589844 UOR589843:UOS589844 UYN589843:UYO589844 VIJ589843:VIK589844 VSF589843:VSG589844 WCB589843:WCC589844 WLX589843:WLY589844 WVT589843:WVU589844 L655379:M655380 JH655379:JI655380 TD655379:TE655380 ACZ655379:ADA655380 AMV655379:AMW655380 AWR655379:AWS655380 BGN655379:BGO655380 BQJ655379:BQK655380 CAF655379:CAG655380 CKB655379:CKC655380 CTX655379:CTY655380 DDT655379:DDU655380 DNP655379:DNQ655380 DXL655379:DXM655380 EHH655379:EHI655380 ERD655379:ERE655380 FAZ655379:FBA655380 FKV655379:FKW655380 FUR655379:FUS655380 GEN655379:GEO655380 GOJ655379:GOK655380 GYF655379:GYG655380 HIB655379:HIC655380 HRX655379:HRY655380 IBT655379:IBU655380 ILP655379:ILQ655380 IVL655379:IVM655380 JFH655379:JFI655380 JPD655379:JPE655380 JYZ655379:JZA655380 KIV655379:KIW655380 KSR655379:KSS655380 LCN655379:LCO655380 LMJ655379:LMK655380 LWF655379:LWG655380 MGB655379:MGC655380 MPX655379:MPY655380 MZT655379:MZU655380 NJP655379:NJQ655380 NTL655379:NTM655380 ODH655379:ODI655380 OND655379:ONE655380 OWZ655379:OXA655380 PGV655379:PGW655380 PQR655379:PQS655380 QAN655379:QAO655380 QKJ655379:QKK655380 QUF655379:QUG655380 REB655379:REC655380 RNX655379:RNY655380 RXT655379:RXU655380 SHP655379:SHQ655380 SRL655379:SRM655380 TBH655379:TBI655380 TLD655379:TLE655380 TUZ655379:TVA655380 UEV655379:UEW655380 UOR655379:UOS655380 UYN655379:UYO655380 VIJ655379:VIK655380 VSF655379:VSG655380 WCB655379:WCC655380 WLX655379:WLY655380 WVT655379:WVU655380 L720915:M720916 JH720915:JI720916 TD720915:TE720916 ACZ720915:ADA720916 AMV720915:AMW720916 AWR720915:AWS720916 BGN720915:BGO720916 BQJ720915:BQK720916 CAF720915:CAG720916 CKB720915:CKC720916 CTX720915:CTY720916 DDT720915:DDU720916 DNP720915:DNQ720916 DXL720915:DXM720916 EHH720915:EHI720916 ERD720915:ERE720916 FAZ720915:FBA720916 FKV720915:FKW720916 FUR720915:FUS720916 GEN720915:GEO720916 GOJ720915:GOK720916 GYF720915:GYG720916 HIB720915:HIC720916 HRX720915:HRY720916 IBT720915:IBU720916 ILP720915:ILQ720916 IVL720915:IVM720916 JFH720915:JFI720916 JPD720915:JPE720916 JYZ720915:JZA720916 KIV720915:KIW720916 KSR720915:KSS720916 LCN720915:LCO720916 LMJ720915:LMK720916 LWF720915:LWG720916 MGB720915:MGC720916 MPX720915:MPY720916 MZT720915:MZU720916 NJP720915:NJQ720916 NTL720915:NTM720916 ODH720915:ODI720916 OND720915:ONE720916 OWZ720915:OXA720916 PGV720915:PGW720916 PQR720915:PQS720916 QAN720915:QAO720916 QKJ720915:QKK720916 QUF720915:QUG720916 REB720915:REC720916 RNX720915:RNY720916 RXT720915:RXU720916 SHP720915:SHQ720916 SRL720915:SRM720916 TBH720915:TBI720916 TLD720915:TLE720916 TUZ720915:TVA720916 UEV720915:UEW720916 UOR720915:UOS720916 UYN720915:UYO720916 VIJ720915:VIK720916 VSF720915:VSG720916 WCB720915:WCC720916 WLX720915:WLY720916 WVT720915:WVU720916 L786451:M786452 JH786451:JI786452 TD786451:TE786452 ACZ786451:ADA786452 AMV786451:AMW786452 AWR786451:AWS786452 BGN786451:BGO786452 BQJ786451:BQK786452 CAF786451:CAG786452 CKB786451:CKC786452 CTX786451:CTY786452 DDT786451:DDU786452 DNP786451:DNQ786452 DXL786451:DXM786452 EHH786451:EHI786452 ERD786451:ERE786452 FAZ786451:FBA786452 FKV786451:FKW786452 FUR786451:FUS786452 GEN786451:GEO786452 GOJ786451:GOK786452 GYF786451:GYG786452 HIB786451:HIC786452 HRX786451:HRY786452 IBT786451:IBU786452 ILP786451:ILQ786452 IVL786451:IVM786452 JFH786451:JFI786452 JPD786451:JPE786452 JYZ786451:JZA786452 KIV786451:KIW786452 KSR786451:KSS786452 LCN786451:LCO786452 LMJ786451:LMK786452 LWF786451:LWG786452 MGB786451:MGC786452 MPX786451:MPY786452 MZT786451:MZU786452 NJP786451:NJQ786452 NTL786451:NTM786452 ODH786451:ODI786452 OND786451:ONE786452 OWZ786451:OXA786452 PGV786451:PGW786452 PQR786451:PQS786452 QAN786451:QAO786452 QKJ786451:QKK786452 QUF786451:QUG786452 REB786451:REC786452 RNX786451:RNY786452 RXT786451:RXU786452 SHP786451:SHQ786452 SRL786451:SRM786452 TBH786451:TBI786452 TLD786451:TLE786452 TUZ786451:TVA786452 UEV786451:UEW786452 UOR786451:UOS786452 UYN786451:UYO786452 VIJ786451:VIK786452 VSF786451:VSG786452 WCB786451:WCC786452 WLX786451:WLY786452 WVT786451:WVU786452 L851987:M851988 JH851987:JI851988 TD851987:TE851988 ACZ851987:ADA851988 AMV851987:AMW851988 AWR851987:AWS851988 BGN851987:BGO851988 BQJ851987:BQK851988 CAF851987:CAG851988 CKB851987:CKC851988 CTX851987:CTY851988 DDT851987:DDU851988 DNP851987:DNQ851988 DXL851987:DXM851988 EHH851987:EHI851988 ERD851987:ERE851988 FAZ851987:FBA851988 FKV851987:FKW851988 FUR851987:FUS851988 GEN851987:GEO851988 GOJ851987:GOK851988 GYF851987:GYG851988 HIB851987:HIC851988 HRX851987:HRY851988 IBT851987:IBU851988 ILP851987:ILQ851988 IVL851987:IVM851988 JFH851987:JFI851988 JPD851987:JPE851988 JYZ851987:JZA851988 KIV851987:KIW851988 KSR851987:KSS851988 LCN851987:LCO851988 LMJ851987:LMK851988 LWF851987:LWG851988 MGB851987:MGC851988 MPX851987:MPY851988 MZT851987:MZU851988 NJP851987:NJQ851988 NTL851987:NTM851988 ODH851987:ODI851988 OND851987:ONE851988 OWZ851987:OXA851988 PGV851987:PGW851988 PQR851987:PQS851988 QAN851987:QAO851988 QKJ851987:QKK851988 QUF851987:QUG851988 REB851987:REC851988 RNX851987:RNY851988 RXT851987:RXU851988 SHP851987:SHQ851988 SRL851987:SRM851988 TBH851987:TBI851988 TLD851987:TLE851988 TUZ851987:TVA851988 UEV851987:UEW851988 UOR851987:UOS851988 UYN851987:UYO851988 VIJ851987:VIK851988 VSF851987:VSG851988 WCB851987:WCC851988 WLX851987:WLY851988 WVT851987:WVU851988 L917523:M917524 JH917523:JI917524 TD917523:TE917524 ACZ917523:ADA917524 AMV917523:AMW917524 AWR917523:AWS917524 BGN917523:BGO917524 BQJ917523:BQK917524 CAF917523:CAG917524 CKB917523:CKC917524 CTX917523:CTY917524 DDT917523:DDU917524 DNP917523:DNQ917524 DXL917523:DXM917524 EHH917523:EHI917524 ERD917523:ERE917524 FAZ917523:FBA917524 FKV917523:FKW917524 FUR917523:FUS917524 GEN917523:GEO917524 GOJ917523:GOK917524 GYF917523:GYG917524 HIB917523:HIC917524 HRX917523:HRY917524 IBT917523:IBU917524 ILP917523:ILQ917524 IVL917523:IVM917524 JFH917523:JFI917524 JPD917523:JPE917524 JYZ917523:JZA917524 KIV917523:KIW917524 KSR917523:KSS917524 LCN917523:LCO917524 LMJ917523:LMK917524 LWF917523:LWG917524 MGB917523:MGC917524 MPX917523:MPY917524 MZT917523:MZU917524 NJP917523:NJQ917524 NTL917523:NTM917524 ODH917523:ODI917524 OND917523:ONE917524 OWZ917523:OXA917524 PGV917523:PGW917524 PQR917523:PQS917524 QAN917523:QAO917524 QKJ917523:QKK917524 QUF917523:QUG917524 REB917523:REC917524 RNX917523:RNY917524 RXT917523:RXU917524 SHP917523:SHQ917524 SRL917523:SRM917524 TBH917523:TBI917524 TLD917523:TLE917524 TUZ917523:TVA917524 UEV917523:UEW917524 UOR917523:UOS917524 UYN917523:UYO917524 VIJ917523:VIK917524 VSF917523:VSG917524 WCB917523:WCC917524 WLX917523:WLY917524 WVT917523:WVU917524 L983059:M983060 JH983059:JI983060 TD983059:TE983060 ACZ983059:ADA983060 AMV983059:AMW983060 AWR983059:AWS983060 BGN983059:BGO983060 BQJ983059:BQK983060 CAF983059:CAG983060 CKB983059:CKC983060 CTX983059:CTY983060 DDT983059:DDU983060 DNP983059:DNQ983060 DXL983059:DXM983060 EHH983059:EHI983060 ERD983059:ERE983060 FAZ983059:FBA983060 FKV983059:FKW983060 FUR983059:FUS983060 GEN983059:GEO983060 GOJ983059:GOK983060 GYF983059:GYG983060 HIB983059:HIC983060 HRX983059:HRY983060 IBT983059:IBU983060 ILP983059:ILQ983060 IVL983059:IVM983060 JFH983059:JFI983060 JPD983059:JPE983060 JYZ983059:JZA983060 KIV983059:KIW983060 KSR983059:KSS983060 LCN983059:LCO983060 LMJ983059:LMK983060 LWF983059:LWG983060 MGB983059:MGC983060 MPX983059:MPY983060 MZT983059:MZU983060 NJP983059:NJQ983060 NTL983059:NTM983060 ODH983059:ODI983060 OND983059:ONE983060 OWZ983059:OXA983060 PGV983059:PGW983060 PQR983059:PQS983060 QAN983059:QAO983060 QKJ983059:QKK983060 QUF983059:QUG983060 REB983059:REC983060 RNX983059:RNY983060 RXT983059:RXU983060 SHP983059:SHQ983060 SRL983059:SRM983060 TBH983059:TBI983060 TLD983059:TLE983060 TUZ983059:TVA983060 UEV983059:UEW983060 UOR983059:UOS983060 UYN983059:UYO983060 VIJ983059:VIK983060 VSF983059:VSG983060 WCB983059:WCC983060 WLX983059:WLY983060 WVT983059:WVU983060" xr:uid="{978D3100-0BBD-4E1B-A868-03C6BCBCA97E}">
      <formula1>$AS$11:$AS$14</formula1>
    </dataValidation>
    <dataValidation type="list" allowBlank="1" showInputMessage="1" showErrorMessage="1" sqref="WVX983059:WVY983060 JL19:JM20 TH19:TI20 ADD19:ADE20 AMZ19:ANA20 AWV19:AWW20 BGR19:BGS20 BQN19:BQO20 CAJ19:CAK20 CKF19:CKG20 CUB19:CUC20 DDX19:DDY20 DNT19:DNU20 DXP19:DXQ20 EHL19:EHM20 ERH19:ERI20 FBD19:FBE20 FKZ19:FLA20 FUV19:FUW20 GER19:GES20 GON19:GOO20 GYJ19:GYK20 HIF19:HIG20 HSB19:HSC20 IBX19:IBY20 ILT19:ILU20 IVP19:IVQ20 JFL19:JFM20 JPH19:JPI20 JZD19:JZE20 KIZ19:KJA20 KSV19:KSW20 LCR19:LCS20 LMN19:LMO20 LWJ19:LWK20 MGF19:MGG20 MQB19:MQC20 MZX19:MZY20 NJT19:NJU20 NTP19:NTQ20 ODL19:ODM20 ONH19:ONI20 OXD19:OXE20 PGZ19:PHA20 PQV19:PQW20 QAR19:QAS20 QKN19:QKO20 QUJ19:QUK20 REF19:REG20 ROB19:ROC20 RXX19:RXY20 SHT19:SHU20 SRP19:SRQ20 TBL19:TBM20 TLH19:TLI20 TVD19:TVE20 UEZ19:UFA20 UOV19:UOW20 UYR19:UYS20 VIN19:VIO20 VSJ19:VSK20 WCF19:WCG20 WMB19:WMC20 WVX19:WVY20 P65555:Q65556 JL65555:JM65556 TH65555:TI65556 ADD65555:ADE65556 AMZ65555:ANA65556 AWV65555:AWW65556 BGR65555:BGS65556 BQN65555:BQO65556 CAJ65555:CAK65556 CKF65555:CKG65556 CUB65555:CUC65556 DDX65555:DDY65556 DNT65555:DNU65556 DXP65555:DXQ65556 EHL65555:EHM65556 ERH65555:ERI65556 FBD65555:FBE65556 FKZ65555:FLA65556 FUV65555:FUW65556 GER65555:GES65556 GON65555:GOO65556 GYJ65555:GYK65556 HIF65555:HIG65556 HSB65555:HSC65556 IBX65555:IBY65556 ILT65555:ILU65556 IVP65555:IVQ65556 JFL65555:JFM65556 JPH65555:JPI65556 JZD65555:JZE65556 KIZ65555:KJA65556 KSV65555:KSW65556 LCR65555:LCS65556 LMN65555:LMO65556 LWJ65555:LWK65556 MGF65555:MGG65556 MQB65555:MQC65556 MZX65555:MZY65556 NJT65555:NJU65556 NTP65555:NTQ65556 ODL65555:ODM65556 ONH65555:ONI65556 OXD65555:OXE65556 PGZ65555:PHA65556 PQV65555:PQW65556 QAR65555:QAS65556 QKN65555:QKO65556 QUJ65555:QUK65556 REF65555:REG65556 ROB65555:ROC65556 RXX65555:RXY65556 SHT65555:SHU65556 SRP65555:SRQ65556 TBL65555:TBM65556 TLH65555:TLI65556 TVD65555:TVE65556 UEZ65555:UFA65556 UOV65555:UOW65556 UYR65555:UYS65556 VIN65555:VIO65556 VSJ65555:VSK65556 WCF65555:WCG65556 WMB65555:WMC65556 WVX65555:WVY65556 P131091:Q131092 JL131091:JM131092 TH131091:TI131092 ADD131091:ADE131092 AMZ131091:ANA131092 AWV131091:AWW131092 BGR131091:BGS131092 BQN131091:BQO131092 CAJ131091:CAK131092 CKF131091:CKG131092 CUB131091:CUC131092 DDX131091:DDY131092 DNT131091:DNU131092 DXP131091:DXQ131092 EHL131091:EHM131092 ERH131091:ERI131092 FBD131091:FBE131092 FKZ131091:FLA131092 FUV131091:FUW131092 GER131091:GES131092 GON131091:GOO131092 GYJ131091:GYK131092 HIF131091:HIG131092 HSB131091:HSC131092 IBX131091:IBY131092 ILT131091:ILU131092 IVP131091:IVQ131092 JFL131091:JFM131092 JPH131091:JPI131092 JZD131091:JZE131092 KIZ131091:KJA131092 KSV131091:KSW131092 LCR131091:LCS131092 LMN131091:LMO131092 LWJ131091:LWK131092 MGF131091:MGG131092 MQB131091:MQC131092 MZX131091:MZY131092 NJT131091:NJU131092 NTP131091:NTQ131092 ODL131091:ODM131092 ONH131091:ONI131092 OXD131091:OXE131092 PGZ131091:PHA131092 PQV131091:PQW131092 QAR131091:QAS131092 QKN131091:QKO131092 QUJ131091:QUK131092 REF131091:REG131092 ROB131091:ROC131092 RXX131091:RXY131092 SHT131091:SHU131092 SRP131091:SRQ131092 TBL131091:TBM131092 TLH131091:TLI131092 TVD131091:TVE131092 UEZ131091:UFA131092 UOV131091:UOW131092 UYR131091:UYS131092 VIN131091:VIO131092 VSJ131091:VSK131092 WCF131091:WCG131092 WMB131091:WMC131092 WVX131091:WVY131092 P196627:Q196628 JL196627:JM196628 TH196627:TI196628 ADD196627:ADE196628 AMZ196627:ANA196628 AWV196627:AWW196628 BGR196627:BGS196628 BQN196627:BQO196628 CAJ196627:CAK196628 CKF196627:CKG196628 CUB196627:CUC196628 DDX196627:DDY196628 DNT196627:DNU196628 DXP196627:DXQ196628 EHL196627:EHM196628 ERH196627:ERI196628 FBD196627:FBE196628 FKZ196627:FLA196628 FUV196627:FUW196628 GER196627:GES196628 GON196627:GOO196628 GYJ196627:GYK196628 HIF196627:HIG196628 HSB196627:HSC196628 IBX196627:IBY196628 ILT196627:ILU196628 IVP196627:IVQ196628 JFL196627:JFM196628 JPH196627:JPI196628 JZD196627:JZE196628 KIZ196627:KJA196628 KSV196627:KSW196628 LCR196627:LCS196628 LMN196627:LMO196628 LWJ196627:LWK196628 MGF196627:MGG196628 MQB196627:MQC196628 MZX196627:MZY196628 NJT196627:NJU196628 NTP196627:NTQ196628 ODL196627:ODM196628 ONH196627:ONI196628 OXD196627:OXE196628 PGZ196627:PHA196628 PQV196627:PQW196628 QAR196627:QAS196628 QKN196627:QKO196628 QUJ196627:QUK196628 REF196627:REG196628 ROB196627:ROC196628 RXX196627:RXY196628 SHT196627:SHU196628 SRP196627:SRQ196628 TBL196627:TBM196628 TLH196627:TLI196628 TVD196627:TVE196628 UEZ196627:UFA196628 UOV196627:UOW196628 UYR196627:UYS196628 VIN196627:VIO196628 VSJ196627:VSK196628 WCF196627:WCG196628 WMB196627:WMC196628 WVX196627:WVY196628 P262163:Q262164 JL262163:JM262164 TH262163:TI262164 ADD262163:ADE262164 AMZ262163:ANA262164 AWV262163:AWW262164 BGR262163:BGS262164 BQN262163:BQO262164 CAJ262163:CAK262164 CKF262163:CKG262164 CUB262163:CUC262164 DDX262163:DDY262164 DNT262163:DNU262164 DXP262163:DXQ262164 EHL262163:EHM262164 ERH262163:ERI262164 FBD262163:FBE262164 FKZ262163:FLA262164 FUV262163:FUW262164 GER262163:GES262164 GON262163:GOO262164 GYJ262163:GYK262164 HIF262163:HIG262164 HSB262163:HSC262164 IBX262163:IBY262164 ILT262163:ILU262164 IVP262163:IVQ262164 JFL262163:JFM262164 JPH262163:JPI262164 JZD262163:JZE262164 KIZ262163:KJA262164 KSV262163:KSW262164 LCR262163:LCS262164 LMN262163:LMO262164 LWJ262163:LWK262164 MGF262163:MGG262164 MQB262163:MQC262164 MZX262163:MZY262164 NJT262163:NJU262164 NTP262163:NTQ262164 ODL262163:ODM262164 ONH262163:ONI262164 OXD262163:OXE262164 PGZ262163:PHA262164 PQV262163:PQW262164 QAR262163:QAS262164 QKN262163:QKO262164 QUJ262163:QUK262164 REF262163:REG262164 ROB262163:ROC262164 RXX262163:RXY262164 SHT262163:SHU262164 SRP262163:SRQ262164 TBL262163:TBM262164 TLH262163:TLI262164 TVD262163:TVE262164 UEZ262163:UFA262164 UOV262163:UOW262164 UYR262163:UYS262164 VIN262163:VIO262164 VSJ262163:VSK262164 WCF262163:WCG262164 WMB262163:WMC262164 WVX262163:WVY262164 P327699:Q327700 JL327699:JM327700 TH327699:TI327700 ADD327699:ADE327700 AMZ327699:ANA327700 AWV327699:AWW327700 BGR327699:BGS327700 BQN327699:BQO327700 CAJ327699:CAK327700 CKF327699:CKG327700 CUB327699:CUC327700 DDX327699:DDY327700 DNT327699:DNU327700 DXP327699:DXQ327700 EHL327699:EHM327700 ERH327699:ERI327700 FBD327699:FBE327700 FKZ327699:FLA327700 FUV327699:FUW327700 GER327699:GES327700 GON327699:GOO327700 GYJ327699:GYK327700 HIF327699:HIG327700 HSB327699:HSC327700 IBX327699:IBY327700 ILT327699:ILU327700 IVP327699:IVQ327700 JFL327699:JFM327700 JPH327699:JPI327700 JZD327699:JZE327700 KIZ327699:KJA327700 KSV327699:KSW327700 LCR327699:LCS327700 LMN327699:LMO327700 LWJ327699:LWK327700 MGF327699:MGG327700 MQB327699:MQC327700 MZX327699:MZY327700 NJT327699:NJU327700 NTP327699:NTQ327700 ODL327699:ODM327700 ONH327699:ONI327700 OXD327699:OXE327700 PGZ327699:PHA327700 PQV327699:PQW327700 QAR327699:QAS327700 QKN327699:QKO327700 QUJ327699:QUK327700 REF327699:REG327700 ROB327699:ROC327700 RXX327699:RXY327700 SHT327699:SHU327700 SRP327699:SRQ327700 TBL327699:TBM327700 TLH327699:TLI327700 TVD327699:TVE327700 UEZ327699:UFA327700 UOV327699:UOW327700 UYR327699:UYS327700 VIN327699:VIO327700 VSJ327699:VSK327700 WCF327699:WCG327700 WMB327699:WMC327700 WVX327699:WVY327700 P393235:Q393236 JL393235:JM393236 TH393235:TI393236 ADD393235:ADE393236 AMZ393235:ANA393236 AWV393235:AWW393236 BGR393235:BGS393236 BQN393235:BQO393236 CAJ393235:CAK393236 CKF393235:CKG393236 CUB393235:CUC393236 DDX393235:DDY393236 DNT393235:DNU393236 DXP393235:DXQ393236 EHL393235:EHM393236 ERH393235:ERI393236 FBD393235:FBE393236 FKZ393235:FLA393236 FUV393235:FUW393236 GER393235:GES393236 GON393235:GOO393236 GYJ393235:GYK393236 HIF393235:HIG393236 HSB393235:HSC393236 IBX393235:IBY393236 ILT393235:ILU393236 IVP393235:IVQ393236 JFL393235:JFM393236 JPH393235:JPI393236 JZD393235:JZE393236 KIZ393235:KJA393236 KSV393235:KSW393236 LCR393235:LCS393236 LMN393235:LMO393236 LWJ393235:LWK393236 MGF393235:MGG393236 MQB393235:MQC393236 MZX393235:MZY393236 NJT393235:NJU393236 NTP393235:NTQ393236 ODL393235:ODM393236 ONH393235:ONI393236 OXD393235:OXE393236 PGZ393235:PHA393236 PQV393235:PQW393236 QAR393235:QAS393236 QKN393235:QKO393236 QUJ393235:QUK393236 REF393235:REG393236 ROB393235:ROC393236 RXX393235:RXY393236 SHT393235:SHU393236 SRP393235:SRQ393236 TBL393235:TBM393236 TLH393235:TLI393236 TVD393235:TVE393236 UEZ393235:UFA393236 UOV393235:UOW393236 UYR393235:UYS393236 VIN393235:VIO393236 VSJ393235:VSK393236 WCF393235:WCG393236 WMB393235:WMC393236 WVX393235:WVY393236 P458771:Q458772 JL458771:JM458772 TH458771:TI458772 ADD458771:ADE458772 AMZ458771:ANA458772 AWV458771:AWW458772 BGR458771:BGS458772 BQN458771:BQO458772 CAJ458771:CAK458772 CKF458771:CKG458772 CUB458771:CUC458772 DDX458771:DDY458772 DNT458771:DNU458772 DXP458771:DXQ458772 EHL458771:EHM458772 ERH458771:ERI458772 FBD458771:FBE458772 FKZ458771:FLA458772 FUV458771:FUW458772 GER458771:GES458772 GON458771:GOO458772 GYJ458771:GYK458772 HIF458771:HIG458772 HSB458771:HSC458772 IBX458771:IBY458772 ILT458771:ILU458772 IVP458771:IVQ458772 JFL458771:JFM458772 JPH458771:JPI458772 JZD458771:JZE458772 KIZ458771:KJA458772 KSV458771:KSW458772 LCR458771:LCS458772 LMN458771:LMO458772 LWJ458771:LWK458772 MGF458771:MGG458772 MQB458771:MQC458772 MZX458771:MZY458772 NJT458771:NJU458772 NTP458771:NTQ458772 ODL458771:ODM458772 ONH458771:ONI458772 OXD458771:OXE458772 PGZ458771:PHA458772 PQV458771:PQW458772 QAR458771:QAS458772 QKN458771:QKO458772 QUJ458771:QUK458772 REF458771:REG458772 ROB458771:ROC458772 RXX458771:RXY458772 SHT458771:SHU458772 SRP458771:SRQ458772 TBL458771:TBM458772 TLH458771:TLI458772 TVD458771:TVE458772 UEZ458771:UFA458772 UOV458771:UOW458772 UYR458771:UYS458772 VIN458771:VIO458772 VSJ458771:VSK458772 WCF458771:WCG458772 WMB458771:WMC458772 WVX458771:WVY458772 P524307:Q524308 JL524307:JM524308 TH524307:TI524308 ADD524307:ADE524308 AMZ524307:ANA524308 AWV524307:AWW524308 BGR524307:BGS524308 BQN524307:BQO524308 CAJ524307:CAK524308 CKF524307:CKG524308 CUB524307:CUC524308 DDX524307:DDY524308 DNT524307:DNU524308 DXP524307:DXQ524308 EHL524307:EHM524308 ERH524307:ERI524308 FBD524307:FBE524308 FKZ524307:FLA524308 FUV524307:FUW524308 GER524307:GES524308 GON524307:GOO524308 GYJ524307:GYK524308 HIF524307:HIG524308 HSB524307:HSC524308 IBX524307:IBY524308 ILT524307:ILU524308 IVP524307:IVQ524308 JFL524307:JFM524308 JPH524307:JPI524308 JZD524307:JZE524308 KIZ524307:KJA524308 KSV524307:KSW524308 LCR524307:LCS524308 LMN524307:LMO524308 LWJ524307:LWK524308 MGF524307:MGG524308 MQB524307:MQC524308 MZX524307:MZY524308 NJT524307:NJU524308 NTP524307:NTQ524308 ODL524307:ODM524308 ONH524307:ONI524308 OXD524307:OXE524308 PGZ524307:PHA524308 PQV524307:PQW524308 QAR524307:QAS524308 QKN524307:QKO524308 QUJ524307:QUK524308 REF524307:REG524308 ROB524307:ROC524308 RXX524307:RXY524308 SHT524307:SHU524308 SRP524307:SRQ524308 TBL524307:TBM524308 TLH524307:TLI524308 TVD524307:TVE524308 UEZ524307:UFA524308 UOV524307:UOW524308 UYR524307:UYS524308 VIN524307:VIO524308 VSJ524307:VSK524308 WCF524307:WCG524308 WMB524307:WMC524308 WVX524307:WVY524308 P589843:Q589844 JL589843:JM589844 TH589843:TI589844 ADD589843:ADE589844 AMZ589843:ANA589844 AWV589843:AWW589844 BGR589843:BGS589844 BQN589843:BQO589844 CAJ589843:CAK589844 CKF589843:CKG589844 CUB589843:CUC589844 DDX589843:DDY589844 DNT589843:DNU589844 DXP589843:DXQ589844 EHL589843:EHM589844 ERH589843:ERI589844 FBD589843:FBE589844 FKZ589843:FLA589844 FUV589843:FUW589844 GER589843:GES589844 GON589843:GOO589844 GYJ589843:GYK589844 HIF589843:HIG589844 HSB589843:HSC589844 IBX589843:IBY589844 ILT589843:ILU589844 IVP589843:IVQ589844 JFL589843:JFM589844 JPH589843:JPI589844 JZD589843:JZE589844 KIZ589843:KJA589844 KSV589843:KSW589844 LCR589843:LCS589844 LMN589843:LMO589844 LWJ589843:LWK589844 MGF589843:MGG589844 MQB589843:MQC589844 MZX589843:MZY589844 NJT589843:NJU589844 NTP589843:NTQ589844 ODL589843:ODM589844 ONH589843:ONI589844 OXD589843:OXE589844 PGZ589843:PHA589844 PQV589843:PQW589844 QAR589843:QAS589844 QKN589843:QKO589844 QUJ589843:QUK589844 REF589843:REG589844 ROB589843:ROC589844 RXX589843:RXY589844 SHT589843:SHU589844 SRP589843:SRQ589844 TBL589843:TBM589844 TLH589843:TLI589844 TVD589843:TVE589844 UEZ589843:UFA589844 UOV589843:UOW589844 UYR589843:UYS589844 VIN589843:VIO589844 VSJ589843:VSK589844 WCF589843:WCG589844 WMB589843:WMC589844 WVX589843:WVY589844 P655379:Q655380 JL655379:JM655380 TH655379:TI655380 ADD655379:ADE655380 AMZ655379:ANA655380 AWV655379:AWW655380 BGR655379:BGS655380 BQN655379:BQO655380 CAJ655379:CAK655380 CKF655379:CKG655380 CUB655379:CUC655380 DDX655379:DDY655380 DNT655379:DNU655380 DXP655379:DXQ655380 EHL655379:EHM655380 ERH655379:ERI655380 FBD655379:FBE655380 FKZ655379:FLA655380 FUV655379:FUW655380 GER655379:GES655380 GON655379:GOO655380 GYJ655379:GYK655380 HIF655379:HIG655380 HSB655379:HSC655380 IBX655379:IBY655380 ILT655379:ILU655380 IVP655379:IVQ655380 JFL655379:JFM655380 JPH655379:JPI655380 JZD655379:JZE655380 KIZ655379:KJA655380 KSV655379:KSW655380 LCR655379:LCS655380 LMN655379:LMO655380 LWJ655379:LWK655380 MGF655379:MGG655380 MQB655379:MQC655380 MZX655379:MZY655380 NJT655379:NJU655380 NTP655379:NTQ655380 ODL655379:ODM655380 ONH655379:ONI655380 OXD655379:OXE655380 PGZ655379:PHA655380 PQV655379:PQW655380 QAR655379:QAS655380 QKN655379:QKO655380 QUJ655379:QUK655380 REF655379:REG655380 ROB655379:ROC655380 RXX655379:RXY655380 SHT655379:SHU655380 SRP655379:SRQ655380 TBL655379:TBM655380 TLH655379:TLI655380 TVD655379:TVE655380 UEZ655379:UFA655380 UOV655379:UOW655380 UYR655379:UYS655380 VIN655379:VIO655380 VSJ655379:VSK655380 WCF655379:WCG655380 WMB655379:WMC655380 WVX655379:WVY655380 P720915:Q720916 JL720915:JM720916 TH720915:TI720916 ADD720915:ADE720916 AMZ720915:ANA720916 AWV720915:AWW720916 BGR720915:BGS720916 BQN720915:BQO720916 CAJ720915:CAK720916 CKF720915:CKG720916 CUB720915:CUC720916 DDX720915:DDY720916 DNT720915:DNU720916 DXP720915:DXQ720916 EHL720915:EHM720916 ERH720915:ERI720916 FBD720915:FBE720916 FKZ720915:FLA720916 FUV720915:FUW720916 GER720915:GES720916 GON720915:GOO720916 GYJ720915:GYK720916 HIF720915:HIG720916 HSB720915:HSC720916 IBX720915:IBY720916 ILT720915:ILU720916 IVP720915:IVQ720916 JFL720915:JFM720916 JPH720915:JPI720916 JZD720915:JZE720916 KIZ720915:KJA720916 KSV720915:KSW720916 LCR720915:LCS720916 LMN720915:LMO720916 LWJ720915:LWK720916 MGF720915:MGG720916 MQB720915:MQC720916 MZX720915:MZY720916 NJT720915:NJU720916 NTP720915:NTQ720916 ODL720915:ODM720916 ONH720915:ONI720916 OXD720915:OXE720916 PGZ720915:PHA720916 PQV720915:PQW720916 QAR720915:QAS720916 QKN720915:QKO720916 QUJ720915:QUK720916 REF720915:REG720916 ROB720915:ROC720916 RXX720915:RXY720916 SHT720915:SHU720916 SRP720915:SRQ720916 TBL720915:TBM720916 TLH720915:TLI720916 TVD720915:TVE720916 UEZ720915:UFA720916 UOV720915:UOW720916 UYR720915:UYS720916 VIN720915:VIO720916 VSJ720915:VSK720916 WCF720915:WCG720916 WMB720915:WMC720916 WVX720915:WVY720916 P786451:Q786452 JL786451:JM786452 TH786451:TI786452 ADD786451:ADE786452 AMZ786451:ANA786452 AWV786451:AWW786452 BGR786451:BGS786452 BQN786451:BQO786452 CAJ786451:CAK786452 CKF786451:CKG786452 CUB786451:CUC786452 DDX786451:DDY786452 DNT786451:DNU786452 DXP786451:DXQ786452 EHL786451:EHM786452 ERH786451:ERI786452 FBD786451:FBE786452 FKZ786451:FLA786452 FUV786451:FUW786452 GER786451:GES786452 GON786451:GOO786452 GYJ786451:GYK786452 HIF786451:HIG786452 HSB786451:HSC786452 IBX786451:IBY786452 ILT786451:ILU786452 IVP786451:IVQ786452 JFL786451:JFM786452 JPH786451:JPI786452 JZD786451:JZE786452 KIZ786451:KJA786452 KSV786451:KSW786452 LCR786451:LCS786452 LMN786451:LMO786452 LWJ786451:LWK786452 MGF786451:MGG786452 MQB786451:MQC786452 MZX786451:MZY786452 NJT786451:NJU786452 NTP786451:NTQ786452 ODL786451:ODM786452 ONH786451:ONI786452 OXD786451:OXE786452 PGZ786451:PHA786452 PQV786451:PQW786452 QAR786451:QAS786452 QKN786451:QKO786452 QUJ786451:QUK786452 REF786451:REG786452 ROB786451:ROC786452 RXX786451:RXY786452 SHT786451:SHU786452 SRP786451:SRQ786452 TBL786451:TBM786452 TLH786451:TLI786452 TVD786451:TVE786452 UEZ786451:UFA786452 UOV786451:UOW786452 UYR786451:UYS786452 VIN786451:VIO786452 VSJ786451:VSK786452 WCF786451:WCG786452 WMB786451:WMC786452 WVX786451:WVY786452 P851987:Q851988 JL851987:JM851988 TH851987:TI851988 ADD851987:ADE851988 AMZ851987:ANA851988 AWV851987:AWW851988 BGR851987:BGS851988 BQN851987:BQO851988 CAJ851987:CAK851988 CKF851987:CKG851988 CUB851987:CUC851988 DDX851987:DDY851988 DNT851987:DNU851988 DXP851987:DXQ851988 EHL851987:EHM851988 ERH851987:ERI851988 FBD851987:FBE851988 FKZ851987:FLA851988 FUV851987:FUW851988 GER851987:GES851988 GON851987:GOO851988 GYJ851987:GYK851988 HIF851987:HIG851988 HSB851987:HSC851988 IBX851987:IBY851988 ILT851987:ILU851988 IVP851987:IVQ851988 JFL851987:JFM851988 JPH851987:JPI851988 JZD851987:JZE851988 KIZ851987:KJA851988 KSV851987:KSW851988 LCR851987:LCS851988 LMN851987:LMO851988 LWJ851987:LWK851988 MGF851987:MGG851988 MQB851987:MQC851988 MZX851987:MZY851988 NJT851987:NJU851988 NTP851987:NTQ851988 ODL851987:ODM851988 ONH851987:ONI851988 OXD851987:OXE851988 PGZ851987:PHA851988 PQV851987:PQW851988 QAR851987:QAS851988 QKN851987:QKO851988 QUJ851987:QUK851988 REF851987:REG851988 ROB851987:ROC851988 RXX851987:RXY851988 SHT851987:SHU851988 SRP851987:SRQ851988 TBL851987:TBM851988 TLH851987:TLI851988 TVD851987:TVE851988 UEZ851987:UFA851988 UOV851987:UOW851988 UYR851987:UYS851988 VIN851987:VIO851988 VSJ851987:VSK851988 WCF851987:WCG851988 WMB851987:WMC851988 WVX851987:WVY851988 P917523:Q917524 JL917523:JM917524 TH917523:TI917524 ADD917523:ADE917524 AMZ917523:ANA917524 AWV917523:AWW917524 BGR917523:BGS917524 BQN917523:BQO917524 CAJ917523:CAK917524 CKF917523:CKG917524 CUB917523:CUC917524 DDX917523:DDY917524 DNT917523:DNU917524 DXP917523:DXQ917524 EHL917523:EHM917524 ERH917523:ERI917524 FBD917523:FBE917524 FKZ917523:FLA917524 FUV917523:FUW917524 GER917523:GES917524 GON917523:GOO917524 GYJ917523:GYK917524 HIF917523:HIG917524 HSB917523:HSC917524 IBX917523:IBY917524 ILT917523:ILU917524 IVP917523:IVQ917524 JFL917523:JFM917524 JPH917523:JPI917524 JZD917523:JZE917524 KIZ917523:KJA917524 KSV917523:KSW917524 LCR917523:LCS917524 LMN917523:LMO917524 LWJ917523:LWK917524 MGF917523:MGG917524 MQB917523:MQC917524 MZX917523:MZY917524 NJT917523:NJU917524 NTP917523:NTQ917524 ODL917523:ODM917524 ONH917523:ONI917524 OXD917523:OXE917524 PGZ917523:PHA917524 PQV917523:PQW917524 QAR917523:QAS917524 QKN917523:QKO917524 QUJ917523:QUK917524 REF917523:REG917524 ROB917523:ROC917524 RXX917523:RXY917524 SHT917523:SHU917524 SRP917523:SRQ917524 TBL917523:TBM917524 TLH917523:TLI917524 TVD917523:TVE917524 UEZ917523:UFA917524 UOV917523:UOW917524 UYR917523:UYS917524 VIN917523:VIO917524 VSJ917523:VSK917524 WCF917523:WCG917524 WMB917523:WMC917524 WVX917523:WVY917524 P983059:Q983060 JL983059:JM983060 TH983059:TI983060 ADD983059:ADE983060 AMZ983059:ANA983060 AWV983059:AWW983060 BGR983059:BGS983060 BQN983059:BQO983060 CAJ983059:CAK983060 CKF983059:CKG983060 CUB983059:CUC983060 DDX983059:DDY983060 DNT983059:DNU983060 DXP983059:DXQ983060 EHL983059:EHM983060 ERH983059:ERI983060 FBD983059:FBE983060 FKZ983059:FLA983060 FUV983059:FUW983060 GER983059:GES983060 GON983059:GOO983060 GYJ983059:GYK983060 HIF983059:HIG983060 HSB983059:HSC983060 IBX983059:IBY983060 ILT983059:ILU983060 IVP983059:IVQ983060 JFL983059:JFM983060 JPH983059:JPI983060 JZD983059:JZE983060 KIZ983059:KJA983060 KSV983059:KSW983060 LCR983059:LCS983060 LMN983059:LMO983060 LWJ983059:LWK983060 MGF983059:MGG983060 MQB983059:MQC983060 MZX983059:MZY983060 NJT983059:NJU983060 NTP983059:NTQ983060 ODL983059:ODM983060 ONH983059:ONI983060 OXD983059:OXE983060 PGZ983059:PHA983060 PQV983059:PQW983060 QAR983059:QAS983060 QKN983059:QKO983060 QUJ983059:QUK983060 REF983059:REG983060 ROB983059:ROC983060 RXX983059:RXY983060 SHT983059:SHU983060 SRP983059:SRQ983060 TBL983059:TBM983060 TLH983059:TLI983060 TVD983059:TVE983060 UEZ983059:UFA983060 UOV983059:UOW983060 UYR983059:UYS983060 VIN983059:VIO983060 VSJ983059:VSK983060 WCF983059:WCG983060 WMB983059:WMC983060" xr:uid="{10000E06-02B6-4E39-8474-36C99A1D5D16}">
      <formula1>$AU$10:$AU$22</formula1>
    </dataValidation>
    <dataValidation type="list" allowBlank="1" showInputMessage="1" showErrorMessage="1" sqref="WWB983059:WWC983060 JP19:JQ20 TL19:TM20 ADH19:ADI20 AND19:ANE20 AWZ19:AXA20 BGV19:BGW20 BQR19:BQS20 CAN19:CAO20 CKJ19:CKK20 CUF19:CUG20 DEB19:DEC20 DNX19:DNY20 DXT19:DXU20 EHP19:EHQ20 ERL19:ERM20 FBH19:FBI20 FLD19:FLE20 FUZ19:FVA20 GEV19:GEW20 GOR19:GOS20 GYN19:GYO20 HIJ19:HIK20 HSF19:HSG20 ICB19:ICC20 ILX19:ILY20 IVT19:IVU20 JFP19:JFQ20 JPL19:JPM20 JZH19:JZI20 KJD19:KJE20 KSZ19:KTA20 LCV19:LCW20 LMR19:LMS20 LWN19:LWO20 MGJ19:MGK20 MQF19:MQG20 NAB19:NAC20 NJX19:NJY20 NTT19:NTU20 ODP19:ODQ20 ONL19:ONM20 OXH19:OXI20 PHD19:PHE20 PQZ19:PRA20 QAV19:QAW20 QKR19:QKS20 QUN19:QUO20 REJ19:REK20 ROF19:ROG20 RYB19:RYC20 SHX19:SHY20 SRT19:SRU20 TBP19:TBQ20 TLL19:TLM20 TVH19:TVI20 UFD19:UFE20 UOZ19:UPA20 UYV19:UYW20 VIR19:VIS20 VSN19:VSO20 WCJ19:WCK20 WMF19:WMG20 WWB19:WWC20 T65555:U65556 JP65555:JQ65556 TL65555:TM65556 ADH65555:ADI65556 AND65555:ANE65556 AWZ65555:AXA65556 BGV65555:BGW65556 BQR65555:BQS65556 CAN65555:CAO65556 CKJ65555:CKK65556 CUF65555:CUG65556 DEB65555:DEC65556 DNX65555:DNY65556 DXT65555:DXU65556 EHP65555:EHQ65556 ERL65555:ERM65556 FBH65555:FBI65556 FLD65555:FLE65556 FUZ65555:FVA65556 GEV65555:GEW65556 GOR65555:GOS65556 GYN65555:GYO65556 HIJ65555:HIK65556 HSF65555:HSG65556 ICB65555:ICC65556 ILX65555:ILY65556 IVT65555:IVU65556 JFP65555:JFQ65556 JPL65555:JPM65556 JZH65555:JZI65556 KJD65555:KJE65556 KSZ65555:KTA65556 LCV65555:LCW65556 LMR65555:LMS65556 LWN65555:LWO65556 MGJ65555:MGK65556 MQF65555:MQG65556 NAB65555:NAC65556 NJX65555:NJY65556 NTT65555:NTU65556 ODP65555:ODQ65556 ONL65555:ONM65556 OXH65555:OXI65556 PHD65555:PHE65556 PQZ65555:PRA65556 QAV65555:QAW65556 QKR65555:QKS65556 QUN65555:QUO65556 REJ65555:REK65556 ROF65555:ROG65556 RYB65555:RYC65556 SHX65555:SHY65556 SRT65555:SRU65556 TBP65555:TBQ65556 TLL65555:TLM65556 TVH65555:TVI65556 UFD65555:UFE65556 UOZ65555:UPA65556 UYV65555:UYW65556 VIR65555:VIS65556 VSN65555:VSO65556 WCJ65555:WCK65556 WMF65555:WMG65556 WWB65555:WWC65556 T131091:U131092 JP131091:JQ131092 TL131091:TM131092 ADH131091:ADI131092 AND131091:ANE131092 AWZ131091:AXA131092 BGV131091:BGW131092 BQR131091:BQS131092 CAN131091:CAO131092 CKJ131091:CKK131092 CUF131091:CUG131092 DEB131091:DEC131092 DNX131091:DNY131092 DXT131091:DXU131092 EHP131091:EHQ131092 ERL131091:ERM131092 FBH131091:FBI131092 FLD131091:FLE131092 FUZ131091:FVA131092 GEV131091:GEW131092 GOR131091:GOS131092 GYN131091:GYO131092 HIJ131091:HIK131092 HSF131091:HSG131092 ICB131091:ICC131092 ILX131091:ILY131092 IVT131091:IVU131092 JFP131091:JFQ131092 JPL131091:JPM131092 JZH131091:JZI131092 KJD131091:KJE131092 KSZ131091:KTA131092 LCV131091:LCW131092 LMR131091:LMS131092 LWN131091:LWO131092 MGJ131091:MGK131092 MQF131091:MQG131092 NAB131091:NAC131092 NJX131091:NJY131092 NTT131091:NTU131092 ODP131091:ODQ131092 ONL131091:ONM131092 OXH131091:OXI131092 PHD131091:PHE131092 PQZ131091:PRA131092 QAV131091:QAW131092 QKR131091:QKS131092 QUN131091:QUO131092 REJ131091:REK131092 ROF131091:ROG131092 RYB131091:RYC131092 SHX131091:SHY131092 SRT131091:SRU131092 TBP131091:TBQ131092 TLL131091:TLM131092 TVH131091:TVI131092 UFD131091:UFE131092 UOZ131091:UPA131092 UYV131091:UYW131092 VIR131091:VIS131092 VSN131091:VSO131092 WCJ131091:WCK131092 WMF131091:WMG131092 WWB131091:WWC131092 T196627:U196628 JP196627:JQ196628 TL196627:TM196628 ADH196627:ADI196628 AND196627:ANE196628 AWZ196627:AXA196628 BGV196627:BGW196628 BQR196627:BQS196628 CAN196627:CAO196628 CKJ196627:CKK196628 CUF196627:CUG196628 DEB196627:DEC196628 DNX196627:DNY196628 DXT196627:DXU196628 EHP196627:EHQ196628 ERL196627:ERM196628 FBH196627:FBI196628 FLD196627:FLE196628 FUZ196627:FVA196628 GEV196627:GEW196628 GOR196627:GOS196628 GYN196627:GYO196628 HIJ196627:HIK196628 HSF196627:HSG196628 ICB196627:ICC196628 ILX196627:ILY196628 IVT196627:IVU196628 JFP196627:JFQ196628 JPL196627:JPM196628 JZH196627:JZI196628 KJD196627:KJE196628 KSZ196627:KTA196628 LCV196627:LCW196628 LMR196627:LMS196628 LWN196627:LWO196628 MGJ196627:MGK196628 MQF196627:MQG196628 NAB196627:NAC196628 NJX196627:NJY196628 NTT196627:NTU196628 ODP196627:ODQ196628 ONL196627:ONM196628 OXH196627:OXI196628 PHD196627:PHE196628 PQZ196627:PRA196628 QAV196627:QAW196628 QKR196627:QKS196628 QUN196627:QUO196628 REJ196627:REK196628 ROF196627:ROG196628 RYB196627:RYC196628 SHX196627:SHY196628 SRT196627:SRU196628 TBP196627:TBQ196628 TLL196627:TLM196628 TVH196627:TVI196628 UFD196627:UFE196628 UOZ196627:UPA196628 UYV196627:UYW196628 VIR196627:VIS196628 VSN196627:VSO196628 WCJ196627:WCK196628 WMF196627:WMG196628 WWB196627:WWC196628 T262163:U262164 JP262163:JQ262164 TL262163:TM262164 ADH262163:ADI262164 AND262163:ANE262164 AWZ262163:AXA262164 BGV262163:BGW262164 BQR262163:BQS262164 CAN262163:CAO262164 CKJ262163:CKK262164 CUF262163:CUG262164 DEB262163:DEC262164 DNX262163:DNY262164 DXT262163:DXU262164 EHP262163:EHQ262164 ERL262163:ERM262164 FBH262163:FBI262164 FLD262163:FLE262164 FUZ262163:FVA262164 GEV262163:GEW262164 GOR262163:GOS262164 GYN262163:GYO262164 HIJ262163:HIK262164 HSF262163:HSG262164 ICB262163:ICC262164 ILX262163:ILY262164 IVT262163:IVU262164 JFP262163:JFQ262164 JPL262163:JPM262164 JZH262163:JZI262164 KJD262163:KJE262164 KSZ262163:KTA262164 LCV262163:LCW262164 LMR262163:LMS262164 LWN262163:LWO262164 MGJ262163:MGK262164 MQF262163:MQG262164 NAB262163:NAC262164 NJX262163:NJY262164 NTT262163:NTU262164 ODP262163:ODQ262164 ONL262163:ONM262164 OXH262163:OXI262164 PHD262163:PHE262164 PQZ262163:PRA262164 QAV262163:QAW262164 QKR262163:QKS262164 QUN262163:QUO262164 REJ262163:REK262164 ROF262163:ROG262164 RYB262163:RYC262164 SHX262163:SHY262164 SRT262163:SRU262164 TBP262163:TBQ262164 TLL262163:TLM262164 TVH262163:TVI262164 UFD262163:UFE262164 UOZ262163:UPA262164 UYV262163:UYW262164 VIR262163:VIS262164 VSN262163:VSO262164 WCJ262163:WCK262164 WMF262163:WMG262164 WWB262163:WWC262164 T327699:U327700 JP327699:JQ327700 TL327699:TM327700 ADH327699:ADI327700 AND327699:ANE327700 AWZ327699:AXA327700 BGV327699:BGW327700 BQR327699:BQS327700 CAN327699:CAO327700 CKJ327699:CKK327700 CUF327699:CUG327700 DEB327699:DEC327700 DNX327699:DNY327700 DXT327699:DXU327700 EHP327699:EHQ327700 ERL327699:ERM327700 FBH327699:FBI327700 FLD327699:FLE327700 FUZ327699:FVA327700 GEV327699:GEW327700 GOR327699:GOS327700 GYN327699:GYO327700 HIJ327699:HIK327700 HSF327699:HSG327700 ICB327699:ICC327700 ILX327699:ILY327700 IVT327699:IVU327700 JFP327699:JFQ327700 JPL327699:JPM327700 JZH327699:JZI327700 KJD327699:KJE327700 KSZ327699:KTA327700 LCV327699:LCW327700 LMR327699:LMS327700 LWN327699:LWO327700 MGJ327699:MGK327700 MQF327699:MQG327700 NAB327699:NAC327700 NJX327699:NJY327700 NTT327699:NTU327700 ODP327699:ODQ327700 ONL327699:ONM327700 OXH327699:OXI327700 PHD327699:PHE327700 PQZ327699:PRA327700 QAV327699:QAW327700 QKR327699:QKS327700 QUN327699:QUO327700 REJ327699:REK327700 ROF327699:ROG327700 RYB327699:RYC327700 SHX327699:SHY327700 SRT327699:SRU327700 TBP327699:TBQ327700 TLL327699:TLM327700 TVH327699:TVI327700 UFD327699:UFE327700 UOZ327699:UPA327700 UYV327699:UYW327700 VIR327699:VIS327700 VSN327699:VSO327700 WCJ327699:WCK327700 WMF327699:WMG327700 WWB327699:WWC327700 T393235:U393236 JP393235:JQ393236 TL393235:TM393236 ADH393235:ADI393236 AND393235:ANE393236 AWZ393235:AXA393236 BGV393235:BGW393236 BQR393235:BQS393236 CAN393235:CAO393236 CKJ393235:CKK393236 CUF393235:CUG393236 DEB393235:DEC393236 DNX393235:DNY393236 DXT393235:DXU393236 EHP393235:EHQ393236 ERL393235:ERM393236 FBH393235:FBI393236 FLD393235:FLE393236 FUZ393235:FVA393236 GEV393235:GEW393236 GOR393235:GOS393236 GYN393235:GYO393236 HIJ393235:HIK393236 HSF393235:HSG393236 ICB393235:ICC393236 ILX393235:ILY393236 IVT393235:IVU393236 JFP393235:JFQ393236 JPL393235:JPM393236 JZH393235:JZI393236 KJD393235:KJE393236 KSZ393235:KTA393236 LCV393235:LCW393236 LMR393235:LMS393236 LWN393235:LWO393236 MGJ393235:MGK393236 MQF393235:MQG393236 NAB393235:NAC393236 NJX393235:NJY393236 NTT393235:NTU393236 ODP393235:ODQ393236 ONL393235:ONM393236 OXH393235:OXI393236 PHD393235:PHE393236 PQZ393235:PRA393236 QAV393235:QAW393236 QKR393235:QKS393236 QUN393235:QUO393236 REJ393235:REK393236 ROF393235:ROG393236 RYB393235:RYC393236 SHX393235:SHY393236 SRT393235:SRU393236 TBP393235:TBQ393236 TLL393235:TLM393236 TVH393235:TVI393236 UFD393235:UFE393236 UOZ393235:UPA393236 UYV393235:UYW393236 VIR393235:VIS393236 VSN393235:VSO393236 WCJ393235:WCK393236 WMF393235:WMG393236 WWB393235:WWC393236 T458771:U458772 JP458771:JQ458772 TL458771:TM458772 ADH458771:ADI458772 AND458771:ANE458772 AWZ458771:AXA458772 BGV458771:BGW458772 BQR458771:BQS458772 CAN458771:CAO458772 CKJ458771:CKK458772 CUF458771:CUG458772 DEB458771:DEC458772 DNX458771:DNY458772 DXT458771:DXU458772 EHP458771:EHQ458772 ERL458771:ERM458772 FBH458771:FBI458772 FLD458771:FLE458772 FUZ458771:FVA458772 GEV458771:GEW458772 GOR458771:GOS458772 GYN458771:GYO458772 HIJ458771:HIK458772 HSF458771:HSG458772 ICB458771:ICC458772 ILX458771:ILY458772 IVT458771:IVU458772 JFP458771:JFQ458772 JPL458771:JPM458772 JZH458771:JZI458772 KJD458771:KJE458772 KSZ458771:KTA458772 LCV458771:LCW458772 LMR458771:LMS458772 LWN458771:LWO458772 MGJ458771:MGK458772 MQF458771:MQG458772 NAB458771:NAC458772 NJX458771:NJY458772 NTT458771:NTU458772 ODP458771:ODQ458772 ONL458771:ONM458772 OXH458771:OXI458772 PHD458771:PHE458772 PQZ458771:PRA458772 QAV458771:QAW458772 QKR458771:QKS458772 QUN458771:QUO458772 REJ458771:REK458772 ROF458771:ROG458772 RYB458771:RYC458772 SHX458771:SHY458772 SRT458771:SRU458772 TBP458771:TBQ458772 TLL458771:TLM458772 TVH458771:TVI458772 UFD458771:UFE458772 UOZ458771:UPA458772 UYV458771:UYW458772 VIR458771:VIS458772 VSN458771:VSO458772 WCJ458771:WCK458772 WMF458771:WMG458772 WWB458771:WWC458772 T524307:U524308 JP524307:JQ524308 TL524307:TM524308 ADH524307:ADI524308 AND524307:ANE524308 AWZ524307:AXA524308 BGV524307:BGW524308 BQR524307:BQS524308 CAN524307:CAO524308 CKJ524307:CKK524308 CUF524307:CUG524308 DEB524307:DEC524308 DNX524307:DNY524308 DXT524307:DXU524308 EHP524307:EHQ524308 ERL524307:ERM524308 FBH524307:FBI524308 FLD524307:FLE524308 FUZ524307:FVA524308 GEV524307:GEW524308 GOR524307:GOS524308 GYN524307:GYO524308 HIJ524307:HIK524308 HSF524307:HSG524308 ICB524307:ICC524308 ILX524307:ILY524308 IVT524307:IVU524308 JFP524307:JFQ524308 JPL524307:JPM524308 JZH524307:JZI524308 KJD524307:KJE524308 KSZ524307:KTA524308 LCV524307:LCW524308 LMR524307:LMS524308 LWN524307:LWO524308 MGJ524307:MGK524308 MQF524307:MQG524308 NAB524307:NAC524308 NJX524307:NJY524308 NTT524307:NTU524308 ODP524307:ODQ524308 ONL524307:ONM524308 OXH524307:OXI524308 PHD524307:PHE524308 PQZ524307:PRA524308 QAV524307:QAW524308 QKR524307:QKS524308 QUN524307:QUO524308 REJ524307:REK524308 ROF524307:ROG524308 RYB524307:RYC524308 SHX524307:SHY524308 SRT524307:SRU524308 TBP524307:TBQ524308 TLL524307:TLM524308 TVH524307:TVI524308 UFD524307:UFE524308 UOZ524307:UPA524308 UYV524307:UYW524308 VIR524307:VIS524308 VSN524307:VSO524308 WCJ524307:WCK524308 WMF524307:WMG524308 WWB524307:WWC524308 T589843:U589844 JP589843:JQ589844 TL589843:TM589844 ADH589843:ADI589844 AND589843:ANE589844 AWZ589843:AXA589844 BGV589843:BGW589844 BQR589843:BQS589844 CAN589843:CAO589844 CKJ589843:CKK589844 CUF589843:CUG589844 DEB589843:DEC589844 DNX589843:DNY589844 DXT589843:DXU589844 EHP589843:EHQ589844 ERL589843:ERM589844 FBH589843:FBI589844 FLD589843:FLE589844 FUZ589843:FVA589844 GEV589843:GEW589844 GOR589843:GOS589844 GYN589843:GYO589844 HIJ589843:HIK589844 HSF589843:HSG589844 ICB589843:ICC589844 ILX589843:ILY589844 IVT589843:IVU589844 JFP589843:JFQ589844 JPL589843:JPM589844 JZH589843:JZI589844 KJD589843:KJE589844 KSZ589843:KTA589844 LCV589843:LCW589844 LMR589843:LMS589844 LWN589843:LWO589844 MGJ589843:MGK589844 MQF589843:MQG589844 NAB589843:NAC589844 NJX589843:NJY589844 NTT589843:NTU589844 ODP589843:ODQ589844 ONL589843:ONM589844 OXH589843:OXI589844 PHD589843:PHE589844 PQZ589843:PRA589844 QAV589843:QAW589844 QKR589843:QKS589844 QUN589843:QUO589844 REJ589843:REK589844 ROF589843:ROG589844 RYB589843:RYC589844 SHX589843:SHY589844 SRT589843:SRU589844 TBP589843:TBQ589844 TLL589843:TLM589844 TVH589843:TVI589844 UFD589843:UFE589844 UOZ589843:UPA589844 UYV589843:UYW589844 VIR589843:VIS589844 VSN589843:VSO589844 WCJ589843:WCK589844 WMF589843:WMG589844 WWB589843:WWC589844 T655379:U655380 JP655379:JQ655380 TL655379:TM655380 ADH655379:ADI655380 AND655379:ANE655380 AWZ655379:AXA655380 BGV655379:BGW655380 BQR655379:BQS655380 CAN655379:CAO655380 CKJ655379:CKK655380 CUF655379:CUG655380 DEB655379:DEC655380 DNX655379:DNY655380 DXT655379:DXU655380 EHP655379:EHQ655380 ERL655379:ERM655380 FBH655379:FBI655380 FLD655379:FLE655380 FUZ655379:FVA655380 GEV655379:GEW655380 GOR655379:GOS655380 GYN655379:GYO655380 HIJ655379:HIK655380 HSF655379:HSG655380 ICB655379:ICC655380 ILX655379:ILY655380 IVT655379:IVU655380 JFP655379:JFQ655380 JPL655379:JPM655380 JZH655379:JZI655380 KJD655379:KJE655380 KSZ655379:KTA655380 LCV655379:LCW655380 LMR655379:LMS655380 LWN655379:LWO655380 MGJ655379:MGK655380 MQF655379:MQG655380 NAB655379:NAC655380 NJX655379:NJY655380 NTT655379:NTU655380 ODP655379:ODQ655380 ONL655379:ONM655380 OXH655379:OXI655380 PHD655379:PHE655380 PQZ655379:PRA655380 QAV655379:QAW655380 QKR655379:QKS655380 QUN655379:QUO655380 REJ655379:REK655380 ROF655379:ROG655380 RYB655379:RYC655380 SHX655379:SHY655380 SRT655379:SRU655380 TBP655379:TBQ655380 TLL655379:TLM655380 TVH655379:TVI655380 UFD655379:UFE655380 UOZ655379:UPA655380 UYV655379:UYW655380 VIR655379:VIS655380 VSN655379:VSO655380 WCJ655379:WCK655380 WMF655379:WMG655380 WWB655379:WWC655380 T720915:U720916 JP720915:JQ720916 TL720915:TM720916 ADH720915:ADI720916 AND720915:ANE720916 AWZ720915:AXA720916 BGV720915:BGW720916 BQR720915:BQS720916 CAN720915:CAO720916 CKJ720915:CKK720916 CUF720915:CUG720916 DEB720915:DEC720916 DNX720915:DNY720916 DXT720915:DXU720916 EHP720915:EHQ720916 ERL720915:ERM720916 FBH720915:FBI720916 FLD720915:FLE720916 FUZ720915:FVA720916 GEV720915:GEW720916 GOR720915:GOS720916 GYN720915:GYO720916 HIJ720915:HIK720916 HSF720915:HSG720916 ICB720915:ICC720916 ILX720915:ILY720916 IVT720915:IVU720916 JFP720915:JFQ720916 JPL720915:JPM720916 JZH720915:JZI720916 KJD720915:KJE720916 KSZ720915:KTA720916 LCV720915:LCW720916 LMR720915:LMS720916 LWN720915:LWO720916 MGJ720915:MGK720916 MQF720915:MQG720916 NAB720915:NAC720916 NJX720915:NJY720916 NTT720915:NTU720916 ODP720915:ODQ720916 ONL720915:ONM720916 OXH720915:OXI720916 PHD720915:PHE720916 PQZ720915:PRA720916 QAV720915:QAW720916 QKR720915:QKS720916 QUN720915:QUO720916 REJ720915:REK720916 ROF720915:ROG720916 RYB720915:RYC720916 SHX720915:SHY720916 SRT720915:SRU720916 TBP720915:TBQ720916 TLL720915:TLM720916 TVH720915:TVI720916 UFD720915:UFE720916 UOZ720915:UPA720916 UYV720915:UYW720916 VIR720915:VIS720916 VSN720915:VSO720916 WCJ720915:WCK720916 WMF720915:WMG720916 WWB720915:WWC720916 T786451:U786452 JP786451:JQ786452 TL786451:TM786452 ADH786451:ADI786452 AND786451:ANE786452 AWZ786451:AXA786452 BGV786451:BGW786452 BQR786451:BQS786452 CAN786451:CAO786452 CKJ786451:CKK786452 CUF786451:CUG786452 DEB786451:DEC786452 DNX786451:DNY786452 DXT786451:DXU786452 EHP786451:EHQ786452 ERL786451:ERM786452 FBH786451:FBI786452 FLD786451:FLE786452 FUZ786451:FVA786452 GEV786451:GEW786452 GOR786451:GOS786452 GYN786451:GYO786452 HIJ786451:HIK786452 HSF786451:HSG786452 ICB786451:ICC786452 ILX786451:ILY786452 IVT786451:IVU786452 JFP786451:JFQ786452 JPL786451:JPM786452 JZH786451:JZI786452 KJD786451:KJE786452 KSZ786451:KTA786452 LCV786451:LCW786452 LMR786451:LMS786452 LWN786451:LWO786452 MGJ786451:MGK786452 MQF786451:MQG786452 NAB786451:NAC786452 NJX786451:NJY786452 NTT786451:NTU786452 ODP786451:ODQ786452 ONL786451:ONM786452 OXH786451:OXI786452 PHD786451:PHE786452 PQZ786451:PRA786452 QAV786451:QAW786452 QKR786451:QKS786452 QUN786451:QUO786452 REJ786451:REK786452 ROF786451:ROG786452 RYB786451:RYC786452 SHX786451:SHY786452 SRT786451:SRU786452 TBP786451:TBQ786452 TLL786451:TLM786452 TVH786451:TVI786452 UFD786451:UFE786452 UOZ786451:UPA786452 UYV786451:UYW786452 VIR786451:VIS786452 VSN786451:VSO786452 WCJ786451:WCK786452 WMF786451:WMG786452 WWB786451:WWC786452 T851987:U851988 JP851987:JQ851988 TL851987:TM851988 ADH851987:ADI851988 AND851987:ANE851988 AWZ851987:AXA851988 BGV851987:BGW851988 BQR851987:BQS851988 CAN851987:CAO851988 CKJ851987:CKK851988 CUF851987:CUG851988 DEB851987:DEC851988 DNX851987:DNY851988 DXT851987:DXU851988 EHP851987:EHQ851988 ERL851987:ERM851988 FBH851987:FBI851988 FLD851987:FLE851988 FUZ851987:FVA851988 GEV851987:GEW851988 GOR851987:GOS851988 GYN851987:GYO851988 HIJ851987:HIK851988 HSF851987:HSG851988 ICB851987:ICC851988 ILX851987:ILY851988 IVT851987:IVU851988 JFP851987:JFQ851988 JPL851987:JPM851988 JZH851987:JZI851988 KJD851987:KJE851988 KSZ851987:KTA851988 LCV851987:LCW851988 LMR851987:LMS851988 LWN851987:LWO851988 MGJ851987:MGK851988 MQF851987:MQG851988 NAB851987:NAC851988 NJX851987:NJY851988 NTT851987:NTU851988 ODP851987:ODQ851988 ONL851987:ONM851988 OXH851987:OXI851988 PHD851987:PHE851988 PQZ851987:PRA851988 QAV851987:QAW851988 QKR851987:QKS851988 QUN851987:QUO851988 REJ851987:REK851988 ROF851987:ROG851988 RYB851987:RYC851988 SHX851987:SHY851988 SRT851987:SRU851988 TBP851987:TBQ851988 TLL851987:TLM851988 TVH851987:TVI851988 UFD851987:UFE851988 UOZ851987:UPA851988 UYV851987:UYW851988 VIR851987:VIS851988 VSN851987:VSO851988 WCJ851987:WCK851988 WMF851987:WMG851988 WWB851987:WWC851988 T917523:U917524 JP917523:JQ917524 TL917523:TM917524 ADH917523:ADI917524 AND917523:ANE917524 AWZ917523:AXA917524 BGV917523:BGW917524 BQR917523:BQS917524 CAN917523:CAO917524 CKJ917523:CKK917524 CUF917523:CUG917524 DEB917523:DEC917524 DNX917523:DNY917524 DXT917523:DXU917524 EHP917523:EHQ917524 ERL917523:ERM917524 FBH917523:FBI917524 FLD917523:FLE917524 FUZ917523:FVA917524 GEV917523:GEW917524 GOR917523:GOS917524 GYN917523:GYO917524 HIJ917523:HIK917524 HSF917523:HSG917524 ICB917523:ICC917524 ILX917523:ILY917524 IVT917523:IVU917524 JFP917523:JFQ917524 JPL917523:JPM917524 JZH917523:JZI917524 KJD917523:KJE917524 KSZ917523:KTA917524 LCV917523:LCW917524 LMR917523:LMS917524 LWN917523:LWO917524 MGJ917523:MGK917524 MQF917523:MQG917524 NAB917523:NAC917524 NJX917523:NJY917524 NTT917523:NTU917524 ODP917523:ODQ917524 ONL917523:ONM917524 OXH917523:OXI917524 PHD917523:PHE917524 PQZ917523:PRA917524 QAV917523:QAW917524 QKR917523:QKS917524 QUN917523:QUO917524 REJ917523:REK917524 ROF917523:ROG917524 RYB917523:RYC917524 SHX917523:SHY917524 SRT917523:SRU917524 TBP917523:TBQ917524 TLL917523:TLM917524 TVH917523:TVI917524 UFD917523:UFE917524 UOZ917523:UPA917524 UYV917523:UYW917524 VIR917523:VIS917524 VSN917523:VSO917524 WCJ917523:WCK917524 WMF917523:WMG917524 WWB917523:WWC917524 T983059:U983060 JP983059:JQ983060 TL983059:TM983060 ADH983059:ADI983060 AND983059:ANE983060 AWZ983059:AXA983060 BGV983059:BGW983060 BQR983059:BQS983060 CAN983059:CAO983060 CKJ983059:CKK983060 CUF983059:CUG983060 DEB983059:DEC983060 DNX983059:DNY983060 DXT983059:DXU983060 EHP983059:EHQ983060 ERL983059:ERM983060 FBH983059:FBI983060 FLD983059:FLE983060 FUZ983059:FVA983060 GEV983059:GEW983060 GOR983059:GOS983060 GYN983059:GYO983060 HIJ983059:HIK983060 HSF983059:HSG983060 ICB983059:ICC983060 ILX983059:ILY983060 IVT983059:IVU983060 JFP983059:JFQ983060 JPL983059:JPM983060 JZH983059:JZI983060 KJD983059:KJE983060 KSZ983059:KTA983060 LCV983059:LCW983060 LMR983059:LMS983060 LWN983059:LWO983060 MGJ983059:MGK983060 MQF983059:MQG983060 NAB983059:NAC983060 NJX983059:NJY983060 NTT983059:NTU983060 ODP983059:ODQ983060 ONL983059:ONM983060 OXH983059:OXI983060 PHD983059:PHE983060 PQZ983059:PRA983060 QAV983059:QAW983060 QKR983059:QKS983060 QUN983059:QUO983060 REJ983059:REK983060 ROF983059:ROG983060 RYB983059:RYC983060 SHX983059:SHY983060 SRT983059:SRU983060 TBP983059:TBQ983060 TLL983059:TLM983060 TVH983059:TVI983060 UFD983059:UFE983060 UOZ983059:UPA983060 UYV983059:UYW983060 VIR983059:VIS983060 VSN983059:VSO983060 WCJ983059:WCK983060 WMF983059:WMG983060" xr:uid="{6FB5C26D-4952-4E9F-9CAF-3980A349DB03}">
      <formula1>$AW$10:$AW$41</formula1>
    </dataValidation>
    <dataValidation type="list" allowBlank="1" showInputMessage="1" showErrorMessage="1" sqref="WWF983059:WWH983060 JT19:JV20 TP19:TR20 ADL19:ADN20 ANH19:ANJ20 AXD19:AXF20 BGZ19:BHB20 BQV19:BQX20 CAR19:CAT20 CKN19:CKP20 CUJ19:CUL20 DEF19:DEH20 DOB19:DOD20 DXX19:DXZ20 EHT19:EHV20 ERP19:ERR20 FBL19:FBN20 FLH19:FLJ20 FVD19:FVF20 GEZ19:GFB20 GOV19:GOX20 GYR19:GYT20 HIN19:HIP20 HSJ19:HSL20 ICF19:ICH20 IMB19:IMD20 IVX19:IVZ20 JFT19:JFV20 JPP19:JPR20 JZL19:JZN20 KJH19:KJJ20 KTD19:KTF20 LCZ19:LDB20 LMV19:LMX20 LWR19:LWT20 MGN19:MGP20 MQJ19:MQL20 NAF19:NAH20 NKB19:NKD20 NTX19:NTZ20 ODT19:ODV20 ONP19:ONR20 OXL19:OXN20 PHH19:PHJ20 PRD19:PRF20 QAZ19:QBB20 QKV19:QKX20 QUR19:QUT20 REN19:REP20 ROJ19:ROL20 RYF19:RYH20 SIB19:SID20 SRX19:SRZ20 TBT19:TBV20 TLP19:TLR20 TVL19:TVN20 UFH19:UFJ20 UPD19:UPF20 UYZ19:UZB20 VIV19:VIX20 VSR19:VST20 WCN19:WCP20 WMJ19:WML20 WWF19:WWH20 X65555:Z65556 JT65555:JV65556 TP65555:TR65556 ADL65555:ADN65556 ANH65555:ANJ65556 AXD65555:AXF65556 BGZ65555:BHB65556 BQV65555:BQX65556 CAR65555:CAT65556 CKN65555:CKP65556 CUJ65555:CUL65556 DEF65555:DEH65556 DOB65555:DOD65556 DXX65555:DXZ65556 EHT65555:EHV65556 ERP65555:ERR65556 FBL65555:FBN65556 FLH65555:FLJ65556 FVD65555:FVF65556 GEZ65555:GFB65556 GOV65555:GOX65556 GYR65555:GYT65556 HIN65555:HIP65556 HSJ65555:HSL65556 ICF65555:ICH65556 IMB65555:IMD65556 IVX65555:IVZ65556 JFT65555:JFV65556 JPP65555:JPR65556 JZL65555:JZN65556 KJH65555:KJJ65556 KTD65555:KTF65556 LCZ65555:LDB65556 LMV65555:LMX65556 LWR65555:LWT65556 MGN65555:MGP65556 MQJ65555:MQL65556 NAF65555:NAH65556 NKB65555:NKD65556 NTX65555:NTZ65556 ODT65555:ODV65556 ONP65555:ONR65556 OXL65555:OXN65556 PHH65555:PHJ65556 PRD65555:PRF65556 QAZ65555:QBB65556 QKV65555:QKX65556 QUR65555:QUT65556 REN65555:REP65556 ROJ65555:ROL65556 RYF65555:RYH65556 SIB65555:SID65556 SRX65555:SRZ65556 TBT65555:TBV65556 TLP65555:TLR65556 TVL65555:TVN65556 UFH65555:UFJ65556 UPD65555:UPF65556 UYZ65555:UZB65556 VIV65555:VIX65556 VSR65555:VST65556 WCN65555:WCP65556 WMJ65555:WML65556 WWF65555:WWH65556 X131091:Z131092 JT131091:JV131092 TP131091:TR131092 ADL131091:ADN131092 ANH131091:ANJ131092 AXD131091:AXF131092 BGZ131091:BHB131092 BQV131091:BQX131092 CAR131091:CAT131092 CKN131091:CKP131092 CUJ131091:CUL131092 DEF131091:DEH131092 DOB131091:DOD131092 DXX131091:DXZ131092 EHT131091:EHV131092 ERP131091:ERR131092 FBL131091:FBN131092 FLH131091:FLJ131092 FVD131091:FVF131092 GEZ131091:GFB131092 GOV131091:GOX131092 GYR131091:GYT131092 HIN131091:HIP131092 HSJ131091:HSL131092 ICF131091:ICH131092 IMB131091:IMD131092 IVX131091:IVZ131092 JFT131091:JFV131092 JPP131091:JPR131092 JZL131091:JZN131092 KJH131091:KJJ131092 KTD131091:KTF131092 LCZ131091:LDB131092 LMV131091:LMX131092 LWR131091:LWT131092 MGN131091:MGP131092 MQJ131091:MQL131092 NAF131091:NAH131092 NKB131091:NKD131092 NTX131091:NTZ131092 ODT131091:ODV131092 ONP131091:ONR131092 OXL131091:OXN131092 PHH131091:PHJ131092 PRD131091:PRF131092 QAZ131091:QBB131092 QKV131091:QKX131092 QUR131091:QUT131092 REN131091:REP131092 ROJ131091:ROL131092 RYF131091:RYH131092 SIB131091:SID131092 SRX131091:SRZ131092 TBT131091:TBV131092 TLP131091:TLR131092 TVL131091:TVN131092 UFH131091:UFJ131092 UPD131091:UPF131092 UYZ131091:UZB131092 VIV131091:VIX131092 VSR131091:VST131092 WCN131091:WCP131092 WMJ131091:WML131092 WWF131091:WWH131092 X196627:Z196628 JT196627:JV196628 TP196627:TR196628 ADL196627:ADN196628 ANH196627:ANJ196628 AXD196627:AXF196628 BGZ196627:BHB196628 BQV196627:BQX196628 CAR196627:CAT196628 CKN196627:CKP196628 CUJ196627:CUL196628 DEF196627:DEH196628 DOB196627:DOD196628 DXX196627:DXZ196628 EHT196627:EHV196628 ERP196627:ERR196628 FBL196627:FBN196628 FLH196627:FLJ196628 FVD196627:FVF196628 GEZ196627:GFB196628 GOV196627:GOX196628 GYR196627:GYT196628 HIN196627:HIP196628 HSJ196627:HSL196628 ICF196627:ICH196628 IMB196627:IMD196628 IVX196627:IVZ196628 JFT196627:JFV196628 JPP196627:JPR196628 JZL196627:JZN196628 KJH196627:KJJ196628 KTD196627:KTF196628 LCZ196627:LDB196628 LMV196627:LMX196628 LWR196627:LWT196628 MGN196627:MGP196628 MQJ196627:MQL196628 NAF196627:NAH196628 NKB196627:NKD196628 NTX196627:NTZ196628 ODT196627:ODV196628 ONP196627:ONR196628 OXL196627:OXN196628 PHH196627:PHJ196628 PRD196627:PRF196628 QAZ196627:QBB196628 QKV196627:QKX196628 QUR196627:QUT196628 REN196627:REP196628 ROJ196627:ROL196628 RYF196627:RYH196628 SIB196627:SID196628 SRX196627:SRZ196628 TBT196627:TBV196628 TLP196627:TLR196628 TVL196627:TVN196628 UFH196627:UFJ196628 UPD196627:UPF196628 UYZ196627:UZB196628 VIV196627:VIX196628 VSR196627:VST196628 WCN196627:WCP196628 WMJ196627:WML196628 WWF196627:WWH196628 X262163:Z262164 JT262163:JV262164 TP262163:TR262164 ADL262163:ADN262164 ANH262163:ANJ262164 AXD262163:AXF262164 BGZ262163:BHB262164 BQV262163:BQX262164 CAR262163:CAT262164 CKN262163:CKP262164 CUJ262163:CUL262164 DEF262163:DEH262164 DOB262163:DOD262164 DXX262163:DXZ262164 EHT262163:EHV262164 ERP262163:ERR262164 FBL262163:FBN262164 FLH262163:FLJ262164 FVD262163:FVF262164 GEZ262163:GFB262164 GOV262163:GOX262164 GYR262163:GYT262164 HIN262163:HIP262164 HSJ262163:HSL262164 ICF262163:ICH262164 IMB262163:IMD262164 IVX262163:IVZ262164 JFT262163:JFV262164 JPP262163:JPR262164 JZL262163:JZN262164 KJH262163:KJJ262164 KTD262163:KTF262164 LCZ262163:LDB262164 LMV262163:LMX262164 LWR262163:LWT262164 MGN262163:MGP262164 MQJ262163:MQL262164 NAF262163:NAH262164 NKB262163:NKD262164 NTX262163:NTZ262164 ODT262163:ODV262164 ONP262163:ONR262164 OXL262163:OXN262164 PHH262163:PHJ262164 PRD262163:PRF262164 QAZ262163:QBB262164 QKV262163:QKX262164 QUR262163:QUT262164 REN262163:REP262164 ROJ262163:ROL262164 RYF262163:RYH262164 SIB262163:SID262164 SRX262163:SRZ262164 TBT262163:TBV262164 TLP262163:TLR262164 TVL262163:TVN262164 UFH262163:UFJ262164 UPD262163:UPF262164 UYZ262163:UZB262164 VIV262163:VIX262164 VSR262163:VST262164 WCN262163:WCP262164 WMJ262163:WML262164 WWF262163:WWH262164 X327699:Z327700 JT327699:JV327700 TP327699:TR327700 ADL327699:ADN327700 ANH327699:ANJ327700 AXD327699:AXF327700 BGZ327699:BHB327700 BQV327699:BQX327700 CAR327699:CAT327700 CKN327699:CKP327700 CUJ327699:CUL327700 DEF327699:DEH327700 DOB327699:DOD327700 DXX327699:DXZ327700 EHT327699:EHV327700 ERP327699:ERR327700 FBL327699:FBN327700 FLH327699:FLJ327700 FVD327699:FVF327700 GEZ327699:GFB327700 GOV327699:GOX327700 GYR327699:GYT327700 HIN327699:HIP327700 HSJ327699:HSL327700 ICF327699:ICH327700 IMB327699:IMD327700 IVX327699:IVZ327700 JFT327699:JFV327700 JPP327699:JPR327700 JZL327699:JZN327700 KJH327699:KJJ327700 KTD327699:KTF327700 LCZ327699:LDB327700 LMV327699:LMX327700 LWR327699:LWT327700 MGN327699:MGP327700 MQJ327699:MQL327700 NAF327699:NAH327700 NKB327699:NKD327700 NTX327699:NTZ327700 ODT327699:ODV327700 ONP327699:ONR327700 OXL327699:OXN327700 PHH327699:PHJ327700 PRD327699:PRF327700 QAZ327699:QBB327700 QKV327699:QKX327700 QUR327699:QUT327700 REN327699:REP327700 ROJ327699:ROL327700 RYF327699:RYH327700 SIB327699:SID327700 SRX327699:SRZ327700 TBT327699:TBV327700 TLP327699:TLR327700 TVL327699:TVN327700 UFH327699:UFJ327700 UPD327699:UPF327700 UYZ327699:UZB327700 VIV327699:VIX327700 VSR327699:VST327700 WCN327699:WCP327700 WMJ327699:WML327700 WWF327699:WWH327700 X393235:Z393236 JT393235:JV393236 TP393235:TR393236 ADL393235:ADN393236 ANH393235:ANJ393236 AXD393235:AXF393236 BGZ393235:BHB393236 BQV393235:BQX393236 CAR393235:CAT393236 CKN393235:CKP393236 CUJ393235:CUL393236 DEF393235:DEH393236 DOB393235:DOD393236 DXX393235:DXZ393236 EHT393235:EHV393236 ERP393235:ERR393236 FBL393235:FBN393236 FLH393235:FLJ393236 FVD393235:FVF393236 GEZ393235:GFB393236 GOV393235:GOX393236 GYR393235:GYT393236 HIN393235:HIP393236 HSJ393235:HSL393236 ICF393235:ICH393236 IMB393235:IMD393236 IVX393235:IVZ393236 JFT393235:JFV393236 JPP393235:JPR393236 JZL393235:JZN393236 KJH393235:KJJ393236 KTD393235:KTF393236 LCZ393235:LDB393236 LMV393235:LMX393236 LWR393235:LWT393236 MGN393235:MGP393236 MQJ393235:MQL393236 NAF393235:NAH393236 NKB393235:NKD393236 NTX393235:NTZ393236 ODT393235:ODV393236 ONP393235:ONR393236 OXL393235:OXN393236 PHH393235:PHJ393236 PRD393235:PRF393236 QAZ393235:QBB393236 QKV393235:QKX393236 QUR393235:QUT393236 REN393235:REP393236 ROJ393235:ROL393236 RYF393235:RYH393236 SIB393235:SID393236 SRX393235:SRZ393236 TBT393235:TBV393236 TLP393235:TLR393236 TVL393235:TVN393236 UFH393235:UFJ393236 UPD393235:UPF393236 UYZ393235:UZB393236 VIV393235:VIX393236 VSR393235:VST393236 WCN393235:WCP393236 WMJ393235:WML393236 WWF393235:WWH393236 X458771:Z458772 JT458771:JV458772 TP458771:TR458772 ADL458771:ADN458772 ANH458771:ANJ458772 AXD458771:AXF458772 BGZ458771:BHB458772 BQV458771:BQX458772 CAR458771:CAT458772 CKN458771:CKP458772 CUJ458771:CUL458772 DEF458771:DEH458772 DOB458771:DOD458772 DXX458771:DXZ458772 EHT458771:EHV458772 ERP458771:ERR458772 FBL458771:FBN458772 FLH458771:FLJ458772 FVD458771:FVF458772 GEZ458771:GFB458772 GOV458771:GOX458772 GYR458771:GYT458772 HIN458771:HIP458772 HSJ458771:HSL458772 ICF458771:ICH458772 IMB458771:IMD458772 IVX458771:IVZ458772 JFT458771:JFV458772 JPP458771:JPR458772 JZL458771:JZN458772 KJH458771:KJJ458772 KTD458771:KTF458772 LCZ458771:LDB458772 LMV458771:LMX458772 LWR458771:LWT458772 MGN458771:MGP458772 MQJ458771:MQL458772 NAF458771:NAH458772 NKB458771:NKD458772 NTX458771:NTZ458772 ODT458771:ODV458772 ONP458771:ONR458772 OXL458771:OXN458772 PHH458771:PHJ458772 PRD458771:PRF458772 QAZ458771:QBB458772 QKV458771:QKX458772 QUR458771:QUT458772 REN458771:REP458772 ROJ458771:ROL458772 RYF458771:RYH458772 SIB458771:SID458772 SRX458771:SRZ458772 TBT458771:TBV458772 TLP458771:TLR458772 TVL458771:TVN458772 UFH458771:UFJ458772 UPD458771:UPF458772 UYZ458771:UZB458772 VIV458771:VIX458772 VSR458771:VST458772 WCN458771:WCP458772 WMJ458771:WML458772 WWF458771:WWH458772 X524307:Z524308 JT524307:JV524308 TP524307:TR524308 ADL524307:ADN524308 ANH524307:ANJ524308 AXD524307:AXF524308 BGZ524307:BHB524308 BQV524307:BQX524308 CAR524307:CAT524308 CKN524307:CKP524308 CUJ524307:CUL524308 DEF524307:DEH524308 DOB524307:DOD524308 DXX524307:DXZ524308 EHT524307:EHV524308 ERP524307:ERR524308 FBL524307:FBN524308 FLH524307:FLJ524308 FVD524307:FVF524308 GEZ524307:GFB524308 GOV524307:GOX524308 GYR524307:GYT524308 HIN524307:HIP524308 HSJ524307:HSL524308 ICF524307:ICH524308 IMB524307:IMD524308 IVX524307:IVZ524308 JFT524307:JFV524308 JPP524307:JPR524308 JZL524307:JZN524308 KJH524307:KJJ524308 KTD524307:KTF524308 LCZ524307:LDB524308 LMV524307:LMX524308 LWR524307:LWT524308 MGN524307:MGP524308 MQJ524307:MQL524308 NAF524307:NAH524308 NKB524307:NKD524308 NTX524307:NTZ524308 ODT524307:ODV524308 ONP524307:ONR524308 OXL524307:OXN524308 PHH524307:PHJ524308 PRD524307:PRF524308 QAZ524307:QBB524308 QKV524307:QKX524308 QUR524307:QUT524308 REN524307:REP524308 ROJ524307:ROL524308 RYF524307:RYH524308 SIB524307:SID524308 SRX524307:SRZ524308 TBT524307:TBV524308 TLP524307:TLR524308 TVL524307:TVN524308 UFH524307:UFJ524308 UPD524307:UPF524308 UYZ524307:UZB524308 VIV524307:VIX524308 VSR524307:VST524308 WCN524307:WCP524308 WMJ524307:WML524308 WWF524307:WWH524308 X589843:Z589844 JT589843:JV589844 TP589843:TR589844 ADL589843:ADN589844 ANH589843:ANJ589844 AXD589843:AXF589844 BGZ589843:BHB589844 BQV589843:BQX589844 CAR589843:CAT589844 CKN589843:CKP589844 CUJ589843:CUL589844 DEF589843:DEH589844 DOB589843:DOD589844 DXX589843:DXZ589844 EHT589843:EHV589844 ERP589843:ERR589844 FBL589843:FBN589844 FLH589843:FLJ589844 FVD589843:FVF589844 GEZ589843:GFB589844 GOV589843:GOX589844 GYR589843:GYT589844 HIN589843:HIP589844 HSJ589843:HSL589844 ICF589843:ICH589844 IMB589843:IMD589844 IVX589843:IVZ589844 JFT589843:JFV589844 JPP589843:JPR589844 JZL589843:JZN589844 KJH589843:KJJ589844 KTD589843:KTF589844 LCZ589843:LDB589844 LMV589843:LMX589844 LWR589843:LWT589844 MGN589843:MGP589844 MQJ589843:MQL589844 NAF589843:NAH589844 NKB589843:NKD589844 NTX589843:NTZ589844 ODT589843:ODV589844 ONP589843:ONR589844 OXL589843:OXN589844 PHH589843:PHJ589844 PRD589843:PRF589844 QAZ589843:QBB589844 QKV589843:QKX589844 QUR589843:QUT589844 REN589843:REP589844 ROJ589843:ROL589844 RYF589843:RYH589844 SIB589843:SID589844 SRX589843:SRZ589844 TBT589843:TBV589844 TLP589843:TLR589844 TVL589843:TVN589844 UFH589843:UFJ589844 UPD589843:UPF589844 UYZ589843:UZB589844 VIV589843:VIX589844 VSR589843:VST589844 WCN589843:WCP589844 WMJ589843:WML589844 WWF589843:WWH589844 X655379:Z655380 JT655379:JV655380 TP655379:TR655380 ADL655379:ADN655380 ANH655379:ANJ655380 AXD655379:AXF655380 BGZ655379:BHB655380 BQV655379:BQX655380 CAR655379:CAT655380 CKN655379:CKP655380 CUJ655379:CUL655380 DEF655379:DEH655380 DOB655379:DOD655380 DXX655379:DXZ655380 EHT655379:EHV655380 ERP655379:ERR655380 FBL655379:FBN655380 FLH655379:FLJ655380 FVD655379:FVF655380 GEZ655379:GFB655380 GOV655379:GOX655380 GYR655379:GYT655380 HIN655379:HIP655380 HSJ655379:HSL655380 ICF655379:ICH655380 IMB655379:IMD655380 IVX655379:IVZ655380 JFT655379:JFV655380 JPP655379:JPR655380 JZL655379:JZN655380 KJH655379:KJJ655380 KTD655379:KTF655380 LCZ655379:LDB655380 LMV655379:LMX655380 LWR655379:LWT655380 MGN655379:MGP655380 MQJ655379:MQL655380 NAF655379:NAH655380 NKB655379:NKD655380 NTX655379:NTZ655380 ODT655379:ODV655380 ONP655379:ONR655380 OXL655379:OXN655380 PHH655379:PHJ655380 PRD655379:PRF655380 QAZ655379:QBB655380 QKV655379:QKX655380 QUR655379:QUT655380 REN655379:REP655380 ROJ655379:ROL655380 RYF655379:RYH655380 SIB655379:SID655380 SRX655379:SRZ655380 TBT655379:TBV655380 TLP655379:TLR655380 TVL655379:TVN655380 UFH655379:UFJ655380 UPD655379:UPF655380 UYZ655379:UZB655380 VIV655379:VIX655380 VSR655379:VST655380 WCN655379:WCP655380 WMJ655379:WML655380 WWF655379:WWH655380 X720915:Z720916 JT720915:JV720916 TP720915:TR720916 ADL720915:ADN720916 ANH720915:ANJ720916 AXD720915:AXF720916 BGZ720915:BHB720916 BQV720915:BQX720916 CAR720915:CAT720916 CKN720915:CKP720916 CUJ720915:CUL720916 DEF720915:DEH720916 DOB720915:DOD720916 DXX720915:DXZ720916 EHT720915:EHV720916 ERP720915:ERR720916 FBL720915:FBN720916 FLH720915:FLJ720916 FVD720915:FVF720916 GEZ720915:GFB720916 GOV720915:GOX720916 GYR720915:GYT720916 HIN720915:HIP720916 HSJ720915:HSL720916 ICF720915:ICH720916 IMB720915:IMD720916 IVX720915:IVZ720916 JFT720915:JFV720916 JPP720915:JPR720916 JZL720915:JZN720916 KJH720915:KJJ720916 KTD720915:KTF720916 LCZ720915:LDB720916 LMV720915:LMX720916 LWR720915:LWT720916 MGN720915:MGP720916 MQJ720915:MQL720916 NAF720915:NAH720916 NKB720915:NKD720916 NTX720915:NTZ720916 ODT720915:ODV720916 ONP720915:ONR720916 OXL720915:OXN720916 PHH720915:PHJ720916 PRD720915:PRF720916 QAZ720915:QBB720916 QKV720915:QKX720916 QUR720915:QUT720916 REN720915:REP720916 ROJ720915:ROL720916 RYF720915:RYH720916 SIB720915:SID720916 SRX720915:SRZ720916 TBT720915:TBV720916 TLP720915:TLR720916 TVL720915:TVN720916 UFH720915:UFJ720916 UPD720915:UPF720916 UYZ720915:UZB720916 VIV720915:VIX720916 VSR720915:VST720916 WCN720915:WCP720916 WMJ720915:WML720916 WWF720915:WWH720916 X786451:Z786452 JT786451:JV786452 TP786451:TR786452 ADL786451:ADN786452 ANH786451:ANJ786452 AXD786451:AXF786452 BGZ786451:BHB786452 BQV786451:BQX786452 CAR786451:CAT786452 CKN786451:CKP786452 CUJ786451:CUL786452 DEF786451:DEH786452 DOB786451:DOD786452 DXX786451:DXZ786452 EHT786451:EHV786452 ERP786451:ERR786452 FBL786451:FBN786452 FLH786451:FLJ786452 FVD786451:FVF786452 GEZ786451:GFB786452 GOV786451:GOX786452 GYR786451:GYT786452 HIN786451:HIP786452 HSJ786451:HSL786452 ICF786451:ICH786452 IMB786451:IMD786452 IVX786451:IVZ786452 JFT786451:JFV786452 JPP786451:JPR786452 JZL786451:JZN786452 KJH786451:KJJ786452 KTD786451:KTF786452 LCZ786451:LDB786452 LMV786451:LMX786452 LWR786451:LWT786452 MGN786451:MGP786452 MQJ786451:MQL786452 NAF786451:NAH786452 NKB786451:NKD786452 NTX786451:NTZ786452 ODT786451:ODV786452 ONP786451:ONR786452 OXL786451:OXN786452 PHH786451:PHJ786452 PRD786451:PRF786452 QAZ786451:QBB786452 QKV786451:QKX786452 QUR786451:QUT786452 REN786451:REP786452 ROJ786451:ROL786452 RYF786451:RYH786452 SIB786451:SID786452 SRX786451:SRZ786452 TBT786451:TBV786452 TLP786451:TLR786452 TVL786451:TVN786452 UFH786451:UFJ786452 UPD786451:UPF786452 UYZ786451:UZB786452 VIV786451:VIX786452 VSR786451:VST786452 WCN786451:WCP786452 WMJ786451:WML786452 WWF786451:WWH786452 X851987:Z851988 JT851987:JV851988 TP851987:TR851988 ADL851987:ADN851988 ANH851987:ANJ851988 AXD851987:AXF851988 BGZ851987:BHB851988 BQV851987:BQX851988 CAR851987:CAT851988 CKN851987:CKP851988 CUJ851987:CUL851988 DEF851987:DEH851988 DOB851987:DOD851988 DXX851987:DXZ851988 EHT851987:EHV851988 ERP851987:ERR851988 FBL851987:FBN851988 FLH851987:FLJ851988 FVD851987:FVF851988 GEZ851987:GFB851988 GOV851987:GOX851988 GYR851987:GYT851988 HIN851987:HIP851988 HSJ851987:HSL851988 ICF851987:ICH851988 IMB851987:IMD851988 IVX851987:IVZ851988 JFT851987:JFV851988 JPP851987:JPR851988 JZL851987:JZN851988 KJH851987:KJJ851988 KTD851987:KTF851988 LCZ851987:LDB851988 LMV851987:LMX851988 LWR851987:LWT851988 MGN851987:MGP851988 MQJ851987:MQL851988 NAF851987:NAH851988 NKB851987:NKD851988 NTX851987:NTZ851988 ODT851987:ODV851988 ONP851987:ONR851988 OXL851987:OXN851988 PHH851987:PHJ851988 PRD851987:PRF851988 QAZ851987:QBB851988 QKV851987:QKX851988 QUR851987:QUT851988 REN851987:REP851988 ROJ851987:ROL851988 RYF851987:RYH851988 SIB851987:SID851988 SRX851987:SRZ851988 TBT851987:TBV851988 TLP851987:TLR851988 TVL851987:TVN851988 UFH851987:UFJ851988 UPD851987:UPF851988 UYZ851987:UZB851988 VIV851987:VIX851988 VSR851987:VST851988 WCN851987:WCP851988 WMJ851987:WML851988 WWF851987:WWH851988 X917523:Z917524 JT917523:JV917524 TP917523:TR917524 ADL917523:ADN917524 ANH917523:ANJ917524 AXD917523:AXF917524 BGZ917523:BHB917524 BQV917523:BQX917524 CAR917523:CAT917524 CKN917523:CKP917524 CUJ917523:CUL917524 DEF917523:DEH917524 DOB917523:DOD917524 DXX917523:DXZ917524 EHT917523:EHV917524 ERP917523:ERR917524 FBL917523:FBN917524 FLH917523:FLJ917524 FVD917523:FVF917524 GEZ917523:GFB917524 GOV917523:GOX917524 GYR917523:GYT917524 HIN917523:HIP917524 HSJ917523:HSL917524 ICF917523:ICH917524 IMB917523:IMD917524 IVX917523:IVZ917524 JFT917523:JFV917524 JPP917523:JPR917524 JZL917523:JZN917524 KJH917523:KJJ917524 KTD917523:KTF917524 LCZ917523:LDB917524 LMV917523:LMX917524 LWR917523:LWT917524 MGN917523:MGP917524 MQJ917523:MQL917524 NAF917523:NAH917524 NKB917523:NKD917524 NTX917523:NTZ917524 ODT917523:ODV917524 ONP917523:ONR917524 OXL917523:OXN917524 PHH917523:PHJ917524 PRD917523:PRF917524 QAZ917523:QBB917524 QKV917523:QKX917524 QUR917523:QUT917524 REN917523:REP917524 ROJ917523:ROL917524 RYF917523:RYH917524 SIB917523:SID917524 SRX917523:SRZ917524 TBT917523:TBV917524 TLP917523:TLR917524 TVL917523:TVN917524 UFH917523:UFJ917524 UPD917523:UPF917524 UYZ917523:UZB917524 VIV917523:VIX917524 VSR917523:VST917524 WCN917523:WCP917524 WMJ917523:WML917524 WWF917523:WWH917524 X983059:Z983060 JT983059:JV983060 TP983059:TR983060 ADL983059:ADN983060 ANH983059:ANJ983060 AXD983059:AXF983060 BGZ983059:BHB983060 BQV983059:BQX983060 CAR983059:CAT983060 CKN983059:CKP983060 CUJ983059:CUL983060 DEF983059:DEH983060 DOB983059:DOD983060 DXX983059:DXZ983060 EHT983059:EHV983060 ERP983059:ERR983060 FBL983059:FBN983060 FLH983059:FLJ983060 FVD983059:FVF983060 GEZ983059:GFB983060 GOV983059:GOX983060 GYR983059:GYT983060 HIN983059:HIP983060 HSJ983059:HSL983060 ICF983059:ICH983060 IMB983059:IMD983060 IVX983059:IVZ983060 JFT983059:JFV983060 JPP983059:JPR983060 JZL983059:JZN983060 KJH983059:KJJ983060 KTD983059:KTF983060 LCZ983059:LDB983060 LMV983059:LMX983060 LWR983059:LWT983060 MGN983059:MGP983060 MQJ983059:MQL983060 NAF983059:NAH983060 NKB983059:NKD983060 NTX983059:NTZ983060 ODT983059:ODV983060 ONP983059:ONR983060 OXL983059:OXN983060 PHH983059:PHJ983060 PRD983059:PRF983060 QAZ983059:QBB983060 QKV983059:QKX983060 QUR983059:QUT983060 REN983059:REP983060 ROJ983059:ROL983060 RYF983059:RYH983060 SIB983059:SID983060 SRX983059:SRZ983060 TBT983059:TBV983060 TLP983059:TLR983060 TVL983059:TVN983060 UFH983059:UFJ983060 UPD983059:UPF983060 UYZ983059:UZB983060 VIV983059:VIX983060 VSR983059:VST983060 WCN983059:WCP983060 WMJ983059:WML983060" xr:uid="{C74D5535-14A8-47CF-9E99-ACFBBEDE93AC}">
      <formula1>$AY$10:$AY$17</formula1>
    </dataValidation>
    <dataValidation type="list" allowBlank="1" showInputMessage="1" showErrorMessage="1" sqref="WWI983059:WWK983060 JW19:JY20 TS19:TU20 ADO19:ADQ20 ANK19:ANM20 AXG19:AXI20 BHC19:BHE20 BQY19:BRA20 CAU19:CAW20 CKQ19:CKS20 CUM19:CUO20 DEI19:DEK20 DOE19:DOG20 DYA19:DYC20 EHW19:EHY20 ERS19:ERU20 FBO19:FBQ20 FLK19:FLM20 FVG19:FVI20 GFC19:GFE20 GOY19:GPA20 GYU19:GYW20 HIQ19:HIS20 HSM19:HSO20 ICI19:ICK20 IME19:IMG20 IWA19:IWC20 JFW19:JFY20 JPS19:JPU20 JZO19:JZQ20 KJK19:KJM20 KTG19:KTI20 LDC19:LDE20 LMY19:LNA20 LWU19:LWW20 MGQ19:MGS20 MQM19:MQO20 NAI19:NAK20 NKE19:NKG20 NUA19:NUC20 ODW19:ODY20 ONS19:ONU20 OXO19:OXQ20 PHK19:PHM20 PRG19:PRI20 QBC19:QBE20 QKY19:QLA20 QUU19:QUW20 REQ19:RES20 ROM19:ROO20 RYI19:RYK20 SIE19:SIG20 SSA19:SSC20 TBW19:TBY20 TLS19:TLU20 TVO19:TVQ20 UFK19:UFM20 UPG19:UPI20 UZC19:UZE20 VIY19:VJA20 VSU19:VSW20 WCQ19:WCS20 WMM19:WMO20 WWI19:WWK20 AA65555:AC65556 JW65555:JY65556 TS65555:TU65556 ADO65555:ADQ65556 ANK65555:ANM65556 AXG65555:AXI65556 BHC65555:BHE65556 BQY65555:BRA65556 CAU65555:CAW65556 CKQ65555:CKS65556 CUM65555:CUO65556 DEI65555:DEK65556 DOE65555:DOG65556 DYA65555:DYC65556 EHW65555:EHY65556 ERS65555:ERU65556 FBO65555:FBQ65556 FLK65555:FLM65556 FVG65555:FVI65556 GFC65555:GFE65556 GOY65555:GPA65556 GYU65555:GYW65556 HIQ65555:HIS65556 HSM65555:HSO65556 ICI65555:ICK65556 IME65555:IMG65556 IWA65555:IWC65556 JFW65555:JFY65556 JPS65555:JPU65556 JZO65555:JZQ65556 KJK65555:KJM65556 KTG65555:KTI65556 LDC65555:LDE65556 LMY65555:LNA65556 LWU65555:LWW65556 MGQ65555:MGS65556 MQM65555:MQO65556 NAI65555:NAK65556 NKE65555:NKG65556 NUA65555:NUC65556 ODW65555:ODY65556 ONS65555:ONU65556 OXO65555:OXQ65556 PHK65555:PHM65556 PRG65555:PRI65556 QBC65555:QBE65556 QKY65555:QLA65556 QUU65555:QUW65556 REQ65555:RES65556 ROM65555:ROO65556 RYI65555:RYK65556 SIE65555:SIG65556 SSA65555:SSC65556 TBW65555:TBY65556 TLS65555:TLU65556 TVO65555:TVQ65556 UFK65555:UFM65556 UPG65555:UPI65556 UZC65555:UZE65556 VIY65555:VJA65556 VSU65555:VSW65556 WCQ65555:WCS65556 WMM65555:WMO65556 WWI65555:WWK65556 AA131091:AC131092 JW131091:JY131092 TS131091:TU131092 ADO131091:ADQ131092 ANK131091:ANM131092 AXG131091:AXI131092 BHC131091:BHE131092 BQY131091:BRA131092 CAU131091:CAW131092 CKQ131091:CKS131092 CUM131091:CUO131092 DEI131091:DEK131092 DOE131091:DOG131092 DYA131091:DYC131092 EHW131091:EHY131092 ERS131091:ERU131092 FBO131091:FBQ131092 FLK131091:FLM131092 FVG131091:FVI131092 GFC131091:GFE131092 GOY131091:GPA131092 GYU131091:GYW131092 HIQ131091:HIS131092 HSM131091:HSO131092 ICI131091:ICK131092 IME131091:IMG131092 IWA131091:IWC131092 JFW131091:JFY131092 JPS131091:JPU131092 JZO131091:JZQ131092 KJK131091:KJM131092 KTG131091:KTI131092 LDC131091:LDE131092 LMY131091:LNA131092 LWU131091:LWW131092 MGQ131091:MGS131092 MQM131091:MQO131092 NAI131091:NAK131092 NKE131091:NKG131092 NUA131091:NUC131092 ODW131091:ODY131092 ONS131091:ONU131092 OXO131091:OXQ131092 PHK131091:PHM131092 PRG131091:PRI131092 QBC131091:QBE131092 QKY131091:QLA131092 QUU131091:QUW131092 REQ131091:RES131092 ROM131091:ROO131092 RYI131091:RYK131092 SIE131091:SIG131092 SSA131091:SSC131092 TBW131091:TBY131092 TLS131091:TLU131092 TVO131091:TVQ131092 UFK131091:UFM131092 UPG131091:UPI131092 UZC131091:UZE131092 VIY131091:VJA131092 VSU131091:VSW131092 WCQ131091:WCS131092 WMM131091:WMO131092 WWI131091:WWK131092 AA196627:AC196628 JW196627:JY196628 TS196627:TU196628 ADO196627:ADQ196628 ANK196627:ANM196628 AXG196627:AXI196628 BHC196627:BHE196628 BQY196627:BRA196628 CAU196627:CAW196628 CKQ196627:CKS196628 CUM196627:CUO196628 DEI196627:DEK196628 DOE196627:DOG196628 DYA196627:DYC196628 EHW196627:EHY196628 ERS196627:ERU196628 FBO196627:FBQ196628 FLK196627:FLM196628 FVG196627:FVI196628 GFC196627:GFE196628 GOY196627:GPA196628 GYU196627:GYW196628 HIQ196627:HIS196628 HSM196627:HSO196628 ICI196627:ICK196628 IME196627:IMG196628 IWA196627:IWC196628 JFW196627:JFY196628 JPS196627:JPU196628 JZO196627:JZQ196628 KJK196627:KJM196628 KTG196627:KTI196628 LDC196627:LDE196628 LMY196627:LNA196628 LWU196627:LWW196628 MGQ196627:MGS196628 MQM196627:MQO196628 NAI196627:NAK196628 NKE196627:NKG196628 NUA196627:NUC196628 ODW196627:ODY196628 ONS196627:ONU196628 OXO196627:OXQ196628 PHK196627:PHM196628 PRG196627:PRI196628 QBC196627:QBE196628 QKY196627:QLA196628 QUU196627:QUW196628 REQ196627:RES196628 ROM196627:ROO196628 RYI196627:RYK196628 SIE196627:SIG196628 SSA196627:SSC196628 TBW196627:TBY196628 TLS196627:TLU196628 TVO196627:TVQ196628 UFK196627:UFM196628 UPG196627:UPI196628 UZC196627:UZE196628 VIY196627:VJA196628 VSU196627:VSW196628 WCQ196627:WCS196628 WMM196627:WMO196628 WWI196627:WWK196628 AA262163:AC262164 JW262163:JY262164 TS262163:TU262164 ADO262163:ADQ262164 ANK262163:ANM262164 AXG262163:AXI262164 BHC262163:BHE262164 BQY262163:BRA262164 CAU262163:CAW262164 CKQ262163:CKS262164 CUM262163:CUO262164 DEI262163:DEK262164 DOE262163:DOG262164 DYA262163:DYC262164 EHW262163:EHY262164 ERS262163:ERU262164 FBO262163:FBQ262164 FLK262163:FLM262164 FVG262163:FVI262164 GFC262163:GFE262164 GOY262163:GPA262164 GYU262163:GYW262164 HIQ262163:HIS262164 HSM262163:HSO262164 ICI262163:ICK262164 IME262163:IMG262164 IWA262163:IWC262164 JFW262163:JFY262164 JPS262163:JPU262164 JZO262163:JZQ262164 KJK262163:KJM262164 KTG262163:KTI262164 LDC262163:LDE262164 LMY262163:LNA262164 LWU262163:LWW262164 MGQ262163:MGS262164 MQM262163:MQO262164 NAI262163:NAK262164 NKE262163:NKG262164 NUA262163:NUC262164 ODW262163:ODY262164 ONS262163:ONU262164 OXO262163:OXQ262164 PHK262163:PHM262164 PRG262163:PRI262164 QBC262163:QBE262164 QKY262163:QLA262164 QUU262163:QUW262164 REQ262163:RES262164 ROM262163:ROO262164 RYI262163:RYK262164 SIE262163:SIG262164 SSA262163:SSC262164 TBW262163:TBY262164 TLS262163:TLU262164 TVO262163:TVQ262164 UFK262163:UFM262164 UPG262163:UPI262164 UZC262163:UZE262164 VIY262163:VJA262164 VSU262163:VSW262164 WCQ262163:WCS262164 WMM262163:WMO262164 WWI262163:WWK262164 AA327699:AC327700 JW327699:JY327700 TS327699:TU327700 ADO327699:ADQ327700 ANK327699:ANM327700 AXG327699:AXI327700 BHC327699:BHE327700 BQY327699:BRA327700 CAU327699:CAW327700 CKQ327699:CKS327700 CUM327699:CUO327700 DEI327699:DEK327700 DOE327699:DOG327700 DYA327699:DYC327700 EHW327699:EHY327700 ERS327699:ERU327700 FBO327699:FBQ327700 FLK327699:FLM327700 FVG327699:FVI327700 GFC327699:GFE327700 GOY327699:GPA327700 GYU327699:GYW327700 HIQ327699:HIS327700 HSM327699:HSO327700 ICI327699:ICK327700 IME327699:IMG327700 IWA327699:IWC327700 JFW327699:JFY327700 JPS327699:JPU327700 JZO327699:JZQ327700 KJK327699:KJM327700 KTG327699:KTI327700 LDC327699:LDE327700 LMY327699:LNA327700 LWU327699:LWW327700 MGQ327699:MGS327700 MQM327699:MQO327700 NAI327699:NAK327700 NKE327699:NKG327700 NUA327699:NUC327700 ODW327699:ODY327700 ONS327699:ONU327700 OXO327699:OXQ327700 PHK327699:PHM327700 PRG327699:PRI327700 QBC327699:QBE327700 QKY327699:QLA327700 QUU327699:QUW327700 REQ327699:RES327700 ROM327699:ROO327700 RYI327699:RYK327700 SIE327699:SIG327700 SSA327699:SSC327700 TBW327699:TBY327700 TLS327699:TLU327700 TVO327699:TVQ327700 UFK327699:UFM327700 UPG327699:UPI327700 UZC327699:UZE327700 VIY327699:VJA327700 VSU327699:VSW327700 WCQ327699:WCS327700 WMM327699:WMO327700 WWI327699:WWK327700 AA393235:AC393236 JW393235:JY393236 TS393235:TU393236 ADO393235:ADQ393236 ANK393235:ANM393236 AXG393235:AXI393236 BHC393235:BHE393236 BQY393235:BRA393236 CAU393235:CAW393236 CKQ393235:CKS393236 CUM393235:CUO393236 DEI393235:DEK393236 DOE393235:DOG393236 DYA393235:DYC393236 EHW393235:EHY393236 ERS393235:ERU393236 FBO393235:FBQ393236 FLK393235:FLM393236 FVG393235:FVI393236 GFC393235:GFE393236 GOY393235:GPA393236 GYU393235:GYW393236 HIQ393235:HIS393236 HSM393235:HSO393236 ICI393235:ICK393236 IME393235:IMG393236 IWA393235:IWC393236 JFW393235:JFY393236 JPS393235:JPU393236 JZO393235:JZQ393236 KJK393235:KJM393236 KTG393235:KTI393236 LDC393235:LDE393236 LMY393235:LNA393236 LWU393235:LWW393236 MGQ393235:MGS393236 MQM393235:MQO393236 NAI393235:NAK393236 NKE393235:NKG393236 NUA393235:NUC393236 ODW393235:ODY393236 ONS393235:ONU393236 OXO393235:OXQ393236 PHK393235:PHM393236 PRG393235:PRI393236 QBC393235:QBE393236 QKY393235:QLA393236 QUU393235:QUW393236 REQ393235:RES393236 ROM393235:ROO393236 RYI393235:RYK393236 SIE393235:SIG393236 SSA393235:SSC393236 TBW393235:TBY393236 TLS393235:TLU393236 TVO393235:TVQ393236 UFK393235:UFM393236 UPG393235:UPI393236 UZC393235:UZE393236 VIY393235:VJA393236 VSU393235:VSW393236 WCQ393235:WCS393236 WMM393235:WMO393236 WWI393235:WWK393236 AA458771:AC458772 JW458771:JY458772 TS458771:TU458772 ADO458771:ADQ458772 ANK458771:ANM458772 AXG458771:AXI458772 BHC458771:BHE458772 BQY458771:BRA458772 CAU458771:CAW458772 CKQ458771:CKS458772 CUM458771:CUO458772 DEI458771:DEK458772 DOE458771:DOG458772 DYA458771:DYC458772 EHW458771:EHY458772 ERS458771:ERU458772 FBO458771:FBQ458772 FLK458771:FLM458772 FVG458771:FVI458772 GFC458771:GFE458772 GOY458771:GPA458772 GYU458771:GYW458772 HIQ458771:HIS458772 HSM458771:HSO458772 ICI458771:ICK458772 IME458771:IMG458772 IWA458771:IWC458772 JFW458771:JFY458772 JPS458771:JPU458772 JZO458771:JZQ458772 KJK458771:KJM458772 KTG458771:KTI458772 LDC458771:LDE458772 LMY458771:LNA458772 LWU458771:LWW458772 MGQ458771:MGS458772 MQM458771:MQO458772 NAI458771:NAK458772 NKE458771:NKG458772 NUA458771:NUC458772 ODW458771:ODY458772 ONS458771:ONU458772 OXO458771:OXQ458772 PHK458771:PHM458772 PRG458771:PRI458772 QBC458771:QBE458772 QKY458771:QLA458772 QUU458771:QUW458772 REQ458771:RES458772 ROM458771:ROO458772 RYI458771:RYK458772 SIE458771:SIG458772 SSA458771:SSC458772 TBW458771:TBY458772 TLS458771:TLU458772 TVO458771:TVQ458772 UFK458771:UFM458772 UPG458771:UPI458772 UZC458771:UZE458772 VIY458771:VJA458772 VSU458771:VSW458772 WCQ458771:WCS458772 WMM458771:WMO458772 WWI458771:WWK458772 AA524307:AC524308 JW524307:JY524308 TS524307:TU524308 ADO524307:ADQ524308 ANK524307:ANM524308 AXG524307:AXI524308 BHC524307:BHE524308 BQY524307:BRA524308 CAU524307:CAW524308 CKQ524307:CKS524308 CUM524307:CUO524308 DEI524307:DEK524308 DOE524307:DOG524308 DYA524307:DYC524308 EHW524307:EHY524308 ERS524307:ERU524308 FBO524307:FBQ524308 FLK524307:FLM524308 FVG524307:FVI524308 GFC524307:GFE524308 GOY524307:GPA524308 GYU524307:GYW524308 HIQ524307:HIS524308 HSM524307:HSO524308 ICI524307:ICK524308 IME524307:IMG524308 IWA524307:IWC524308 JFW524307:JFY524308 JPS524307:JPU524308 JZO524307:JZQ524308 KJK524307:KJM524308 KTG524307:KTI524308 LDC524307:LDE524308 LMY524307:LNA524308 LWU524307:LWW524308 MGQ524307:MGS524308 MQM524307:MQO524308 NAI524307:NAK524308 NKE524307:NKG524308 NUA524307:NUC524308 ODW524307:ODY524308 ONS524307:ONU524308 OXO524307:OXQ524308 PHK524307:PHM524308 PRG524307:PRI524308 QBC524307:QBE524308 QKY524307:QLA524308 QUU524307:QUW524308 REQ524307:RES524308 ROM524307:ROO524308 RYI524307:RYK524308 SIE524307:SIG524308 SSA524307:SSC524308 TBW524307:TBY524308 TLS524307:TLU524308 TVO524307:TVQ524308 UFK524307:UFM524308 UPG524307:UPI524308 UZC524307:UZE524308 VIY524307:VJA524308 VSU524307:VSW524308 WCQ524307:WCS524308 WMM524307:WMO524308 WWI524307:WWK524308 AA589843:AC589844 JW589843:JY589844 TS589843:TU589844 ADO589843:ADQ589844 ANK589843:ANM589844 AXG589843:AXI589844 BHC589843:BHE589844 BQY589843:BRA589844 CAU589843:CAW589844 CKQ589843:CKS589844 CUM589843:CUO589844 DEI589843:DEK589844 DOE589843:DOG589844 DYA589843:DYC589844 EHW589843:EHY589844 ERS589843:ERU589844 FBO589843:FBQ589844 FLK589843:FLM589844 FVG589843:FVI589844 GFC589843:GFE589844 GOY589843:GPA589844 GYU589843:GYW589844 HIQ589843:HIS589844 HSM589843:HSO589844 ICI589843:ICK589844 IME589843:IMG589844 IWA589843:IWC589844 JFW589843:JFY589844 JPS589843:JPU589844 JZO589843:JZQ589844 KJK589843:KJM589844 KTG589843:KTI589844 LDC589843:LDE589844 LMY589843:LNA589844 LWU589843:LWW589844 MGQ589843:MGS589844 MQM589843:MQO589844 NAI589843:NAK589844 NKE589843:NKG589844 NUA589843:NUC589844 ODW589843:ODY589844 ONS589843:ONU589844 OXO589843:OXQ589844 PHK589843:PHM589844 PRG589843:PRI589844 QBC589843:QBE589844 QKY589843:QLA589844 QUU589843:QUW589844 REQ589843:RES589844 ROM589843:ROO589844 RYI589843:RYK589844 SIE589843:SIG589844 SSA589843:SSC589844 TBW589843:TBY589844 TLS589843:TLU589844 TVO589843:TVQ589844 UFK589843:UFM589844 UPG589843:UPI589844 UZC589843:UZE589844 VIY589843:VJA589844 VSU589843:VSW589844 WCQ589843:WCS589844 WMM589843:WMO589844 WWI589843:WWK589844 AA655379:AC655380 JW655379:JY655380 TS655379:TU655380 ADO655379:ADQ655380 ANK655379:ANM655380 AXG655379:AXI655380 BHC655379:BHE655380 BQY655379:BRA655380 CAU655379:CAW655380 CKQ655379:CKS655380 CUM655379:CUO655380 DEI655379:DEK655380 DOE655379:DOG655380 DYA655379:DYC655380 EHW655379:EHY655380 ERS655379:ERU655380 FBO655379:FBQ655380 FLK655379:FLM655380 FVG655379:FVI655380 GFC655379:GFE655380 GOY655379:GPA655380 GYU655379:GYW655380 HIQ655379:HIS655380 HSM655379:HSO655380 ICI655379:ICK655380 IME655379:IMG655380 IWA655379:IWC655380 JFW655379:JFY655380 JPS655379:JPU655380 JZO655379:JZQ655380 KJK655379:KJM655380 KTG655379:KTI655380 LDC655379:LDE655380 LMY655379:LNA655380 LWU655379:LWW655380 MGQ655379:MGS655380 MQM655379:MQO655380 NAI655379:NAK655380 NKE655379:NKG655380 NUA655379:NUC655380 ODW655379:ODY655380 ONS655379:ONU655380 OXO655379:OXQ655380 PHK655379:PHM655380 PRG655379:PRI655380 QBC655379:QBE655380 QKY655379:QLA655380 QUU655379:QUW655380 REQ655379:RES655380 ROM655379:ROO655380 RYI655379:RYK655380 SIE655379:SIG655380 SSA655379:SSC655380 TBW655379:TBY655380 TLS655379:TLU655380 TVO655379:TVQ655380 UFK655379:UFM655380 UPG655379:UPI655380 UZC655379:UZE655380 VIY655379:VJA655380 VSU655379:VSW655380 WCQ655379:WCS655380 WMM655379:WMO655380 WWI655379:WWK655380 AA720915:AC720916 JW720915:JY720916 TS720915:TU720916 ADO720915:ADQ720916 ANK720915:ANM720916 AXG720915:AXI720916 BHC720915:BHE720916 BQY720915:BRA720916 CAU720915:CAW720916 CKQ720915:CKS720916 CUM720915:CUO720916 DEI720915:DEK720916 DOE720915:DOG720916 DYA720915:DYC720916 EHW720915:EHY720916 ERS720915:ERU720916 FBO720915:FBQ720916 FLK720915:FLM720916 FVG720915:FVI720916 GFC720915:GFE720916 GOY720915:GPA720916 GYU720915:GYW720916 HIQ720915:HIS720916 HSM720915:HSO720916 ICI720915:ICK720916 IME720915:IMG720916 IWA720915:IWC720916 JFW720915:JFY720916 JPS720915:JPU720916 JZO720915:JZQ720916 KJK720915:KJM720916 KTG720915:KTI720916 LDC720915:LDE720916 LMY720915:LNA720916 LWU720915:LWW720916 MGQ720915:MGS720916 MQM720915:MQO720916 NAI720915:NAK720916 NKE720915:NKG720916 NUA720915:NUC720916 ODW720915:ODY720916 ONS720915:ONU720916 OXO720915:OXQ720916 PHK720915:PHM720916 PRG720915:PRI720916 QBC720915:QBE720916 QKY720915:QLA720916 QUU720915:QUW720916 REQ720915:RES720916 ROM720915:ROO720916 RYI720915:RYK720916 SIE720915:SIG720916 SSA720915:SSC720916 TBW720915:TBY720916 TLS720915:TLU720916 TVO720915:TVQ720916 UFK720915:UFM720916 UPG720915:UPI720916 UZC720915:UZE720916 VIY720915:VJA720916 VSU720915:VSW720916 WCQ720915:WCS720916 WMM720915:WMO720916 WWI720915:WWK720916 AA786451:AC786452 JW786451:JY786452 TS786451:TU786452 ADO786451:ADQ786452 ANK786451:ANM786452 AXG786451:AXI786452 BHC786451:BHE786452 BQY786451:BRA786452 CAU786451:CAW786452 CKQ786451:CKS786452 CUM786451:CUO786452 DEI786451:DEK786452 DOE786451:DOG786452 DYA786451:DYC786452 EHW786451:EHY786452 ERS786451:ERU786452 FBO786451:FBQ786452 FLK786451:FLM786452 FVG786451:FVI786452 GFC786451:GFE786452 GOY786451:GPA786452 GYU786451:GYW786452 HIQ786451:HIS786452 HSM786451:HSO786452 ICI786451:ICK786452 IME786451:IMG786452 IWA786451:IWC786452 JFW786451:JFY786452 JPS786451:JPU786452 JZO786451:JZQ786452 KJK786451:KJM786452 KTG786451:KTI786452 LDC786451:LDE786452 LMY786451:LNA786452 LWU786451:LWW786452 MGQ786451:MGS786452 MQM786451:MQO786452 NAI786451:NAK786452 NKE786451:NKG786452 NUA786451:NUC786452 ODW786451:ODY786452 ONS786451:ONU786452 OXO786451:OXQ786452 PHK786451:PHM786452 PRG786451:PRI786452 QBC786451:QBE786452 QKY786451:QLA786452 QUU786451:QUW786452 REQ786451:RES786452 ROM786451:ROO786452 RYI786451:RYK786452 SIE786451:SIG786452 SSA786451:SSC786452 TBW786451:TBY786452 TLS786451:TLU786452 TVO786451:TVQ786452 UFK786451:UFM786452 UPG786451:UPI786452 UZC786451:UZE786452 VIY786451:VJA786452 VSU786451:VSW786452 WCQ786451:WCS786452 WMM786451:WMO786452 WWI786451:WWK786452 AA851987:AC851988 JW851987:JY851988 TS851987:TU851988 ADO851987:ADQ851988 ANK851987:ANM851988 AXG851987:AXI851988 BHC851987:BHE851988 BQY851987:BRA851988 CAU851987:CAW851988 CKQ851987:CKS851988 CUM851987:CUO851988 DEI851987:DEK851988 DOE851987:DOG851988 DYA851987:DYC851988 EHW851987:EHY851988 ERS851987:ERU851988 FBO851987:FBQ851988 FLK851987:FLM851988 FVG851987:FVI851988 GFC851987:GFE851988 GOY851987:GPA851988 GYU851987:GYW851988 HIQ851987:HIS851988 HSM851987:HSO851988 ICI851987:ICK851988 IME851987:IMG851988 IWA851987:IWC851988 JFW851987:JFY851988 JPS851987:JPU851988 JZO851987:JZQ851988 KJK851987:KJM851988 KTG851987:KTI851988 LDC851987:LDE851988 LMY851987:LNA851988 LWU851987:LWW851988 MGQ851987:MGS851988 MQM851987:MQO851988 NAI851987:NAK851988 NKE851987:NKG851988 NUA851987:NUC851988 ODW851987:ODY851988 ONS851987:ONU851988 OXO851987:OXQ851988 PHK851987:PHM851988 PRG851987:PRI851988 QBC851987:QBE851988 QKY851987:QLA851988 QUU851987:QUW851988 REQ851987:RES851988 ROM851987:ROO851988 RYI851987:RYK851988 SIE851987:SIG851988 SSA851987:SSC851988 TBW851987:TBY851988 TLS851987:TLU851988 TVO851987:TVQ851988 UFK851987:UFM851988 UPG851987:UPI851988 UZC851987:UZE851988 VIY851987:VJA851988 VSU851987:VSW851988 WCQ851987:WCS851988 WMM851987:WMO851988 WWI851987:WWK851988 AA917523:AC917524 JW917523:JY917524 TS917523:TU917524 ADO917523:ADQ917524 ANK917523:ANM917524 AXG917523:AXI917524 BHC917523:BHE917524 BQY917523:BRA917524 CAU917523:CAW917524 CKQ917523:CKS917524 CUM917523:CUO917524 DEI917523:DEK917524 DOE917523:DOG917524 DYA917523:DYC917524 EHW917523:EHY917524 ERS917523:ERU917524 FBO917523:FBQ917524 FLK917523:FLM917524 FVG917523:FVI917524 GFC917523:GFE917524 GOY917523:GPA917524 GYU917523:GYW917524 HIQ917523:HIS917524 HSM917523:HSO917524 ICI917523:ICK917524 IME917523:IMG917524 IWA917523:IWC917524 JFW917523:JFY917524 JPS917523:JPU917524 JZO917523:JZQ917524 KJK917523:KJM917524 KTG917523:KTI917524 LDC917523:LDE917524 LMY917523:LNA917524 LWU917523:LWW917524 MGQ917523:MGS917524 MQM917523:MQO917524 NAI917523:NAK917524 NKE917523:NKG917524 NUA917523:NUC917524 ODW917523:ODY917524 ONS917523:ONU917524 OXO917523:OXQ917524 PHK917523:PHM917524 PRG917523:PRI917524 QBC917523:QBE917524 QKY917523:QLA917524 QUU917523:QUW917524 REQ917523:RES917524 ROM917523:ROO917524 RYI917523:RYK917524 SIE917523:SIG917524 SSA917523:SSC917524 TBW917523:TBY917524 TLS917523:TLU917524 TVO917523:TVQ917524 UFK917523:UFM917524 UPG917523:UPI917524 UZC917523:UZE917524 VIY917523:VJA917524 VSU917523:VSW917524 WCQ917523:WCS917524 WMM917523:WMO917524 WWI917523:WWK917524 AA983059:AC983060 JW983059:JY983060 TS983059:TU983060 ADO983059:ADQ983060 ANK983059:ANM983060 AXG983059:AXI983060 BHC983059:BHE983060 BQY983059:BRA983060 CAU983059:CAW983060 CKQ983059:CKS983060 CUM983059:CUO983060 DEI983059:DEK983060 DOE983059:DOG983060 DYA983059:DYC983060 EHW983059:EHY983060 ERS983059:ERU983060 FBO983059:FBQ983060 FLK983059:FLM983060 FVG983059:FVI983060 GFC983059:GFE983060 GOY983059:GPA983060 GYU983059:GYW983060 HIQ983059:HIS983060 HSM983059:HSO983060 ICI983059:ICK983060 IME983059:IMG983060 IWA983059:IWC983060 JFW983059:JFY983060 JPS983059:JPU983060 JZO983059:JZQ983060 KJK983059:KJM983060 KTG983059:KTI983060 LDC983059:LDE983060 LMY983059:LNA983060 LWU983059:LWW983060 MGQ983059:MGS983060 MQM983059:MQO983060 NAI983059:NAK983060 NKE983059:NKG983060 NUA983059:NUC983060 ODW983059:ODY983060 ONS983059:ONU983060 OXO983059:OXQ983060 PHK983059:PHM983060 PRG983059:PRI983060 QBC983059:QBE983060 QKY983059:QLA983060 QUU983059:QUW983060 REQ983059:RES983060 ROM983059:ROO983060 RYI983059:RYK983060 SIE983059:SIG983060 SSA983059:SSC983060 TBW983059:TBY983060 TLS983059:TLU983060 TVO983059:TVQ983060 UFK983059:UFM983060 UPG983059:UPI983060 UZC983059:UZE983060 VIY983059:VJA983060 VSU983059:VSW983060 WCQ983059:WCS983060 WMM983059:WMO983060" xr:uid="{A0CD0983-4890-4A3A-83BF-A607C9147CCC}">
      <formula1>$BB$10:$BB$12</formula1>
    </dataValidation>
    <dataValidation type="list" allowBlank="1" showInputMessage="1" showErrorMessage="1" sqref="WVQ983062:WWS983063 JE22:KG23 TA22:UC23 ACW22:ADY23 AMS22:ANU23 AWO22:AXQ23 BGK22:BHM23 BQG22:BRI23 CAC22:CBE23 CJY22:CLA23 CTU22:CUW23 DDQ22:DES23 DNM22:DOO23 DXI22:DYK23 EHE22:EIG23 ERA22:ESC23 FAW22:FBY23 FKS22:FLU23 FUO22:FVQ23 GEK22:GFM23 GOG22:GPI23 GYC22:GZE23 HHY22:HJA23 HRU22:HSW23 IBQ22:ICS23 ILM22:IMO23 IVI22:IWK23 JFE22:JGG23 JPA22:JQC23 JYW22:JZY23 KIS22:KJU23 KSO22:KTQ23 LCK22:LDM23 LMG22:LNI23 LWC22:LXE23 MFY22:MHA23 MPU22:MQW23 MZQ22:NAS23 NJM22:NKO23 NTI22:NUK23 ODE22:OEG23 ONA22:OOC23 OWW22:OXY23 PGS22:PHU23 PQO22:PRQ23 QAK22:QBM23 QKG22:QLI23 QUC22:QVE23 RDY22:RFA23 RNU22:ROW23 RXQ22:RYS23 SHM22:SIO23 SRI22:SSK23 TBE22:TCG23 TLA22:TMC23 TUW22:TVY23 UES22:UFU23 UOO22:UPQ23 UYK22:UZM23 VIG22:VJI23 VSC22:VTE23 WBY22:WDA23 WLU22:WMW23 WVQ22:WWS23 I65558:AK65559 JE65558:KG65559 TA65558:UC65559 ACW65558:ADY65559 AMS65558:ANU65559 AWO65558:AXQ65559 BGK65558:BHM65559 BQG65558:BRI65559 CAC65558:CBE65559 CJY65558:CLA65559 CTU65558:CUW65559 DDQ65558:DES65559 DNM65558:DOO65559 DXI65558:DYK65559 EHE65558:EIG65559 ERA65558:ESC65559 FAW65558:FBY65559 FKS65558:FLU65559 FUO65558:FVQ65559 GEK65558:GFM65559 GOG65558:GPI65559 GYC65558:GZE65559 HHY65558:HJA65559 HRU65558:HSW65559 IBQ65558:ICS65559 ILM65558:IMO65559 IVI65558:IWK65559 JFE65558:JGG65559 JPA65558:JQC65559 JYW65558:JZY65559 KIS65558:KJU65559 KSO65558:KTQ65559 LCK65558:LDM65559 LMG65558:LNI65559 LWC65558:LXE65559 MFY65558:MHA65559 MPU65558:MQW65559 MZQ65558:NAS65559 NJM65558:NKO65559 NTI65558:NUK65559 ODE65558:OEG65559 ONA65558:OOC65559 OWW65558:OXY65559 PGS65558:PHU65559 PQO65558:PRQ65559 QAK65558:QBM65559 QKG65558:QLI65559 QUC65558:QVE65559 RDY65558:RFA65559 RNU65558:ROW65559 RXQ65558:RYS65559 SHM65558:SIO65559 SRI65558:SSK65559 TBE65558:TCG65559 TLA65558:TMC65559 TUW65558:TVY65559 UES65558:UFU65559 UOO65558:UPQ65559 UYK65558:UZM65559 VIG65558:VJI65559 VSC65558:VTE65559 WBY65558:WDA65559 WLU65558:WMW65559 WVQ65558:WWS65559 I131094:AK131095 JE131094:KG131095 TA131094:UC131095 ACW131094:ADY131095 AMS131094:ANU131095 AWO131094:AXQ131095 BGK131094:BHM131095 BQG131094:BRI131095 CAC131094:CBE131095 CJY131094:CLA131095 CTU131094:CUW131095 DDQ131094:DES131095 DNM131094:DOO131095 DXI131094:DYK131095 EHE131094:EIG131095 ERA131094:ESC131095 FAW131094:FBY131095 FKS131094:FLU131095 FUO131094:FVQ131095 GEK131094:GFM131095 GOG131094:GPI131095 GYC131094:GZE131095 HHY131094:HJA131095 HRU131094:HSW131095 IBQ131094:ICS131095 ILM131094:IMO131095 IVI131094:IWK131095 JFE131094:JGG131095 JPA131094:JQC131095 JYW131094:JZY131095 KIS131094:KJU131095 KSO131094:KTQ131095 LCK131094:LDM131095 LMG131094:LNI131095 LWC131094:LXE131095 MFY131094:MHA131095 MPU131094:MQW131095 MZQ131094:NAS131095 NJM131094:NKO131095 NTI131094:NUK131095 ODE131094:OEG131095 ONA131094:OOC131095 OWW131094:OXY131095 PGS131094:PHU131095 PQO131094:PRQ131095 QAK131094:QBM131095 QKG131094:QLI131095 QUC131094:QVE131095 RDY131094:RFA131095 RNU131094:ROW131095 RXQ131094:RYS131095 SHM131094:SIO131095 SRI131094:SSK131095 TBE131094:TCG131095 TLA131094:TMC131095 TUW131094:TVY131095 UES131094:UFU131095 UOO131094:UPQ131095 UYK131094:UZM131095 VIG131094:VJI131095 VSC131094:VTE131095 WBY131094:WDA131095 WLU131094:WMW131095 WVQ131094:WWS131095 I196630:AK196631 JE196630:KG196631 TA196630:UC196631 ACW196630:ADY196631 AMS196630:ANU196631 AWO196630:AXQ196631 BGK196630:BHM196631 BQG196630:BRI196631 CAC196630:CBE196631 CJY196630:CLA196631 CTU196630:CUW196631 DDQ196630:DES196631 DNM196630:DOO196631 DXI196630:DYK196631 EHE196630:EIG196631 ERA196630:ESC196631 FAW196630:FBY196631 FKS196630:FLU196631 FUO196630:FVQ196631 GEK196630:GFM196631 GOG196630:GPI196631 GYC196630:GZE196631 HHY196630:HJA196631 HRU196630:HSW196631 IBQ196630:ICS196631 ILM196630:IMO196631 IVI196630:IWK196631 JFE196630:JGG196631 JPA196630:JQC196631 JYW196630:JZY196631 KIS196630:KJU196631 KSO196630:KTQ196631 LCK196630:LDM196631 LMG196630:LNI196631 LWC196630:LXE196631 MFY196630:MHA196631 MPU196630:MQW196631 MZQ196630:NAS196631 NJM196630:NKO196631 NTI196630:NUK196631 ODE196630:OEG196631 ONA196630:OOC196631 OWW196630:OXY196631 PGS196630:PHU196631 PQO196630:PRQ196631 QAK196630:QBM196631 QKG196630:QLI196631 QUC196630:QVE196631 RDY196630:RFA196631 RNU196630:ROW196631 RXQ196630:RYS196631 SHM196630:SIO196631 SRI196630:SSK196631 TBE196630:TCG196631 TLA196630:TMC196631 TUW196630:TVY196631 UES196630:UFU196631 UOO196630:UPQ196631 UYK196630:UZM196631 VIG196630:VJI196631 VSC196630:VTE196631 WBY196630:WDA196631 WLU196630:WMW196631 WVQ196630:WWS196631 I262166:AK262167 JE262166:KG262167 TA262166:UC262167 ACW262166:ADY262167 AMS262166:ANU262167 AWO262166:AXQ262167 BGK262166:BHM262167 BQG262166:BRI262167 CAC262166:CBE262167 CJY262166:CLA262167 CTU262166:CUW262167 DDQ262166:DES262167 DNM262166:DOO262167 DXI262166:DYK262167 EHE262166:EIG262167 ERA262166:ESC262167 FAW262166:FBY262167 FKS262166:FLU262167 FUO262166:FVQ262167 GEK262166:GFM262167 GOG262166:GPI262167 GYC262166:GZE262167 HHY262166:HJA262167 HRU262166:HSW262167 IBQ262166:ICS262167 ILM262166:IMO262167 IVI262166:IWK262167 JFE262166:JGG262167 JPA262166:JQC262167 JYW262166:JZY262167 KIS262166:KJU262167 KSO262166:KTQ262167 LCK262166:LDM262167 LMG262166:LNI262167 LWC262166:LXE262167 MFY262166:MHA262167 MPU262166:MQW262167 MZQ262166:NAS262167 NJM262166:NKO262167 NTI262166:NUK262167 ODE262166:OEG262167 ONA262166:OOC262167 OWW262166:OXY262167 PGS262166:PHU262167 PQO262166:PRQ262167 QAK262166:QBM262167 QKG262166:QLI262167 QUC262166:QVE262167 RDY262166:RFA262167 RNU262166:ROW262167 RXQ262166:RYS262167 SHM262166:SIO262167 SRI262166:SSK262167 TBE262166:TCG262167 TLA262166:TMC262167 TUW262166:TVY262167 UES262166:UFU262167 UOO262166:UPQ262167 UYK262166:UZM262167 VIG262166:VJI262167 VSC262166:VTE262167 WBY262166:WDA262167 WLU262166:WMW262167 WVQ262166:WWS262167 I327702:AK327703 JE327702:KG327703 TA327702:UC327703 ACW327702:ADY327703 AMS327702:ANU327703 AWO327702:AXQ327703 BGK327702:BHM327703 BQG327702:BRI327703 CAC327702:CBE327703 CJY327702:CLA327703 CTU327702:CUW327703 DDQ327702:DES327703 DNM327702:DOO327703 DXI327702:DYK327703 EHE327702:EIG327703 ERA327702:ESC327703 FAW327702:FBY327703 FKS327702:FLU327703 FUO327702:FVQ327703 GEK327702:GFM327703 GOG327702:GPI327703 GYC327702:GZE327703 HHY327702:HJA327703 HRU327702:HSW327703 IBQ327702:ICS327703 ILM327702:IMO327703 IVI327702:IWK327703 JFE327702:JGG327703 JPA327702:JQC327703 JYW327702:JZY327703 KIS327702:KJU327703 KSO327702:KTQ327703 LCK327702:LDM327703 LMG327702:LNI327703 LWC327702:LXE327703 MFY327702:MHA327703 MPU327702:MQW327703 MZQ327702:NAS327703 NJM327702:NKO327703 NTI327702:NUK327703 ODE327702:OEG327703 ONA327702:OOC327703 OWW327702:OXY327703 PGS327702:PHU327703 PQO327702:PRQ327703 QAK327702:QBM327703 QKG327702:QLI327703 QUC327702:QVE327703 RDY327702:RFA327703 RNU327702:ROW327703 RXQ327702:RYS327703 SHM327702:SIO327703 SRI327702:SSK327703 TBE327702:TCG327703 TLA327702:TMC327703 TUW327702:TVY327703 UES327702:UFU327703 UOO327702:UPQ327703 UYK327702:UZM327703 VIG327702:VJI327703 VSC327702:VTE327703 WBY327702:WDA327703 WLU327702:WMW327703 WVQ327702:WWS327703 I393238:AK393239 JE393238:KG393239 TA393238:UC393239 ACW393238:ADY393239 AMS393238:ANU393239 AWO393238:AXQ393239 BGK393238:BHM393239 BQG393238:BRI393239 CAC393238:CBE393239 CJY393238:CLA393239 CTU393238:CUW393239 DDQ393238:DES393239 DNM393238:DOO393239 DXI393238:DYK393239 EHE393238:EIG393239 ERA393238:ESC393239 FAW393238:FBY393239 FKS393238:FLU393239 FUO393238:FVQ393239 GEK393238:GFM393239 GOG393238:GPI393239 GYC393238:GZE393239 HHY393238:HJA393239 HRU393238:HSW393239 IBQ393238:ICS393239 ILM393238:IMO393239 IVI393238:IWK393239 JFE393238:JGG393239 JPA393238:JQC393239 JYW393238:JZY393239 KIS393238:KJU393239 KSO393238:KTQ393239 LCK393238:LDM393239 LMG393238:LNI393239 LWC393238:LXE393239 MFY393238:MHA393239 MPU393238:MQW393239 MZQ393238:NAS393239 NJM393238:NKO393239 NTI393238:NUK393239 ODE393238:OEG393239 ONA393238:OOC393239 OWW393238:OXY393239 PGS393238:PHU393239 PQO393238:PRQ393239 QAK393238:QBM393239 QKG393238:QLI393239 QUC393238:QVE393239 RDY393238:RFA393239 RNU393238:ROW393239 RXQ393238:RYS393239 SHM393238:SIO393239 SRI393238:SSK393239 TBE393238:TCG393239 TLA393238:TMC393239 TUW393238:TVY393239 UES393238:UFU393239 UOO393238:UPQ393239 UYK393238:UZM393239 VIG393238:VJI393239 VSC393238:VTE393239 WBY393238:WDA393239 WLU393238:WMW393239 WVQ393238:WWS393239 I458774:AK458775 JE458774:KG458775 TA458774:UC458775 ACW458774:ADY458775 AMS458774:ANU458775 AWO458774:AXQ458775 BGK458774:BHM458775 BQG458774:BRI458775 CAC458774:CBE458775 CJY458774:CLA458775 CTU458774:CUW458775 DDQ458774:DES458775 DNM458774:DOO458775 DXI458774:DYK458775 EHE458774:EIG458775 ERA458774:ESC458775 FAW458774:FBY458775 FKS458774:FLU458775 FUO458774:FVQ458775 GEK458774:GFM458775 GOG458774:GPI458775 GYC458774:GZE458775 HHY458774:HJA458775 HRU458774:HSW458775 IBQ458774:ICS458775 ILM458774:IMO458775 IVI458774:IWK458775 JFE458774:JGG458775 JPA458774:JQC458775 JYW458774:JZY458775 KIS458774:KJU458775 KSO458774:KTQ458775 LCK458774:LDM458775 LMG458774:LNI458775 LWC458774:LXE458775 MFY458774:MHA458775 MPU458774:MQW458775 MZQ458774:NAS458775 NJM458774:NKO458775 NTI458774:NUK458775 ODE458774:OEG458775 ONA458774:OOC458775 OWW458774:OXY458775 PGS458774:PHU458775 PQO458774:PRQ458775 QAK458774:QBM458775 QKG458774:QLI458775 QUC458774:QVE458775 RDY458774:RFA458775 RNU458774:ROW458775 RXQ458774:RYS458775 SHM458774:SIO458775 SRI458774:SSK458775 TBE458774:TCG458775 TLA458774:TMC458775 TUW458774:TVY458775 UES458774:UFU458775 UOO458774:UPQ458775 UYK458774:UZM458775 VIG458774:VJI458775 VSC458774:VTE458775 WBY458774:WDA458775 WLU458774:WMW458775 WVQ458774:WWS458775 I524310:AK524311 JE524310:KG524311 TA524310:UC524311 ACW524310:ADY524311 AMS524310:ANU524311 AWO524310:AXQ524311 BGK524310:BHM524311 BQG524310:BRI524311 CAC524310:CBE524311 CJY524310:CLA524311 CTU524310:CUW524311 DDQ524310:DES524311 DNM524310:DOO524311 DXI524310:DYK524311 EHE524310:EIG524311 ERA524310:ESC524311 FAW524310:FBY524311 FKS524310:FLU524311 FUO524310:FVQ524311 GEK524310:GFM524311 GOG524310:GPI524311 GYC524310:GZE524311 HHY524310:HJA524311 HRU524310:HSW524311 IBQ524310:ICS524311 ILM524310:IMO524311 IVI524310:IWK524311 JFE524310:JGG524311 JPA524310:JQC524311 JYW524310:JZY524311 KIS524310:KJU524311 KSO524310:KTQ524311 LCK524310:LDM524311 LMG524310:LNI524311 LWC524310:LXE524311 MFY524310:MHA524311 MPU524310:MQW524311 MZQ524310:NAS524311 NJM524310:NKO524311 NTI524310:NUK524311 ODE524310:OEG524311 ONA524310:OOC524311 OWW524310:OXY524311 PGS524310:PHU524311 PQO524310:PRQ524311 QAK524310:QBM524311 QKG524310:QLI524311 QUC524310:QVE524311 RDY524310:RFA524311 RNU524310:ROW524311 RXQ524310:RYS524311 SHM524310:SIO524311 SRI524310:SSK524311 TBE524310:TCG524311 TLA524310:TMC524311 TUW524310:TVY524311 UES524310:UFU524311 UOO524310:UPQ524311 UYK524310:UZM524311 VIG524310:VJI524311 VSC524310:VTE524311 WBY524310:WDA524311 WLU524310:WMW524311 WVQ524310:WWS524311 I589846:AK589847 JE589846:KG589847 TA589846:UC589847 ACW589846:ADY589847 AMS589846:ANU589847 AWO589846:AXQ589847 BGK589846:BHM589847 BQG589846:BRI589847 CAC589846:CBE589847 CJY589846:CLA589847 CTU589846:CUW589847 DDQ589846:DES589847 DNM589846:DOO589847 DXI589846:DYK589847 EHE589846:EIG589847 ERA589846:ESC589847 FAW589846:FBY589847 FKS589846:FLU589847 FUO589846:FVQ589847 GEK589846:GFM589847 GOG589846:GPI589847 GYC589846:GZE589847 HHY589846:HJA589847 HRU589846:HSW589847 IBQ589846:ICS589847 ILM589846:IMO589847 IVI589846:IWK589847 JFE589846:JGG589847 JPA589846:JQC589847 JYW589846:JZY589847 KIS589846:KJU589847 KSO589846:KTQ589847 LCK589846:LDM589847 LMG589846:LNI589847 LWC589846:LXE589847 MFY589846:MHA589847 MPU589846:MQW589847 MZQ589846:NAS589847 NJM589846:NKO589847 NTI589846:NUK589847 ODE589846:OEG589847 ONA589846:OOC589847 OWW589846:OXY589847 PGS589846:PHU589847 PQO589846:PRQ589847 QAK589846:QBM589847 QKG589846:QLI589847 QUC589846:QVE589847 RDY589846:RFA589847 RNU589846:ROW589847 RXQ589846:RYS589847 SHM589846:SIO589847 SRI589846:SSK589847 TBE589846:TCG589847 TLA589846:TMC589847 TUW589846:TVY589847 UES589846:UFU589847 UOO589846:UPQ589847 UYK589846:UZM589847 VIG589846:VJI589847 VSC589846:VTE589847 WBY589846:WDA589847 WLU589846:WMW589847 WVQ589846:WWS589847 I655382:AK655383 JE655382:KG655383 TA655382:UC655383 ACW655382:ADY655383 AMS655382:ANU655383 AWO655382:AXQ655383 BGK655382:BHM655383 BQG655382:BRI655383 CAC655382:CBE655383 CJY655382:CLA655383 CTU655382:CUW655383 DDQ655382:DES655383 DNM655382:DOO655383 DXI655382:DYK655383 EHE655382:EIG655383 ERA655382:ESC655383 FAW655382:FBY655383 FKS655382:FLU655383 FUO655382:FVQ655383 GEK655382:GFM655383 GOG655382:GPI655383 GYC655382:GZE655383 HHY655382:HJA655383 HRU655382:HSW655383 IBQ655382:ICS655383 ILM655382:IMO655383 IVI655382:IWK655383 JFE655382:JGG655383 JPA655382:JQC655383 JYW655382:JZY655383 KIS655382:KJU655383 KSO655382:KTQ655383 LCK655382:LDM655383 LMG655382:LNI655383 LWC655382:LXE655383 MFY655382:MHA655383 MPU655382:MQW655383 MZQ655382:NAS655383 NJM655382:NKO655383 NTI655382:NUK655383 ODE655382:OEG655383 ONA655382:OOC655383 OWW655382:OXY655383 PGS655382:PHU655383 PQO655382:PRQ655383 QAK655382:QBM655383 QKG655382:QLI655383 QUC655382:QVE655383 RDY655382:RFA655383 RNU655382:ROW655383 RXQ655382:RYS655383 SHM655382:SIO655383 SRI655382:SSK655383 TBE655382:TCG655383 TLA655382:TMC655383 TUW655382:TVY655383 UES655382:UFU655383 UOO655382:UPQ655383 UYK655382:UZM655383 VIG655382:VJI655383 VSC655382:VTE655383 WBY655382:WDA655383 WLU655382:WMW655383 WVQ655382:WWS655383 I720918:AK720919 JE720918:KG720919 TA720918:UC720919 ACW720918:ADY720919 AMS720918:ANU720919 AWO720918:AXQ720919 BGK720918:BHM720919 BQG720918:BRI720919 CAC720918:CBE720919 CJY720918:CLA720919 CTU720918:CUW720919 DDQ720918:DES720919 DNM720918:DOO720919 DXI720918:DYK720919 EHE720918:EIG720919 ERA720918:ESC720919 FAW720918:FBY720919 FKS720918:FLU720919 FUO720918:FVQ720919 GEK720918:GFM720919 GOG720918:GPI720919 GYC720918:GZE720919 HHY720918:HJA720919 HRU720918:HSW720919 IBQ720918:ICS720919 ILM720918:IMO720919 IVI720918:IWK720919 JFE720918:JGG720919 JPA720918:JQC720919 JYW720918:JZY720919 KIS720918:KJU720919 KSO720918:KTQ720919 LCK720918:LDM720919 LMG720918:LNI720919 LWC720918:LXE720919 MFY720918:MHA720919 MPU720918:MQW720919 MZQ720918:NAS720919 NJM720918:NKO720919 NTI720918:NUK720919 ODE720918:OEG720919 ONA720918:OOC720919 OWW720918:OXY720919 PGS720918:PHU720919 PQO720918:PRQ720919 QAK720918:QBM720919 QKG720918:QLI720919 QUC720918:QVE720919 RDY720918:RFA720919 RNU720918:ROW720919 RXQ720918:RYS720919 SHM720918:SIO720919 SRI720918:SSK720919 TBE720918:TCG720919 TLA720918:TMC720919 TUW720918:TVY720919 UES720918:UFU720919 UOO720918:UPQ720919 UYK720918:UZM720919 VIG720918:VJI720919 VSC720918:VTE720919 WBY720918:WDA720919 WLU720918:WMW720919 WVQ720918:WWS720919 I786454:AK786455 JE786454:KG786455 TA786454:UC786455 ACW786454:ADY786455 AMS786454:ANU786455 AWO786454:AXQ786455 BGK786454:BHM786455 BQG786454:BRI786455 CAC786454:CBE786455 CJY786454:CLA786455 CTU786454:CUW786455 DDQ786454:DES786455 DNM786454:DOO786455 DXI786454:DYK786455 EHE786454:EIG786455 ERA786454:ESC786455 FAW786454:FBY786455 FKS786454:FLU786455 FUO786454:FVQ786455 GEK786454:GFM786455 GOG786454:GPI786455 GYC786454:GZE786455 HHY786454:HJA786455 HRU786454:HSW786455 IBQ786454:ICS786455 ILM786454:IMO786455 IVI786454:IWK786455 JFE786454:JGG786455 JPA786454:JQC786455 JYW786454:JZY786455 KIS786454:KJU786455 KSO786454:KTQ786455 LCK786454:LDM786455 LMG786454:LNI786455 LWC786454:LXE786455 MFY786454:MHA786455 MPU786454:MQW786455 MZQ786454:NAS786455 NJM786454:NKO786455 NTI786454:NUK786455 ODE786454:OEG786455 ONA786454:OOC786455 OWW786454:OXY786455 PGS786454:PHU786455 PQO786454:PRQ786455 QAK786454:QBM786455 QKG786454:QLI786455 QUC786454:QVE786455 RDY786454:RFA786455 RNU786454:ROW786455 RXQ786454:RYS786455 SHM786454:SIO786455 SRI786454:SSK786455 TBE786454:TCG786455 TLA786454:TMC786455 TUW786454:TVY786455 UES786454:UFU786455 UOO786454:UPQ786455 UYK786454:UZM786455 VIG786454:VJI786455 VSC786454:VTE786455 WBY786454:WDA786455 WLU786454:WMW786455 WVQ786454:WWS786455 I851990:AK851991 JE851990:KG851991 TA851990:UC851991 ACW851990:ADY851991 AMS851990:ANU851991 AWO851990:AXQ851991 BGK851990:BHM851991 BQG851990:BRI851991 CAC851990:CBE851991 CJY851990:CLA851991 CTU851990:CUW851991 DDQ851990:DES851991 DNM851990:DOO851991 DXI851990:DYK851991 EHE851990:EIG851991 ERA851990:ESC851991 FAW851990:FBY851991 FKS851990:FLU851991 FUO851990:FVQ851991 GEK851990:GFM851991 GOG851990:GPI851991 GYC851990:GZE851991 HHY851990:HJA851991 HRU851990:HSW851991 IBQ851990:ICS851991 ILM851990:IMO851991 IVI851990:IWK851991 JFE851990:JGG851991 JPA851990:JQC851991 JYW851990:JZY851991 KIS851990:KJU851991 KSO851990:KTQ851991 LCK851990:LDM851991 LMG851990:LNI851991 LWC851990:LXE851991 MFY851990:MHA851991 MPU851990:MQW851991 MZQ851990:NAS851991 NJM851990:NKO851991 NTI851990:NUK851991 ODE851990:OEG851991 ONA851990:OOC851991 OWW851990:OXY851991 PGS851990:PHU851991 PQO851990:PRQ851991 QAK851990:QBM851991 QKG851990:QLI851991 QUC851990:QVE851991 RDY851990:RFA851991 RNU851990:ROW851991 RXQ851990:RYS851991 SHM851990:SIO851991 SRI851990:SSK851991 TBE851990:TCG851991 TLA851990:TMC851991 TUW851990:TVY851991 UES851990:UFU851991 UOO851990:UPQ851991 UYK851990:UZM851991 VIG851990:VJI851991 VSC851990:VTE851991 WBY851990:WDA851991 WLU851990:WMW851991 WVQ851990:WWS851991 I917526:AK917527 JE917526:KG917527 TA917526:UC917527 ACW917526:ADY917527 AMS917526:ANU917527 AWO917526:AXQ917527 BGK917526:BHM917527 BQG917526:BRI917527 CAC917526:CBE917527 CJY917526:CLA917527 CTU917526:CUW917527 DDQ917526:DES917527 DNM917526:DOO917527 DXI917526:DYK917527 EHE917526:EIG917527 ERA917526:ESC917527 FAW917526:FBY917527 FKS917526:FLU917527 FUO917526:FVQ917527 GEK917526:GFM917527 GOG917526:GPI917527 GYC917526:GZE917527 HHY917526:HJA917527 HRU917526:HSW917527 IBQ917526:ICS917527 ILM917526:IMO917527 IVI917526:IWK917527 JFE917526:JGG917527 JPA917526:JQC917527 JYW917526:JZY917527 KIS917526:KJU917527 KSO917526:KTQ917527 LCK917526:LDM917527 LMG917526:LNI917527 LWC917526:LXE917527 MFY917526:MHA917527 MPU917526:MQW917527 MZQ917526:NAS917527 NJM917526:NKO917527 NTI917526:NUK917527 ODE917526:OEG917527 ONA917526:OOC917527 OWW917526:OXY917527 PGS917526:PHU917527 PQO917526:PRQ917527 QAK917526:QBM917527 QKG917526:QLI917527 QUC917526:QVE917527 RDY917526:RFA917527 RNU917526:ROW917527 RXQ917526:RYS917527 SHM917526:SIO917527 SRI917526:SSK917527 TBE917526:TCG917527 TLA917526:TMC917527 TUW917526:TVY917527 UES917526:UFU917527 UOO917526:UPQ917527 UYK917526:UZM917527 VIG917526:VJI917527 VSC917526:VTE917527 WBY917526:WDA917527 WLU917526:WMW917527 WVQ917526:WWS917527 I983062:AK983063 JE983062:KG983063 TA983062:UC983063 ACW983062:ADY983063 AMS983062:ANU983063 AWO983062:AXQ983063 BGK983062:BHM983063 BQG983062:BRI983063 CAC983062:CBE983063 CJY983062:CLA983063 CTU983062:CUW983063 DDQ983062:DES983063 DNM983062:DOO983063 DXI983062:DYK983063 EHE983062:EIG983063 ERA983062:ESC983063 FAW983062:FBY983063 FKS983062:FLU983063 FUO983062:FVQ983063 GEK983062:GFM983063 GOG983062:GPI983063 GYC983062:GZE983063 HHY983062:HJA983063 HRU983062:HSW983063 IBQ983062:ICS983063 ILM983062:IMO983063 IVI983062:IWK983063 JFE983062:JGG983063 JPA983062:JQC983063 JYW983062:JZY983063 KIS983062:KJU983063 KSO983062:KTQ983063 LCK983062:LDM983063 LMG983062:LNI983063 LWC983062:LXE983063 MFY983062:MHA983063 MPU983062:MQW983063 MZQ983062:NAS983063 NJM983062:NKO983063 NTI983062:NUK983063 ODE983062:OEG983063 ONA983062:OOC983063 OWW983062:OXY983063 PGS983062:PHU983063 PQO983062:PRQ983063 QAK983062:QBM983063 QKG983062:QLI983063 QUC983062:QVE983063 RDY983062:RFA983063 RNU983062:ROW983063 RXQ983062:RYS983063 SHM983062:SIO983063 SRI983062:SSK983063 TBE983062:TCG983063 TLA983062:TMC983063 TUW983062:TVY983063 UES983062:UFU983063 UOO983062:UPQ983063 UYK983062:UZM983063 VIG983062:VJI983063 VSC983062:VTE983063 WBY983062:WDA983063 WLU983062:WMW983063" xr:uid="{8910B720-D223-40D6-9FBB-E863336AF42E}">
      <formula1>$AS$43:$AS$47</formula1>
    </dataValidation>
    <dataValidation type="list" allowBlank="1" showInputMessage="1" showErrorMessage="1" sqref="WVI983042:WVS983043 IW2:JG3 SS2:TC3 ACO2:ACY3 AMK2:AMU3 AWG2:AWQ3 BGC2:BGM3 BPY2:BQI3 BZU2:CAE3 CJQ2:CKA3 CTM2:CTW3 DDI2:DDS3 DNE2:DNO3 DXA2:DXK3 EGW2:EHG3 EQS2:ERC3 FAO2:FAY3 FKK2:FKU3 FUG2:FUQ3 GEC2:GEM3 GNY2:GOI3 GXU2:GYE3 HHQ2:HIA3 HRM2:HRW3 IBI2:IBS3 ILE2:ILO3 IVA2:IVK3 JEW2:JFG3 JOS2:JPC3 JYO2:JYY3 KIK2:KIU3 KSG2:KSQ3 LCC2:LCM3 LLY2:LMI3 LVU2:LWE3 MFQ2:MGA3 MPM2:MPW3 MZI2:MZS3 NJE2:NJO3 NTA2:NTK3 OCW2:ODG3 OMS2:ONC3 OWO2:OWY3 PGK2:PGU3 PQG2:PQQ3 QAC2:QAM3 QJY2:QKI3 QTU2:QUE3 RDQ2:REA3 RNM2:RNW3 RXI2:RXS3 SHE2:SHO3 SRA2:SRK3 TAW2:TBG3 TKS2:TLC3 TUO2:TUY3 UEK2:UEU3 UOG2:UOQ3 UYC2:UYM3 VHY2:VII3 VRU2:VSE3 WBQ2:WCA3 WLM2:WLW3 WVI2:WVS3 A65538:K65539 IW65538:JG65539 SS65538:TC65539 ACO65538:ACY65539 AMK65538:AMU65539 AWG65538:AWQ65539 BGC65538:BGM65539 BPY65538:BQI65539 BZU65538:CAE65539 CJQ65538:CKA65539 CTM65538:CTW65539 DDI65538:DDS65539 DNE65538:DNO65539 DXA65538:DXK65539 EGW65538:EHG65539 EQS65538:ERC65539 FAO65538:FAY65539 FKK65538:FKU65539 FUG65538:FUQ65539 GEC65538:GEM65539 GNY65538:GOI65539 GXU65538:GYE65539 HHQ65538:HIA65539 HRM65538:HRW65539 IBI65538:IBS65539 ILE65538:ILO65539 IVA65538:IVK65539 JEW65538:JFG65539 JOS65538:JPC65539 JYO65538:JYY65539 KIK65538:KIU65539 KSG65538:KSQ65539 LCC65538:LCM65539 LLY65538:LMI65539 LVU65538:LWE65539 MFQ65538:MGA65539 MPM65538:MPW65539 MZI65538:MZS65539 NJE65538:NJO65539 NTA65538:NTK65539 OCW65538:ODG65539 OMS65538:ONC65539 OWO65538:OWY65539 PGK65538:PGU65539 PQG65538:PQQ65539 QAC65538:QAM65539 QJY65538:QKI65539 QTU65538:QUE65539 RDQ65538:REA65539 RNM65538:RNW65539 RXI65538:RXS65539 SHE65538:SHO65539 SRA65538:SRK65539 TAW65538:TBG65539 TKS65538:TLC65539 TUO65538:TUY65539 UEK65538:UEU65539 UOG65538:UOQ65539 UYC65538:UYM65539 VHY65538:VII65539 VRU65538:VSE65539 WBQ65538:WCA65539 WLM65538:WLW65539 WVI65538:WVS65539 A131074:K131075 IW131074:JG131075 SS131074:TC131075 ACO131074:ACY131075 AMK131074:AMU131075 AWG131074:AWQ131075 BGC131074:BGM131075 BPY131074:BQI131075 BZU131074:CAE131075 CJQ131074:CKA131075 CTM131074:CTW131075 DDI131074:DDS131075 DNE131074:DNO131075 DXA131074:DXK131075 EGW131074:EHG131075 EQS131074:ERC131075 FAO131074:FAY131075 FKK131074:FKU131075 FUG131074:FUQ131075 GEC131074:GEM131075 GNY131074:GOI131075 GXU131074:GYE131075 HHQ131074:HIA131075 HRM131074:HRW131075 IBI131074:IBS131075 ILE131074:ILO131075 IVA131074:IVK131075 JEW131074:JFG131075 JOS131074:JPC131075 JYO131074:JYY131075 KIK131074:KIU131075 KSG131074:KSQ131075 LCC131074:LCM131075 LLY131074:LMI131075 LVU131074:LWE131075 MFQ131074:MGA131075 MPM131074:MPW131075 MZI131074:MZS131075 NJE131074:NJO131075 NTA131074:NTK131075 OCW131074:ODG131075 OMS131074:ONC131075 OWO131074:OWY131075 PGK131074:PGU131075 PQG131074:PQQ131075 QAC131074:QAM131075 QJY131074:QKI131075 QTU131074:QUE131075 RDQ131074:REA131075 RNM131074:RNW131075 RXI131074:RXS131075 SHE131074:SHO131075 SRA131074:SRK131075 TAW131074:TBG131075 TKS131074:TLC131075 TUO131074:TUY131075 UEK131074:UEU131075 UOG131074:UOQ131075 UYC131074:UYM131075 VHY131074:VII131075 VRU131074:VSE131075 WBQ131074:WCA131075 WLM131074:WLW131075 WVI131074:WVS131075 A196610:K196611 IW196610:JG196611 SS196610:TC196611 ACO196610:ACY196611 AMK196610:AMU196611 AWG196610:AWQ196611 BGC196610:BGM196611 BPY196610:BQI196611 BZU196610:CAE196611 CJQ196610:CKA196611 CTM196610:CTW196611 DDI196610:DDS196611 DNE196610:DNO196611 DXA196610:DXK196611 EGW196610:EHG196611 EQS196610:ERC196611 FAO196610:FAY196611 FKK196610:FKU196611 FUG196610:FUQ196611 GEC196610:GEM196611 GNY196610:GOI196611 GXU196610:GYE196611 HHQ196610:HIA196611 HRM196610:HRW196611 IBI196610:IBS196611 ILE196610:ILO196611 IVA196610:IVK196611 JEW196610:JFG196611 JOS196610:JPC196611 JYO196610:JYY196611 KIK196610:KIU196611 KSG196610:KSQ196611 LCC196610:LCM196611 LLY196610:LMI196611 LVU196610:LWE196611 MFQ196610:MGA196611 MPM196610:MPW196611 MZI196610:MZS196611 NJE196610:NJO196611 NTA196610:NTK196611 OCW196610:ODG196611 OMS196610:ONC196611 OWO196610:OWY196611 PGK196610:PGU196611 PQG196610:PQQ196611 QAC196610:QAM196611 QJY196610:QKI196611 QTU196610:QUE196611 RDQ196610:REA196611 RNM196610:RNW196611 RXI196610:RXS196611 SHE196610:SHO196611 SRA196610:SRK196611 TAW196610:TBG196611 TKS196610:TLC196611 TUO196610:TUY196611 UEK196610:UEU196611 UOG196610:UOQ196611 UYC196610:UYM196611 VHY196610:VII196611 VRU196610:VSE196611 WBQ196610:WCA196611 WLM196610:WLW196611 WVI196610:WVS196611 A262146:K262147 IW262146:JG262147 SS262146:TC262147 ACO262146:ACY262147 AMK262146:AMU262147 AWG262146:AWQ262147 BGC262146:BGM262147 BPY262146:BQI262147 BZU262146:CAE262147 CJQ262146:CKA262147 CTM262146:CTW262147 DDI262146:DDS262147 DNE262146:DNO262147 DXA262146:DXK262147 EGW262146:EHG262147 EQS262146:ERC262147 FAO262146:FAY262147 FKK262146:FKU262147 FUG262146:FUQ262147 GEC262146:GEM262147 GNY262146:GOI262147 GXU262146:GYE262147 HHQ262146:HIA262147 HRM262146:HRW262147 IBI262146:IBS262147 ILE262146:ILO262147 IVA262146:IVK262147 JEW262146:JFG262147 JOS262146:JPC262147 JYO262146:JYY262147 KIK262146:KIU262147 KSG262146:KSQ262147 LCC262146:LCM262147 LLY262146:LMI262147 LVU262146:LWE262147 MFQ262146:MGA262147 MPM262146:MPW262147 MZI262146:MZS262147 NJE262146:NJO262147 NTA262146:NTK262147 OCW262146:ODG262147 OMS262146:ONC262147 OWO262146:OWY262147 PGK262146:PGU262147 PQG262146:PQQ262147 QAC262146:QAM262147 QJY262146:QKI262147 QTU262146:QUE262147 RDQ262146:REA262147 RNM262146:RNW262147 RXI262146:RXS262147 SHE262146:SHO262147 SRA262146:SRK262147 TAW262146:TBG262147 TKS262146:TLC262147 TUO262146:TUY262147 UEK262146:UEU262147 UOG262146:UOQ262147 UYC262146:UYM262147 VHY262146:VII262147 VRU262146:VSE262147 WBQ262146:WCA262147 WLM262146:WLW262147 WVI262146:WVS262147 A327682:K327683 IW327682:JG327683 SS327682:TC327683 ACO327682:ACY327683 AMK327682:AMU327683 AWG327682:AWQ327683 BGC327682:BGM327683 BPY327682:BQI327683 BZU327682:CAE327683 CJQ327682:CKA327683 CTM327682:CTW327683 DDI327682:DDS327683 DNE327682:DNO327683 DXA327682:DXK327683 EGW327682:EHG327683 EQS327682:ERC327683 FAO327682:FAY327683 FKK327682:FKU327683 FUG327682:FUQ327683 GEC327682:GEM327683 GNY327682:GOI327683 GXU327682:GYE327683 HHQ327682:HIA327683 HRM327682:HRW327683 IBI327682:IBS327683 ILE327682:ILO327683 IVA327682:IVK327683 JEW327682:JFG327683 JOS327682:JPC327683 JYO327682:JYY327683 KIK327682:KIU327683 KSG327682:KSQ327683 LCC327682:LCM327683 LLY327682:LMI327683 LVU327682:LWE327683 MFQ327682:MGA327683 MPM327682:MPW327683 MZI327682:MZS327683 NJE327682:NJO327683 NTA327682:NTK327683 OCW327682:ODG327683 OMS327682:ONC327683 OWO327682:OWY327683 PGK327682:PGU327683 PQG327682:PQQ327683 QAC327682:QAM327683 QJY327682:QKI327683 QTU327682:QUE327683 RDQ327682:REA327683 RNM327682:RNW327683 RXI327682:RXS327683 SHE327682:SHO327683 SRA327682:SRK327683 TAW327682:TBG327683 TKS327682:TLC327683 TUO327682:TUY327683 UEK327682:UEU327683 UOG327682:UOQ327683 UYC327682:UYM327683 VHY327682:VII327683 VRU327682:VSE327683 WBQ327682:WCA327683 WLM327682:WLW327683 WVI327682:WVS327683 A393218:K393219 IW393218:JG393219 SS393218:TC393219 ACO393218:ACY393219 AMK393218:AMU393219 AWG393218:AWQ393219 BGC393218:BGM393219 BPY393218:BQI393219 BZU393218:CAE393219 CJQ393218:CKA393219 CTM393218:CTW393219 DDI393218:DDS393219 DNE393218:DNO393219 DXA393218:DXK393219 EGW393218:EHG393219 EQS393218:ERC393219 FAO393218:FAY393219 FKK393218:FKU393219 FUG393218:FUQ393219 GEC393218:GEM393219 GNY393218:GOI393219 GXU393218:GYE393219 HHQ393218:HIA393219 HRM393218:HRW393219 IBI393218:IBS393219 ILE393218:ILO393219 IVA393218:IVK393219 JEW393218:JFG393219 JOS393218:JPC393219 JYO393218:JYY393219 KIK393218:KIU393219 KSG393218:KSQ393219 LCC393218:LCM393219 LLY393218:LMI393219 LVU393218:LWE393219 MFQ393218:MGA393219 MPM393218:MPW393219 MZI393218:MZS393219 NJE393218:NJO393219 NTA393218:NTK393219 OCW393218:ODG393219 OMS393218:ONC393219 OWO393218:OWY393219 PGK393218:PGU393219 PQG393218:PQQ393219 QAC393218:QAM393219 QJY393218:QKI393219 QTU393218:QUE393219 RDQ393218:REA393219 RNM393218:RNW393219 RXI393218:RXS393219 SHE393218:SHO393219 SRA393218:SRK393219 TAW393218:TBG393219 TKS393218:TLC393219 TUO393218:TUY393219 UEK393218:UEU393219 UOG393218:UOQ393219 UYC393218:UYM393219 VHY393218:VII393219 VRU393218:VSE393219 WBQ393218:WCA393219 WLM393218:WLW393219 WVI393218:WVS393219 A458754:K458755 IW458754:JG458755 SS458754:TC458755 ACO458754:ACY458755 AMK458754:AMU458755 AWG458754:AWQ458755 BGC458754:BGM458755 BPY458754:BQI458755 BZU458754:CAE458755 CJQ458754:CKA458755 CTM458754:CTW458755 DDI458754:DDS458755 DNE458754:DNO458755 DXA458754:DXK458755 EGW458754:EHG458755 EQS458754:ERC458755 FAO458754:FAY458755 FKK458754:FKU458755 FUG458754:FUQ458755 GEC458754:GEM458755 GNY458754:GOI458755 GXU458754:GYE458755 HHQ458754:HIA458755 HRM458754:HRW458755 IBI458754:IBS458755 ILE458754:ILO458755 IVA458754:IVK458755 JEW458754:JFG458755 JOS458754:JPC458755 JYO458754:JYY458755 KIK458754:KIU458755 KSG458754:KSQ458755 LCC458754:LCM458755 LLY458754:LMI458755 LVU458754:LWE458755 MFQ458754:MGA458755 MPM458754:MPW458755 MZI458754:MZS458755 NJE458754:NJO458755 NTA458754:NTK458755 OCW458754:ODG458755 OMS458754:ONC458755 OWO458754:OWY458755 PGK458754:PGU458755 PQG458754:PQQ458755 QAC458754:QAM458755 QJY458754:QKI458755 QTU458754:QUE458755 RDQ458754:REA458755 RNM458754:RNW458755 RXI458754:RXS458755 SHE458754:SHO458755 SRA458754:SRK458755 TAW458754:TBG458755 TKS458754:TLC458755 TUO458754:TUY458755 UEK458754:UEU458755 UOG458754:UOQ458755 UYC458754:UYM458755 VHY458754:VII458755 VRU458754:VSE458755 WBQ458754:WCA458755 WLM458754:WLW458755 WVI458754:WVS458755 A524290:K524291 IW524290:JG524291 SS524290:TC524291 ACO524290:ACY524291 AMK524290:AMU524291 AWG524290:AWQ524291 BGC524290:BGM524291 BPY524290:BQI524291 BZU524290:CAE524291 CJQ524290:CKA524291 CTM524290:CTW524291 DDI524290:DDS524291 DNE524290:DNO524291 DXA524290:DXK524291 EGW524290:EHG524291 EQS524290:ERC524291 FAO524290:FAY524291 FKK524290:FKU524291 FUG524290:FUQ524291 GEC524290:GEM524291 GNY524290:GOI524291 GXU524290:GYE524291 HHQ524290:HIA524291 HRM524290:HRW524291 IBI524290:IBS524291 ILE524290:ILO524291 IVA524290:IVK524291 JEW524290:JFG524291 JOS524290:JPC524291 JYO524290:JYY524291 KIK524290:KIU524291 KSG524290:KSQ524291 LCC524290:LCM524291 LLY524290:LMI524291 LVU524290:LWE524291 MFQ524290:MGA524291 MPM524290:MPW524291 MZI524290:MZS524291 NJE524290:NJO524291 NTA524290:NTK524291 OCW524290:ODG524291 OMS524290:ONC524291 OWO524290:OWY524291 PGK524290:PGU524291 PQG524290:PQQ524291 QAC524290:QAM524291 QJY524290:QKI524291 QTU524290:QUE524291 RDQ524290:REA524291 RNM524290:RNW524291 RXI524290:RXS524291 SHE524290:SHO524291 SRA524290:SRK524291 TAW524290:TBG524291 TKS524290:TLC524291 TUO524290:TUY524291 UEK524290:UEU524291 UOG524290:UOQ524291 UYC524290:UYM524291 VHY524290:VII524291 VRU524290:VSE524291 WBQ524290:WCA524291 WLM524290:WLW524291 WVI524290:WVS524291 A589826:K589827 IW589826:JG589827 SS589826:TC589827 ACO589826:ACY589827 AMK589826:AMU589827 AWG589826:AWQ589827 BGC589826:BGM589827 BPY589826:BQI589827 BZU589826:CAE589827 CJQ589826:CKA589827 CTM589826:CTW589827 DDI589826:DDS589827 DNE589826:DNO589827 DXA589826:DXK589827 EGW589826:EHG589827 EQS589826:ERC589827 FAO589826:FAY589827 FKK589826:FKU589827 FUG589826:FUQ589827 GEC589826:GEM589827 GNY589826:GOI589827 GXU589826:GYE589827 HHQ589826:HIA589827 HRM589826:HRW589827 IBI589826:IBS589827 ILE589826:ILO589827 IVA589826:IVK589827 JEW589826:JFG589827 JOS589826:JPC589827 JYO589826:JYY589827 KIK589826:KIU589827 KSG589826:KSQ589827 LCC589826:LCM589827 LLY589826:LMI589827 LVU589826:LWE589827 MFQ589826:MGA589827 MPM589826:MPW589827 MZI589826:MZS589827 NJE589826:NJO589827 NTA589826:NTK589827 OCW589826:ODG589827 OMS589826:ONC589827 OWO589826:OWY589827 PGK589826:PGU589827 PQG589826:PQQ589827 QAC589826:QAM589827 QJY589826:QKI589827 QTU589826:QUE589827 RDQ589826:REA589827 RNM589826:RNW589827 RXI589826:RXS589827 SHE589826:SHO589827 SRA589826:SRK589827 TAW589826:TBG589827 TKS589826:TLC589827 TUO589826:TUY589827 UEK589826:UEU589827 UOG589826:UOQ589827 UYC589826:UYM589827 VHY589826:VII589827 VRU589826:VSE589827 WBQ589826:WCA589827 WLM589826:WLW589827 WVI589826:WVS589827 A655362:K655363 IW655362:JG655363 SS655362:TC655363 ACO655362:ACY655363 AMK655362:AMU655363 AWG655362:AWQ655363 BGC655362:BGM655363 BPY655362:BQI655363 BZU655362:CAE655363 CJQ655362:CKA655363 CTM655362:CTW655363 DDI655362:DDS655363 DNE655362:DNO655363 DXA655362:DXK655363 EGW655362:EHG655363 EQS655362:ERC655363 FAO655362:FAY655363 FKK655362:FKU655363 FUG655362:FUQ655363 GEC655362:GEM655363 GNY655362:GOI655363 GXU655362:GYE655363 HHQ655362:HIA655363 HRM655362:HRW655363 IBI655362:IBS655363 ILE655362:ILO655363 IVA655362:IVK655363 JEW655362:JFG655363 JOS655362:JPC655363 JYO655362:JYY655363 KIK655362:KIU655363 KSG655362:KSQ655363 LCC655362:LCM655363 LLY655362:LMI655363 LVU655362:LWE655363 MFQ655362:MGA655363 MPM655362:MPW655363 MZI655362:MZS655363 NJE655362:NJO655363 NTA655362:NTK655363 OCW655362:ODG655363 OMS655362:ONC655363 OWO655362:OWY655363 PGK655362:PGU655363 PQG655362:PQQ655363 QAC655362:QAM655363 QJY655362:QKI655363 QTU655362:QUE655363 RDQ655362:REA655363 RNM655362:RNW655363 RXI655362:RXS655363 SHE655362:SHO655363 SRA655362:SRK655363 TAW655362:TBG655363 TKS655362:TLC655363 TUO655362:TUY655363 UEK655362:UEU655363 UOG655362:UOQ655363 UYC655362:UYM655363 VHY655362:VII655363 VRU655362:VSE655363 WBQ655362:WCA655363 WLM655362:WLW655363 WVI655362:WVS655363 A720898:K720899 IW720898:JG720899 SS720898:TC720899 ACO720898:ACY720899 AMK720898:AMU720899 AWG720898:AWQ720899 BGC720898:BGM720899 BPY720898:BQI720899 BZU720898:CAE720899 CJQ720898:CKA720899 CTM720898:CTW720899 DDI720898:DDS720899 DNE720898:DNO720899 DXA720898:DXK720899 EGW720898:EHG720899 EQS720898:ERC720899 FAO720898:FAY720899 FKK720898:FKU720899 FUG720898:FUQ720899 GEC720898:GEM720899 GNY720898:GOI720899 GXU720898:GYE720899 HHQ720898:HIA720899 HRM720898:HRW720899 IBI720898:IBS720899 ILE720898:ILO720899 IVA720898:IVK720899 JEW720898:JFG720899 JOS720898:JPC720899 JYO720898:JYY720899 KIK720898:KIU720899 KSG720898:KSQ720899 LCC720898:LCM720899 LLY720898:LMI720899 LVU720898:LWE720899 MFQ720898:MGA720899 MPM720898:MPW720899 MZI720898:MZS720899 NJE720898:NJO720899 NTA720898:NTK720899 OCW720898:ODG720899 OMS720898:ONC720899 OWO720898:OWY720899 PGK720898:PGU720899 PQG720898:PQQ720899 QAC720898:QAM720899 QJY720898:QKI720899 QTU720898:QUE720899 RDQ720898:REA720899 RNM720898:RNW720899 RXI720898:RXS720899 SHE720898:SHO720899 SRA720898:SRK720899 TAW720898:TBG720899 TKS720898:TLC720899 TUO720898:TUY720899 UEK720898:UEU720899 UOG720898:UOQ720899 UYC720898:UYM720899 VHY720898:VII720899 VRU720898:VSE720899 WBQ720898:WCA720899 WLM720898:WLW720899 WVI720898:WVS720899 A786434:K786435 IW786434:JG786435 SS786434:TC786435 ACO786434:ACY786435 AMK786434:AMU786435 AWG786434:AWQ786435 BGC786434:BGM786435 BPY786434:BQI786435 BZU786434:CAE786435 CJQ786434:CKA786435 CTM786434:CTW786435 DDI786434:DDS786435 DNE786434:DNO786435 DXA786434:DXK786435 EGW786434:EHG786435 EQS786434:ERC786435 FAO786434:FAY786435 FKK786434:FKU786435 FUG786434:FUQ786435 GEC786434:GEM786435 GNY786434:GOI786435 GXU786434:GYE786435 HHQ786434:HIA786435 HRM786434:HRW786435 IBI786434:IBS786435 ILE786434:ILO786435 IVA786434:IVK786435 JEW786434:JFG786435 JOS786434:JPC786435 JYO786434:JYY786435 KIK786434:KIU786435 KSG786434:KSQ786435 LCC786434:LCM786435 LLY786434:LMI786435 LVU786434:LWE786435 MFQ786434:MGA786435 MPM786434:MPW786435 MZI786434:MZS786435 NJE786434:NJO786435 NTA786434:NTK786435 OCW786434:ODG786435 OMS786434:ONC786435 OWO786434:OWY786435 PGK786434:PGU786435 PQG786434:PQQ786435 QAC786434:QAM786435 QJY786434:QKI786435 QTU786434:QUE786435 RDQ786434:REA786435 RNM786434:RNW786435 RXI786434:RXS786435 SHE786434:SHO786435 SRA786434:SRK786435 TAW786434:TBG786435 TKS786434:TLC786435 TUO786434:TUY786435 UEK786434:UEU786435 UOG786434:UOQ786435 UYC786434:UYM786435 VHY786434:VII786435 VRU786434:VSE786435 WBQ786434:WCA786435 WLM786434:WLW786435 WVI786434:WVS786435 A851970:K851971 IW851970:JG851971 SS851970:TC851971 ACO851970:ACY851971 AMK851970:AMU851971 AWG851970:AWQ851971 BGC851970:BGM851971 BPY851970:BQI851971 BZU851970:CAE851971 CJQ851970:CKA851971 CTM851970:CTW851971 DDI851970:DDS851971 DNE851970:DNO851971 DXA851970:DXK851971 EGW851970:EHG851971 EQS851970:ERC851971 FAO851970:FAY851971 FKK851970:FKU851971 FUG851970:FUQ851971 GEC851970:GEM851971 GNY851970:GOI851971 GXU851970:GYE851971 HHQ851970:HIA851971 HRM851970:HRW851971 IBI851970:IBS851971 ILE851970:ILO851971 IVA851970:IVK851971 JEW851970:JFG851971 JOS851970:JPC851971 JYO851970:JYY851971 KIK851970:KIU851971 KSG851970:KSQ851971 LCC851970:LCM851971 LLY851970:LMI851971 LVU851970:LWE851971 MFQ851970:MGA851971 MPM851970:MPW851971 MZI851970:MZS851971 NJE851970:NJO851971 NTA851970:NTK851971 OCW851970:ODG851971 OMS851970:ONC851971 OWO851970:OWY851971 PGK851970:PGU851971 PQG851970:PQQ851971 QAC851970:QAM851971 QJY851970:QKI851971 QTU851970:QUE851971 RDQ851970:REA851971 RNM851970:RNW851971 RXI851970:RXS851971 SHE851970:SHO851971 SRA851970:SRK851971 TAW851970:TBG851971 TKS851970:TLC851971 TUO851970:TUY851971 UEK851970:UEU851971 UOG851970:UOQ851971 UYC851970:UYM851971 VHY851970:VII851971 VRU851970:VSE851971 WBQ851970:WCA851971 WLM851970:WLW851971 WVI851970:WVS851971 A917506:K917507 IW917506:JG917507 SS917506:TC917507 ACO917506:ACY917507 AMK917506:AMU917507 AWG917506:AWQ917507 BGC917506:BGM917507 BPY917506:BQI917507 BZU917506:CAE917507 CJQ917506:CKA917507 CTM917506:CTW917507 DDI917506:DDS917507 DNE917506:DNO917507 DXA917506:DXK917507 EGW917506:EHG917507 EQS917506:ERC917507 FAO917506:FAY917507 FKK917506:FKU917507 FUG917506:FUQ917507 GEC917506:GEM917507 GNY917506:GOI917507 GXU917506:GYE917507 HHQ917506:HIA917507 HRM917506:HRW917507 IBI917506:IBS917507 ILE917506:ILO917507 IVA917506:IVK917507 JEW917506:JFG917507 JOS917506:JPC917507 JYO917506:JYY917507 KIK917506:KIU917507 KSG917506:KSQ917507 LCC917506:LCM917507 LLY917506:LMI917507 LVU917506:LWE917507 MFQ917506:MGA917507 MPM917506:MPW917507 MZI917506:MZS917507 NJE917506:NJO917507 NTA917506:NTK917507 OCW917506:ODG917507 OMS917506:ONC917507 OWO917506:OWY917507 PGK917506:PGU917507 PQG917506:PQQ917507 QAC917506:QAM917507 QJY917506:QKI917507 QTU917506:QUE917507 RDQ917506:REA917507 RNM917506:RNW917507 RXI917506:RXS917507 SHE917506:SHO917507 SRA917506:SRK917507 TAW917506:TBG917507 TKS917506:TLC917507 TUO917506:TUY917507 UEK917506:UEU917507 UOG917506:UOQ917507 UYC917506:UYM917507 VHY917506:VII917507 VRU917506:VSE917507 WBQ917506:WCA917507 WLM917506:WLW917507 WVI917506:WVS917507 A983042:K983043 IW983042:JG983043 SS983042:TC983043 ACO983042:ACY983043 AMK983042:AMU983043 AWG983042:AWQ983043 BGC983042:BGM983043 BPY983042:BQI983043 BZU983042:CAE983043 CJQ983042:CKA983043 CTM983042:CTW983043 DDI983042:DDS983043 DNE983042:DNO983043 DXA983042:DXK983043 EGW983042:EHG983043 EQS983042:ERC983043 FAO983042:FAY983043 FKK983042:FKU983043 FUG983042:FUQ983043 GEC983042:GEM983043 GNY983042:GOI983043 GXU983042:GYE983043 HHQ983042:HIA983043 HRM983042:HRW983043 IBI983042:IBS983043 ILE983042:ILO983043 IVA983042:IVK983043 JEW983042:JFG983043 JOS983042:JPC983043 JYO983042:JYY983043 KIK983042:KIU983043 KSG983042:KSQ983043 LCC983042:LCM983043 LLY983042:LMI983043 LVU983042:LWE983043 MFQ983042:MGA983043 MPM983042:MPW983043 MZI983042:MZS983043 NJE983042:NJO983043 NTA983042:NTK983043 OCW983042:ODG983043 OMS983042:ONC983043 OWO983042:OWY983043 PGK983042:PGU983043 PQG983042:PQQ983043 QAC983042:QAM983043 QJY983042:QKI983043 QTU983042:QUE983043 RDQ983042:REA983043 RNM983042:RNW983043 RXI983042:RXS983043 SHE983042:SHO983043 SRA983042:SRK983043 TAW983042:TBG983043 TKS983042:TLC983043 TUO983042:TUY983043 UEK983042:UEU983043 UOG983042:UOQ983043 UYC983042:UYM983043 VHY983042:VII983043 VRU983042:VSE983043 WBQ983042:WCA983043 WLM983042:WLW983043" xr:uid="{EAED9114-4EDD-47FB-90AA-7E9D368CC997}">
      <formula1>$AS$2:$AS$10</formula1>
    </dataValidation>
    <dataValidation type="list" allowBlank="1" showInputMessage="1" sqref="I22:AK23" xr:uid="{076F0D00-DDA4-491F-B554-DE6D08817668}">
      <formula1>$AS$43:$AS$47</formula1>
    </dataValidation>
  </dataValidations>
  <printOptions horizontalCentered="1"/>
  <pageMargins left="0.59055118110236227" right="0.59055118110236227" top="0.59055118110236227" bottom="0.59055118110236227" header="0.51181102362204722" footer="0.51181102362204722"/>
  <pageSetup paperSize="9" scale="85" fitToHeight="0" orientation="portrait" blackAndWhite="1"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B99F3-264D-4182-8E99-C7D5E05D012A}">
  <sheetPr codeName="Sheet8">
    <tabColor theme="9" tint="0.79998168889431442"/>
    <pageSetUpPr fitToPage="1"/>
  </sheetPr>
  <dimension ref="A1:BA52"/>
  <sheetViews>
    <sheetView view="pageBreakPreview" topLeftCell="A25" zoomScaleNormal="100" zoomScaleSheetLayoutView="100" workbookViewId="0">
      <selection activeCell="G17" sqref="G17:P17"/>
    </sheetView>
  </sheetViews>
  <sheetFormatPr defaultColWidth="3.25" defaultRowHeight="13.5" x14ac:dyDescent="0.15"/>
  <cols>
    <col min="1" max="1" width="3.625" style="34" customWidth="1"/>
    <col min="2" max="2" width="3.5" style="34" customWidth="1"/>
    <col min="3" max="3" width="3.125" style="34" customWidth="1"/>
    <col min="4" max="4" width="3.875" style="34" customWidth="1"/>
    <col min="5" max="5" width="2.875" style="34" customWidth="1"/>
    <col min="6" max="6" width="1.125" style="34" customWidth="1"/>
    <col min="7" max="16" width="3.75" style="34" customWidth="1"/>
    <col min="17" max="32" width="2.625" style="34" customWidth="1"/>
    <col min="33" max="35" width="3.25" style="34" customWidth="1"/>
    <col min="36" max="36" width="3.25" style="36" customWidth="1"/>
    <col min="37" max="256" width="3.25" style="34"/>
    <col min="257" max="257" width="3.625" style="34" customWidth="1"/>
    <col min="258" max="258" width="3.5" style="34" customWidth="1"/>
    <col min="259" max="259" width="3.125" style="34" customWidth="1"/>
    <col min="260" max="260" width="3.875" style="34" customWidth="1"/>
    <col min="261" max="261" width="2.875" style="34" customWidth="1"/>
    <col min="262" max="262" width="1.125" style="34" customWidth="1"/>
    <col min="263" max="272" width="3.75" style="34" customWidth="1"/>
    <col min="273" max="288" width="2.625" style="34" customWidth="1"/>
    <col min="289" max="512" width="3.25" style="34"/>
    <col min="513" max="513" width="3.625" style="34" customWidth="1"/>
    <col min="514" max="514" width="3.5" style="34" customWidth="1"/>
    <col min="515" max="515" width="3.125" style="34" customWidth="1"/>
    <col min="516" max="516" width="3.875" style="34" customWidth="1"/>
    <col min="517" max="517" width="2.875" style="34" customWidth="1"/>
    <col min="518" max="518" width="1.125" style="34" customWidth="1"/>
    <col min="519" max="528" width="3.75" style="34" customWidth="1"/>
    <col min="529" max="544" width="2.625" style="34" customWidth="1"/>
    <col min="545" max="768" width="3.25" style="34"/>
    <col min="769" max="769" width="3.625" style="34" customWidth="1"/>
    <col min="770" max="770" width="3.5" style="34" customWidth="1"/>
    <col min="771" max="771" width="3.125" style="34" customWidth="1"/>
    <col min="772" max="772" width="3.875" style="34" customWidth="1"/>
    <col min="773" max="773" width="2.875" style="34" customWidth="1"/>
    <col min="774" max="774" width="1.125" style="34" customWidth="1"/>
    <col min="775" max="784" width="3.75" style="34" customWidth="1"/>
    <col min="785" max="800" width="2.625" style="34" customWidth="1"/>
    <col min="801" max="1024" width="3.25" style="34"/>
    <col min="1025" max="1025" width="3.625" style="34" customWidth="1"/>
    <col min="1026" max="1026" width="3.5" style="34" customWidth="1"/>
    <col min="1027" max="1027" width="3.125" style="34" customWidth="1"/>
    <col min="1028" max="1028" width="3.875" style="34" customWidth="1"/>
    <col min="1029" max="1029" width="2.875" style="34" customWidth="1"/>
    <col min="1030" max="1030" width="1.125" style="34" customWidth="1"/>
    <col min="1031" max="1040" width="3.75" style="34" customWidth="1"/>
    <col min="1041" max="1056" width="2.625" style="34" customWidth="1"/>
    <col min="1057" max="1280" width="3.25" style="34"/>
    <col min="1281" max="1281" width="3.625" style="34" customWidth="1"/>
    <col min="1282" max="1282" width="3.5" style="34" customWidth="1"/>
    <col min="1283" max="1283" width="3.125" style="34" customWidth="1"/>
    <col min="1284" max="1284" width="3.875" style="34" customWidth="1"/>
    <col min="1285" max="1285" width="2.875" style="34" customWidth="1"/>
    <col min="1286" max="1286" width="1.125" style="34" customWidth="1"/>
    <col min="1287" max="1296" width="3.75" style="34" customWidth="1"/>
    <col min="1297" max="1312" width="2.625" style="34" customWidth="1"/>
    <col min="1313" max="1536" width="3.25" style="34"/>
    <col min="1537" max="1537" width="3.625" style="34" customWidth="1"/>
    <col min="1538" max="1538" width="3.5" style="34" customWidth="1"/>
    <col min="1539" max="1539" width="3.125" style="34" customWidth="1"/>
    <col min="1540" max="1540" width="3.875" style="34" customWidth="1"/>
    <col min="1541" max="1541" width="2.875" style="34" customWidth="1"/>
    <col min="1542" max="1542" width="1.125" style="34" customWidth="1"/>
    <col min="1543" max="1552" width="3.75" style="34" customWidth="1"/>
    <col min="1553" max="1568" width="2.625" style="34" customWidth="1"/>
    <col min="1569" max="1792" width="3.25" style="34"/>
    <col min="1793" max="1793" width="3.625" style="34" customWidth="1"/>
    <col min="1794" max="1794" width="3.5" style="34" customWidth="1"/>
    <col min="1795" max="1795" width="3.125" style="34" customWidth="1"/>
    <col min="1796" max="1796" width="3.875" style="34" customWidth="1"/>
    <col min="1797" max="1797" width="2.875" style="34" customWidth="1"/>
    <col min="1798" max="1798" width="1.125" style="34" customWidth="1"/>
    <col min="1799" max="1808" width="3.75" style="34" customWidth="1"/>
    <col min="1809" max="1824" width="2.625" style="34" customWidth="1"/>
    <col min="1825" max="2048" width="3.25" style="34"/>
    <col min="2049" max="2049" width="3.625" style="34" customWidth="1"/>
    <col min="2050" max="2050" width="3.5" style="34" customWidth="1"/>
    <col min="2051" max="2051" width="3.125" style="34" customWidth="1"/>
    <col min="2052" max="2052" width="3.875" style="34" customWidth="1"/>
    <col min="2053" max="2053" width="2.875" style="34" customWidth="1"/>
    <col min="2054" max="2054" width="1.125" style="34" customWidth="1"/>
    <col min="2055" max="2064" width="3.75" style="34" customWidth="1"/>
    <col min="2065" max="2080" width="2.625" style="34" customWidth="1"/>
    <col min="2081" max="2304" width="3.25" style="34"/>
    <col min="2305" max="2305" width="3.625" style="34" customWidth="1"/>
    <col min="2306" max="2306" width="3.5" style="34" customWidth="1"/>
    <col min="2307" max="2307" width="3.125" style="34" customWidth="1"/>
    <col min="2308" max="2308" width="3.875" style="34" customWidth="1"/>
    <col min="2309" max="2309" width="2.875" style="34" customWidth="1"/>
    <col min="2310" max="2310" width="1.125" style="34" customWidth="1"/>
    <col min="2311" max="2320" width="3.75" style="34" customWidth="1"/>
    <col min="2321" max="2336" width="2.625" style="34" customWidth="1"/>
    <col min="2337" max="2560" width="3.25" style="34"/>
    <col min="2561" max="2561" width="3.625" style="34" customWidth="1"/>
    <col min="2562" max="2562" width="3.5" style="34" customWidth="1"/>
    <col min="2563" max="2563" width="3.125" style="34" customWidth="1"/>
    <col min="2564" max="2564" width="3.875" style="34" customWidth="1"/>
    <col min="2565" max="2565" width="2.875" style="34" customWidth="1"/>
    <col min="2566" max="2566" width="1.125" style="34" customWidth="1"/>
    <col min="2567" max="2576" width="3.75" style="34" customWidth="1"/>
    <col min="2577" max="2592" width="2.625" style="34" customWidth="1"/>
    <col min="2593" max="2816" width="3.25" style="34"/>
    <col min="2817" max="2817" width="3.625" style="34" customWidth="1"/>
    <col min="2818" max="2818" width="3.5" style="34" customWidth="1"/>
    <col min="2819" max="2819" width="3.125" style="34" customWidth="1"/>
    <col min="2820" max="2820" width="3.875" style="34" customWidth="1"/>
    <col min="2821" max="2821" width="2.875" style="34" customWidth="1"/>
    <col min="2822" max="2822" width="1.125" style="34" customWidth="1"/>
    <col min="2823" max="2832" width="3.75" style="34" customWidth="1"/>
    <col min="2833" max="2848" width="2.625" style="34" customWidth="1"/>
    <col min="2849" max="3072" width="3.25" style="34"/>
    <col min="3073" max="3073" width="3.625" style="34" customWidth="1"/>
    <col min="3074" max="3074" width="3.5" style="34" customWidth="1"/>
    <col min="3075" max="3075" width="3.125" style="34" customWidth="1"/>
    <col min="3076" max="3076" width="3.875" style="34" customWidth="1"/>
    <col min="3077" max="3077" width="2.875" style="34" customWidth="1"/>
    <col min="3078" max="3078" width="1.125" style="34" customWidth="1"/>
    <col min="3079" max="3088" width="3.75" style="34" customWidth="1"/>
    <col min="3089" max="3104" width="2.625" style="34" customWidth="1"/>
    <col min="3105" max="3328" width="3.25" style="34"/>
    <col min="3329" max="3329" width="3.625" style="34" customWidth="1"/>
    <col min="3330" max="3330" width="3.5" style="34" customWidth="1"/>
    <col min="3331" max="3331" width="3.125" style="34" customWidth="1"/>
    <col min="3332" max="3332" width="3.875" style="34" customWidth="1"/>
    <col min="3333" max="3333" width="2.875" style="34" customWidth="1"/>
    <col min="3334" max="3334" width="1.125" style="34" customWidth="1"/>
    <col min="3335" max="3344" width="3.75" style="34" customWidth="1"/>
    <col min="3345" max="3360" width="2.625" style="34" customWidth="1"/>
    <col min="3361" max="3584" width="3.25" style="34"/>
    <col min="3585" max="3585" width="3.625" style="34" customWidth="1"/>
    <col min="3586" max="3586" width="3.5" style="34" customWidth="1"/>
    <col min="3587" max="3587" width="3.125" style="34" customWidth="1"/>
    <col min="3588" max="3588" width="3.875" style="34" customWidth="1"/>
    <col min="3589" max="3589" width="2.875" style="34" customWidth="1"/>
    <col min="3590" max="3590" width="1.125" style="34" customWidth="1"/>
    <col min="3591" max="3600" width="3.75" style="34" customWidth="1"/>
    <col min="3601" max="3616" width="2.625" style="34" customWidth="1"/>
    <col min="3617" max="3840" width="3.25" style="34"/>
    <col min="3841" max="3841" width="3.625" style="34" customWidth="1"/>
    <col min="3842" max="3842" width="3.5" style="34" customWidth="1"/>
    <col min="3843" max="3843" width="3.125" style="34" customWidth="1"/>
    <col min="3844" max="3844" width="3.875" style="34" customWidth="1"/>
    <col min="3845" max="3845" width="2.875" style="34" customWidth="1"/>
    <col min="3846" max="3846" width="1.125" style="34" customWidth="1"/>
    <col min="3847" max="3856" width="3.75" style="34" customWidth="1"/>
    <col min="3857" max="3872" width="2.625" style="34" customWidth="1"/>
    <col min="3873" max="4096" width="3.25" style="34"/>
    <col min="4097" max="4097" width="3.625" style="34" customWidth="1"/>
    <col min="4098" max="4098" width="3.5" style="34" customWidth="1"/>
    <col min="4099" max="4099" width="3.125" style="34" customWidth="1"/>
    <col min="4100" max="4100" width="3.875" style="34" customWidth="1"/>
    <col min="4101" max="4101" width="2.875" style="34" customWidth="1"/>
    <col min="4102" max="4102" width="1.125" style="34" customWidth="1"/>
    <col min="4103" max="4112" width="3.75" style="34" customWidth="1"/>
    <col min="4113" max="4128" width="2.625" style="34" customWidth="1"/>
    <col min="4129" max="4352" width="3.25" style="34"/>
    <col min="4353" max="4353" width="3.625" style="34" customWidth="1"/>
    <col min="4354" max="4354" width="3.5" style="34" customWidth="1"/>
    <col min="4355" max="4355" width="3.125" style="34" customWidth="1"/>
    <col min="4356" max="4356" width="3.875" style="34" customWidth="1"/>
    <col min="4357" max="4357" width="2.875" style="34" customWidth="1"/>
    <col min="4358" max="4358" width="1.125" style="34" customWidth="1"/>
    <col min="4359" max="4368" width="3.75" style="34" customWidth="1"/>
    <col min="4369" max="4384" width="2.625" style="34" customWidth="1"/>
    <col min="4385" max="4608" width="3.25" style="34"/>
    <col min="4609" max="4609" width="3.625" style="34" customWidth="1"/>
    <col min="4610" max="4610" width="3.5" style="34" customWidth="1"/>
    <col min="4611" max="4611" width="3.125" style="34" customWidth="1"/>
    <col min="4612" max="4612" width="3.875" style="34" customWidth="1"/>
    <col min="4613" max="4613" width="2.875" style="34" customWidth="1"/>
    <col min="4614" max="4614" width="1.125" style="34" customWidth="1"/>
    <col min="4615" max="4624" width="3.75" style="34" customWidth="1"/>
    <col min="4625" max="4640" width="2.625" style="34" customWidth="1"/>
    <col min="4641" max="4864" width="3.25" style="34"/>
    <col min="4865" max="4865" width="3.625" style="34" customWidth="1"/>
    <col min="4866" max="4866" width="3.5" style="34" customWidth="1"/>
    <col min="4867" max="4867" width="3.125" style="34" customWidth="1"/>
    <col min="4868" max="4868" width="3.875" style="34" customWidth="1"/>
    <col min="4869" max="4869" width="2.875" style="34" customWidth="1"/>
    <col min="4870" max="4870" width="1.125" style="34" customWidth="1"/>
    <col min="4871" max="4880" width="3.75" style="34" customWidth="1"/>
    <col min="4881" max="4896" width="2.625" style="34" customWidth="1"/>
    <col min="4897" max="5120" width="3.25" style="34"/>
    <col min="5121" max="5121" width="3.625" style="34" customWidth="1"/>
    <col min="5122" max="5122" width="3.5" style="34" customWidth="1"/>
    <col min="5123" max="5123" width="3.125" style="34" customWidth="1"/>
    <col min="5124" max="5124" width="3.875" style="34" customWidth="1"/>
    <col min="5125" max="5125" width="2.875" style="34" customWidth="1"/>
    <col min="5126" max="5126" width="1.125" style="34" customWidth="1"/>
    <col min="5127" max="5136" width="3.75" style="34" customWidth="1"/>
    <col min="5137" max="5152" width="2.625" style="34" customWidth="1"/>
    <col min="5153" max="5376" width="3.25" style="34"/>
    <col min="5377" max="5377" width="3.625" style="34" customWidth="1"/>
    <col min="5378" max="5378" width="3.5" style="34" customWidth="1"/>
    <col min="5379" max="5379" width="3.125" style="34" customWidth="1"/>
    <col min="5380" max="5380" width="3.875" style="34" customWidth="1"/>
    <col min="5381" max="5381" width="2.875" style="34" customWidth="1"/>
    <col min="5382" max="5382" width="1.125" style="34" customWidth="1"/>
    <col min="5383" max="5392" width="3.75" style="34" customWidth="1"/>
    <col min="5393" max="5408" width="2.625" style="34" customWidth="1"/>
    <col min="5409" max="5632" width="3.25" style="34"/>
    <col min="5633" max="5633" width="3.625" style="34" customWidth="1"/>
    <col min="5634" max="5634" width="3.5" style="34" customWidth="1"/>
    <col min="5635" max="5635" width="3.125" style="34" customWidth="1"/>
    <col min="5636" max="5636" width="3.875" style="34" customWidth="1"/>
    <col min="5637" max="5637" width="2.875" style="34" customWidth="1"/>
    <col min="5638" max="5638" width="1.125" style="34" customWidth="1"/>
    <col min="5639" max="5648" width="3.75" style="34" customWidth="1"/>
    <col min="5649" max="5664" width="2.625" style="34" customWidth="1"/>
    <col min="5665" max="5888" width="3.25" style="34"/>
    <col min="5889" max="5889" width="3.625" style="34" customWidth="1"/>
    <col min="5890" max="5890" width="3.5" style="34" customWidth="1"/>
    <col min="5891" max="5891" width="3.125" style="34" customWidth="1"/>
    <col min="5892" max="5892" width="3.875" style="34" customWidth="1"/>
    <col min="5893" max="5893" width="2.875" style="34" customWidth="1"/>
    <col min="5894" max="5894" width="1.125" style="34" customWidth="1"/>
    <col min="5895" max="5904" width="3.75" style="34" customWidth="1"/>
    <col min="5905" max="5920" width="2.625" style="34" customWidth="1"/>
    <col min="5921" max="6144" width="3.25" style="34"/>
    <col min="6145" max="6145" width="3.625" style="34" customWidth="1"/>
    <col min="6146" max="6146" width="3.5" style="34" customWidth="1"/>
    <col min="6147" max="6147" width="3.125" style="34" customWidth="1"/>
    <col min="6148" max="6148" width="3.875" style="34" customWidth="1"/>
    <col min="6149" max="6149" width="2.875" style="34" customWidth="1"/>
    <col min="6150" max="6150" width="1.125" style="34" customWidth="1"/>
    <col min="6151" max="6160" width="3.75" style="34" customWidth="1"/>
    <col min="6161" max="6176" width="2.625" style="34" customWidth="1"/>
    <col min="6177" max="6400" width="3.25" style="34"/>
    <col min="6401" max="6401" width="3.625" style="34" customWidth="1"/>
    <col min="6402" max="6402" width="3.5" style="34" customWidth="1"/>
    <col min="6403" max="6403" width="3.125" style="34" customWidth="1"/>
    <col min="6404" max="6404" width="3.875" style="34" customWidth="1"/>
    <col min="6405" max="6405" width="2.875" style="34" customWidth="1"/>
    <col min="6406" max="6406" width="1.125" style="34" customWidth="1"/>
    <col min="6407" max="6416" width="3.75" style="34" customWidth="1"/>
    <col min="6417" max="6432" width="2.625" style="34" customWidth="1"/>
    <col min="6433" max="6656" width="3.25" style="34"/>
    <col min="6657" max="6657" width="3.625" style="34" customWidth="1"/>
    <col min="6658" max="6658" width="3.5" style="34" customWidth="1"/>
    <col min="6659" max="6659" width="3.125" style="34" customWidth="1"/>
    <col min="6660" max="6660" width="3.875" style="34" customWidth="1"/>
    <col min="6661" max="6661" width="2.875" style="34" customWidth="1"/>
    <col min="6662" max="6662" width="1.125" style="34" customWidth="1"/>
    <col min="6663" max="6672" width="3.75" style="34" customWidth="1"/>
    <col min="6673" max="6688" width="2.625" style="34" customWidth="1"/>
    <col min="6689" max="6912" width="3.25" style="34"/>
    <col min="6913" max="6913" width="3.625" style="34" customWidth="1"/>
    <col min="6914" max="6914" width="3.5" style="34" customWidth="1"/>
    <col min="6915" max="6915" width="3.125" style="34" customWidth="1"/>
    <col min="6916" max="6916" width="3.875" style="34" customWidth="1"/>
    <col min="6917" max="6917" width="2.875" style="34" customWidth="1"/>
    <col min="6918" max="6918" width="1.125" style="34" customWidth="1"/>
    <col min="6919" max="6928" width="3.75" style="34" customWidth="1"/>
    <col min="6929" max="6944" width="2.625" style="34" customWidth="1"/>
    <col min="6945" max="7168" width="3.25" style="34"/>
    <col min="7169" max="7169" width="3.625" style="34" customWidth="1"/>
    <col min="7170" max="7170" width="3.5" style="34" customWidth="1"/>
    <col min="7171" max="7171" width="3.125" style="34" customWidth="1"/>
    <col min="7172" max="7172" width="3.875" style="34" customWidth="1"/>
    <col min="7173" max="7173" width="2.875" style="34" customWidth="1"/>
    <col min="7174" max="7174" width="1.125" style="34" customWidth="1"/>
    <col min="7175" max="7184" width="3.75" style="34" customWidth="1"/>
    <col min="7185" max="7200" width="2.625" style="34" customWidth="1"/>
    <col min="7201" max="7424" width="3.25" style="34"/>
    <col min="7425" max="7425" width="3.625" style="34" customWidth="1"/>
    <col min="7426" max="7426" width="3.5" style="34" customWidth="1"/>
    <col min="7427" max="7427" width="3.125" style="34" customWidth="1"/>
    <col min="7428" max="7428" width="3.875" style="34" customWidth="1"/>
    <col min="7429" max="7429" width="2.875" style="34" customWidth="1"/>
    <col min="7430" max="7430" width="1.125" style="34" customWidth="1"/>
    <col min="7431" max="7440" width="3.75" style="34" customWidth="1"/>
    <col min="7441" max="7456" width="2.625" style="34" customWidth="1"/>
    <col min="7457" max="7680" width="3.25" style="34"/>
    <col min="7681" max="7681" width="3.625" style="34" customWidth="1"/>
    <col min="7682" max="7682" width="3.5" style="34" customWidth="1"/>
    <col min="7683" max="7683" width="3.125" style="34" customWidth="1"/>
    <col min="7684" max="7684" width="3.875" style="34" customWidth="1"/>
    <col min="7685" max="7685" width="2.875" style="34" customWidth="1"/>
    <col min="7686" max="7686" width="1.125" style="34" customWidth="1"/>
    <col min="7687" max="7696" width="3.75" style="34" customWidth="1"/>
    <col min="7697" max="7712" width="2.625" style="34" customWidth="1"/>
    <col min="7713" max="7936" width="3.25" style="34"/>
    <col min="7937" max="7937" width="3.625" style="34" customWidth="1"/>
    <col min="7938" max="7938" width="3.5" style="34" customWidth="1"/>
    <col min="7939" max="7939" width="3.125" style="34" customWidth="1"/>
    <col min="7940" max="7940" width="3.875" style="34" customWidth="1"/>
    <col min="7941" max="7941" width="2.875" style="34" customWidth="1"/>
    <col min="7942" max="7942" width="1.125" style="34" customWidth="1"/>
    <col min="7943" max="7952" width="3.75" style="34" customWidth="1"/>
    <col min="7953" max="7968" width="2.625" style="34" customWidth="1"/>
    <col min="7969" max="8192" width="3.25" style="34"/>
    <col min="8193" max="8193" width="3.625" style="34" customWidth="1"/>
    <col min="8194" max="8194" width="3.5" style="34" customWidth="1"/>
    <col min="8195" max="8195" width="3.125" style="34" customWidth="1"/>
    <col min="8196" max="8196" width="3.875" style="34" customWidth="1"/>
    <col min="8197" max="8197" width="2.875" style="34" customWidth="1"/>
    <col min="8198" max="8198" width="1.125" style="34" customWidth="1"/>
    <col min="8199" max="8208" width="3.75" style="34" customWidth="1"/>
    <col min="8209" max="8224" width="2.625" style="34" customWidth="1"/>
    <col min="8225" max="8448" width="3.25" style="34"/>
    <col min="8449" max="8449" width="3.625" style="34" customWidth="1"/>
    <col min="8450" max="8450" width="3.5" style="34" customWidth="1"/>
    <col min="8451" max="8451" width="3.125" style="34" customWidth="1"/>
    <col min="8452" max="8452" width="3.875" style="34" customWidth="1"/>
    <col min="8453" max="8453" width="2.875" style="34" customWidth="1"/>
    <col min="8454" max="8454" width="1.125" style="34" customWidth="1"/>
    <col min="8455" max="8464" width="3.75" style="34" customWidth="1"/>
    <col min="8465" max="8480" width="2.625" style="34" customWidth="1"/>
    <col min="8481" max="8704" width="3.25" style="34"/>
    <col min="8705" max="8705" width="3.625" style="34" customWidth="1"/>
    <col min="8706" max="8706" width="3.5" style="34" customWidth="1"/>
    <col min="8707" max="8707" width="3.125" style="34" customWidth="1"/>
    <col min="8708" max="8708" width="3.875" style="34" customWidth="1"/>
    <col min="8709" max="8709" width="2.875" style="34" customWidth="1"/>
    <col min="8710" max="8710" width="1.125" style="34" customWidth="1"/>
    <col min="8711" max="8720" width="3.75" style="34" customWidth="1"/>
    <col min="8721" max="8736" width="2.625" style="34" customWidth="1"/>
    <col min="8737" max="8960" width="3.25" style="34"/>
    <col min="8961" max="8961" width="3.625" style="34" customWidth="1"/>
    <col min="8962" max="8962" width="3.5" style="34" customWidth="1"/>
    <col min="8963" max="8963" width="3.125" style="34" customWidth="1"/>
    <col min="8964" max="8964" width="3.875" style="34" customWidth="1"/>
    <col min="8965" max="8965" width="2.875" style="34" customWidth="1"/>
    <col min="8966" max="8966" width="1.125" style="34" customWidth="1"/>
    <col min="8967" max="8976" width="3.75" style="34" customWidth="1"/>
    <col min="8977" max="8992" width="2.625" style="34" customWidth="1"/>
    <col min="8993" max="9216" width="3.25" style="34"/>
    <col min="9217" max="9217" width="3.625" style="34" customWidth="1"/>
    <col min="9218" max="9218" width="3.5" style="34" customWidth="1"/>
    <col min="9219" max="9219" width="3.125" style="34" customWidth="1"/>
    <col min="9220" max="9220" width="3.875" style="34" customWidth="1"/>
    <col min="9221" max="9221" width="2.875" style="34" customWidth="1"/>
    <col min="9222" max="9222" width="1.125" style="34" customWidth="1"/>
    <col min="9223" max="9232" width="3.75" style="34" customWidth="1"/>
    <col min="9233" max="9248" width="2.625" style="34" customWidth="1"/>
    <col min="9249" max="9472" width="3.25" style="34"/>
    <col min="9473" max="9473" width="3.625" style="34" customWidth="1"/>
    <col min="9474" max="9474" width="3.5" style="34" customWidth="1"/>
    <col min="9475" max="9475" width="3.125" style="34" customWidth="1"/>
    <col min="9476" max="9476" width="3.875" style="34" customWidth="1"/>
    <col min="9477" max="9477" width="2.875" style="34" customWidth="1"/>
    <col min="9478" max="9478" width="1.125" style="34" customWidth="1"/>
    <col min="9479" max="9488" width="3.75" style="34" customWidth="1"/>
    <col min="9489" max="9504" width="2.625" style="34" customWidth="1"/>
    <col min="9505" max="9728" width="3.25" style="34"/>
    <col min="9729" max="9729" width="3.625" style="34" customWidth="1"/>
    <col min="9730" max="9730" width="3.5" style="34" customWidth="1"/>
    <col min="9731" max="9731" width="3.125" style="34" customWidth="1"/>
    <col min="9732" max="9732" width="3.875" style="34" customWidth="1"/>
    <col min="9733" max="9733" width="2.875" style="34" customWidth="1"/>
    <col min="9734" max="9734" width="1.125" style="34" customWidth="1"/>
    <col min="9735" max="9744" width="3.75" style="34" customWidth="1"/>
    <col min="9745" max="9760" width="2.625" style="34" customWidth="1"/>
    <col min="9761" max="9984" width="3.25" style="34"/>
    <col min="9985" max="9985" width="3.625" style="34" customWidth="1"/>
    <col min="9986" max="9986" width="3.5" style="34" customWidth="1"/>
    <col min="9987" max="9987" width="3.125" style="34" customWidth="1"/>
    <col min="9988" max="9988" width="3.875" style="34" customWidth="1"/>
    <col min="9989" max="9989" width="2.875" style="34" customWidth="1"/>
    <col min="9990" max="9990" width="1.125" style="34" customWidth="1"/>
    <col min="9991" max="10000" width="3.75" style="34" customWidth="1"/>
    <col min="10001" max="10016" width="2.625" style="34" customWidth="1"/>
    <col min="10017" max="10240" width="3.25" style="34"/>
    <col min="10241" max="10241" width="3.625" style="34" customWidth="1"/>
    <col min="10242" max="10242" width="3.5" style="34" customWidth="1"/>
    <col min="10243" max="10243" width="3.125" style="34" customWidth="1"/>
    <col min="10244" max="10244" width="3.875" style="34" customWidth="1"/>
    <col min="10245" max="10245" width="2.875" style="34" customWidth="1"/>
    <col min="10246" max="10246" width="1.125" style="34" customWidth="1"/>
    <col min="10247" max="10256" width="3.75" style="34" customWidth="1"/>
    <col min="10257" max="10272" width="2.625" style="34" customWidth="1"/>
    <col min="10273" max="10496" width="3.25" style="34"/>
    <col min="10497" max="10497" width="3.625" style="34" customWidth="1"/>
    <col min="10498" max="10498" width="3.5" style="34" customWidth="1"/>
    <col min="10499" max="10499" width="3.125" style="34" customWidth="1"/>
    <col min="10500" max="10500" width="3.875" style="34" customWidth="1"/>
    <col min="10501" max="10501" width="2.875" style="34" customWidth="1"/>
    <col min="10502" max="10502" width="1.125" style="34" customWidth="1"/>
    <col min="10503" max="10512" width="3.75" style="34" customWidth="1"/>
    <col min="10513" max="10528" width="2.625" style="34" customWidth="1"/>
    <col min="10529" max="10752" width="3.25" style="34"/>
    <col min="10753" max="10753" width="3.625" style="34" customWidth="1"/>
    <col min="10754" max="10754" width="3.5" style="34" customWidth="1"/>
    <col min="10755" max="10755" width="3.125" style="34" customWidth="1"/>
    <col min="10756" max="10756" width="3.875" style="34" customWidth="1"/>
    <col min="10757" max="10757" width="2.875" style="34" customWidth="1"/>
    <col min="10758" max="10758" width="1.125" style="34" customWidth="1"/>
    <col min="10759" max="10768" width="3.75" style="34" customWidth="1"/>
    <col min="10769" max="10784" width="2.625" style="34" customWidth="1"/>
    <col min="10785" max="11008" width="3.25" style="34"/>
    <col min="11009" max="11009" width="3.625" style="34" customWidth="1"/>
    <col min="11010" max="11010" width="3.5" style="34" customWidth="1"/>
    <col min="11011" max="11011" width="3.125" style="34" customWidth="1"/>
    <col min="11012" max="11012" width="3.875" style="34" customWidth="1"/>
    <col min="11013" max="11013" width="2.875" style="34" customWidth="1"/>
    <col min="11014" max="11014" width="1.125" style="34" customWidth="1"/>
    <col min="11015" max="11024" width="3.75" style="34" customWidth="1"/>
    <col min="11025" max="11040" width="2.625" style="34" customWidth="1"/>
    <col min="11041" max="11264" width="3.25" style="34"/>
    <col min="11265" max="11265" width="3.625" style="34" customWidth="1"/>
    <col min="11266" max="11266" width="3.5" style="34" customWidth="1"/>
    <col min="11267" max="11267" width="3.125" style="34" customWidth="1"/>
    <col min="11268" max="11268" width="3.875" style="34" customWidth="1"/>
    <col min="11269" max="11269" width="2.875" style="34" customWidth="1"/>
    <col min="11270" max="11270" width="1.125" style="34" customWidth="1"/>
    <col min="11271" max="11280" width="3.75" style="34" customWidth="1"/>
    <col min="11281" max="11296" width="2.625" style="34" customWidth="1"/>
    <col min="11297" max="11520" width="3.25" style="34"/>
    <col min="11521" max="11521" width="3.625" style="34" customWidth="1"/>
    <col min="11522" max="11522" width="3.5" style="34" customWidth="1"/>
    <col min="11523" max="11523" width="3.125" style="34" customWidth="1"/>
    <col min="11524" max="11524" width="3.875" style="34" customWidth="1"/>
    <col min="11525" max="11525" width="2.875" style="34" customWidth="1"/>
    <col min="11526" max="11526" width="1.125" style="34" customWidth="1"/>
    <col min="11527" max="11536" width="3.75" style="34" customWidth="1"/>
    <col min="11537" max="11552" width="2.625" style="34" customWidth="1"/>
    <col min="11553" max="11776" width="3.25" style="34"/>
    <col min="11777" max="11777" width="3.625" style="34" customWidth="1"/>
    <col min="11778" max="11778" width="3.5" style="34" customWidth="1"/>
    <col min="11779" max="11779" width="3.125" style="34" customWidth="1"/>
    <col min="11780" max="11780" width="3.875" style="34" customWidth="1"/>
    <col min="11781" max="11781" width="2.875" style="34" customWidth="1"/>
    <col min="11782" max="11782" width="1.125" style="34" customWidth="1"/>
    <col min="11783" max="11792" width="3.75" style="34" customWidth="1"/>
    <col min="11793" max="11808" width="2.625" style="34" customWidth="1"/>
    <col min="11809" max="12032" width="3.25" style="34"/>
    <col min="12033" max="12033" width="3.625" style="34" customWidth="1"/>
    <col min="12034" max="12034" width="3.5" style="34" customWidth="1"/>
    <col min="12035" max="12035" width="3.125" style="34" customWidth="1"/>
    <col min="12036" max="12036" width="3.875" style="34" customWidth="1"/>
    <col min="12037" max="12037" width="2.875" style="34" customWidth="1"/>
    <col min="12038" max="12038" width="1.125" style="34" customWidth="1"/>
    <col min="12039" max="12048" width="3.75" style="34" customWidth="1"/>
    <col min="12049" max="12064" width="2.625" style="34" customWidth="1"/>
    <col min="12065" max="12288" width="3.25" style="34"/>
    <col min="12289" max="12289" width="3.625" style="34" customWidth="1"/>
    <col min="12290" max="12290" width="3.5" style="34" customWidth="1"/>
    <col min="12291" max="12291" width="3.125" style="34" customWidth="1"/>
    <col min="12292" max="12292" width="3.875" style="34" customWidth="1"/>
    <col min="12293" max="12293" width="2.875" style="34" customWidth="1"/>
    <col min="12294" max="12294" width="1.125" style="34" customWidth="1"/>
    <col min="12295" max="12304" width="3.75" style="34" customWidth="1"/>
    <col min="12305" max="12320" width="2.625" style="34" customWidth="1"/>
    <col min="12321" max="12544" width="3.25" style="34"/>
    <col min="12545" max="12545" width="3.625" style="34" customWidth="1"/>
    <col min="12546" max="12546" width="3.5" style="34" customWidth="1"/>
    <col min="12547" max="12547" width="3.125" style="34" customWidth="1"/>
    <col min="12548" max="12548" width="3.875" style="34" customWidth="1"/>
    <col min="12549" max="12549" width="2.875" style="34" customWidth="1"/>
    <col min="12550" max="12550" width="1.125" style="34" customWidth="1"/>
    <col min="12551" max="12560" width="3.75" style="34" customWidth="1"/>
    <col min="12561" max="12576" width="2.625" style="34" customWidth="1"/>
    <col min="12577" max="12800" width="3.25" style="34"/>
    <col min="12801" max="12801" width="3.625" style="34" customWidth="1"/>
    <col min="12802" max="12802" width="3.5" style="34" customWidth="1"/>
    <col min="12803" max="12803" width="3.125" style="34" customWidth="1"/>
    <col min="12804" max="12804" width="3.875" style="34" customWidth="1"/>
    <col min="12805" max="12805" width="2.875" style="34" customWidth="1"/>
    <col min="12806" max="12806" width="1.125" style="34" customWidth="1"/>
    <col min="12807" max="12816" width="3.75" style="34" customWidth="1"/>
    <col min="12817" max="12832" width="2.625" style="34" customWidth="1"/>
    <col min="12833" max="13056" width="3.25" style="34"/>
    <col min="13057" max="13057" width="3.625" style="34" customWidth="1"/>
    <col min="13058" max="13058" width="3.5" style="34" customWidth="1"/>
    <col min="13059" max="13059" width="3.125" style="34" customWidth="1"/>
    <col min="13060" max="13060" width="3.875" style="34" customWidth="1"/>
    <col min="13061" max="13061" width="2.875" style="34" customWidth="1"/>
    <col min="13062" max="13062" width="1.125" style="34" customWidth="1"/>
    <col min="13063" max="13072" width="3.75" style="34" customWidth="1"/>
    <col min="13073" max="13088" width="2.625" style="34" customWidth="1"/>
    <col min="13089" max="13312" width="3.25" style="34"/>
    <col min="13313" max="13313" width="3.625" style="34" customWidth="1"/>
    <col min="13314" max="13314" width="3.5" style="34" customWidth="1"/>
    <col min="13315" max="13315" width="3.125" style="34" customWidth="1"/>
    <col min="13316" max="13316" width="3.875" style="34" customWidth="1"/>
    <col min="13317" max="13317" width="2.875" style="34" customWidth="1"/>
    <col min="13318" max="13318" width="1.125" style="34" customWidth="1"/>
    <col min="13319" max="13328" width="3.75" style="34" customWidth="1"/>
    <col min="13329" max="13344" width="2.625" style="34" customWidth="1"/>
    <col min="13345" max="13568" width="3.25" style="34"/>
    <col min="13569" max="13569" width="3.625" style="34" customWidth="1"/>
    <col min="13570" max="13570" width="3.5" style="34" customWidth="1"/>
    <col min="13571" max="13571" width="3.125" style="34" customWidth="1"/>
    <col min="13572" max="13572" width="3.875" style="34" customWidth="1"/>
    <col min="13573" max="13573" width="2.875" style="34" customWidth="1"/>
    <col min="13574" max="13574" width="1.125" style="34" customWidth="1"/>
    <col min="13575" max="13584" width="3.75" style="34" customWidth="1"/>
    <col min="13585" max="13600" width="2.625" style="34" customWidth="1"/>
    <col min="13601" max="13824" width="3.25" style="34"/>
    <col min="13825" max="13825" width="3.625" style="34" customWidth="1"/>
    <col min="13826" max="13826" width="3.5" style="34" customWidth="1"/>
    <col min="13827" max="13827" width="3.125" style="34" customWidth="1"/>
    <col min="13828" max="13828" width="3.875" style="34" customWidth="1"/>
    <col min="13829" max="13829" width="2.875" style="34" customWidth="1"/>
    <col min="13830" max="13830" width="1.125" style="34" customWidth="1"/>
    <col min="13831" max="13840" width="3.75" style="34" customWidth="1"/>
    <col min="13841" max="13856" width="2.625" style="34" customWidth="1"/>
    <col min="13857" max="14080" width="3.25" style="34"/>
    <col min="14081" max="14081" width="3.625" style="34" customWidth="1"/>
    <col min="14082" max="14082" width="3.5" style="34" customWidth="1"/>
    <col min="14083" max="14083" width="3.125" style="34" customWidth="1"/>
    <col min="14084" max="14084" width="3.875" style="34" customWidth="1"/>
    <col min="14085" max="14085" width="2.875" style="34" customWidth="1"/>
    <col min="14086" max="14086" width="1.125" style="34" customWidth="1"/>
    <col min="14087" max="14096" width="3.75" style="34" customWidth="1"/>
    <col min="14097" max="14112" width="2.625" style="34" customWidth="1"/>
    <col min="14113" max="14336" width="3.25" style="34"/>
    <col min="14337" max="14337" width="3.625" style="34" customWidth="1"/>
    <col min="14338" max="14338" width="3.5" style="34" customWidth="1"/>
    <col min="14339" max="14339" width="3.125" style="34" customWidth="1"/>
    <col min="14340" max="14340" width="3.875" style="34" customWidth="1"/>
    <col min="14341" max="14341" width="2.875" style="34" customWidth="1"/>
    <col min="14342" max="14342" width="1.125" style="34" customWidth="1"/>
    <col min="14343" max="14352" width="3.75" style="34" customWidth="1"/>
    <col min="14353" max="14368" width="2.625" style="34" customWidth="1"/>
    <col min="14369" max="14592" width="3.25" style="34"/>
    <col min="14593" max="14593" width="3.625" style="34" customWidth="1"/>
    <col min="14594" max="14594" width="3.5" style="34" customWidth="1"/>
    <col min="14595" max="14595" width="3.125" style="34" customWidth="1"/>
    <col min="14596" max="14596" width="3.875" style="34" customWidth="1"/>
    <col min="14597" max="14597" width="2.875" style="34" customWidth="1"/>
    <col min="14598" max="14598" width="1.125" style="34" customWidth="1"/>
    <col min="14599" max="14608" width="3.75" style="34" customWidth="1"/>
    <col min="14609" max="14624" width="2.625" style="34" customWidth="1"/>
    <col min="14625" max="14848" width="3.25" style="34"/>
    <col min="14849" max="14849" width="3.625" style="34" customWidth="1"/>
    <col min="14850" max="14850" width="3.5" style="34" customWidth="1"/>
    <col min="14851" max="14851" width="3.125" style="34" customWidth="1"/>
    <col min="14852" max="14852" width="3.875" style="34" customWidth="1"/>
    <col min="14853" max="14853" width="2.875" style="34" customWidth="1"/>
    <col min="14854" max="14854" width="1.125" style="34" customWidth="1"/>
    <col min="14855" max="14864" width="3.75" style="34" customWidth="1"/>
    <col min="14865" max="14880" width="2.625" style="34" customWidth="1"/>
    <col min="14881" max="15104" width="3.25" style="34"/>
    <col min="15105" max="15105" width="3.625" style="34" customWidth="1"/>
    <col min="15106" max="15106" width="3.5" style="34" customWidth="1"/>
    <col min="15107" max="15107" width="3.125" style="34" customWidth="1"/>
    <col min="15108" max="15108" width="3.875" style="34" customWidth="1"/>
    <col min="15109" max="15109" width="2.875" style="34" customWidth="1"/>
    <col min="15110" max="15110" width="1.125" style="34" customWidth="1"/>
    <col min="15111" max="15120" width="3.75" style="34" customWidth="1"/>
    <col min="15121" max="15136" width="2.625" style="34" customWidth="1"/>
    <col min="15137" max="15360" width="3.25" style="34"/>
    <col min="15361" max="15361" width="3.625" style="34" customWidth="1"/>
    <col min="15362" max="15362" width="3.5" style="34" customWidth="1"/>
    <col min="15363" max="15363" width="3.125" style="34" customWidth="1"/>
    <col min="15364" max="15364" width="3.875" style="34" customWidth="1"/>
    <col min="15365" max="15365" width="2.875" style="34" customWidth="1"/>
    <col min="15366" max="15366" width="1.125" style="34" customWidth="1"/>
    <col min="15367" max="15376" width="3.75" style="34" customWidth="1"/>
    <col min="15377" max="15392" width="2.625" style="34" customWidth="1"/>
    <col min="15393" max="15616" width="3.25" style="34"/>
    <col min="15617" max="15617" width="3.625" style="34" customWidth="1"/>
    <col min="15618" max="15618" width="3.5" style="34" customWidth="1"/>
    <col min="15619" max="15619" width="3.125" style="34" customWidth="1"/>
    <col min="15620" max="15620" width="3.875" style="34" customWidth="1"/>
    <col min="15621" max="15621" width="2.875" style="34" customWidth="1"/>
    <col min="15622" max="15622" width="1.125" style="34" customWidth="1"/>
    <col min="15623" max="15632" width="3.75" style="34" customWidth="1"/>
    <col min="15633" max="15648" width="2.625" style="34" customWidth="1"/>
    <col min="15649" max="15872" width="3.25" style="34"/>
    <col min="15873" max="15873" width="3.625" style="34" customWidth="1"/>
    <col min="15874" max="15874" width="3.5" style="34" customWidth="1"/>
    <col min="15875" max="15875" width="3.125" style="34" customWidth="1"/>
    <col min="15876" max="15876" width="3.875" style="34" customWidth="1"/>
    <col min="15877" max="15877" width="2.875" style="34" customWidth="1"/>
    <col min="15878" max="15878" width="1.125" style="34" customWidth="1"/>
    <col min="15879" max="15888" width="3.75" style="34" customWidth="1"/>
    <col min="15889" max="15904" width="2.625" style="34" customWidth="1"/>
    <col min="15905" max="16128" width="3.25" style="34"/>
    <col min="16129" max="16129" width="3.625" style="34" customWidth="1"/>
    <col min="16130" max="16130" width="3.5" style="34" customWidth="1"/>
    <col min="16131" max="16131" width="3.125" style="34" customWidth="1"/>
    <col min="16132" max="16132" width="3.875" style="34" customWidth="1"/>
    <col min="16133" max="16133" width="2.875" style="34" customWidth="1"/>
    <col min="16134" max="16134" width="1.125" style="34" customWidth="1"/>
    <col min="16135" max="16144" width="3.75" style="34" customWidth="1"/>
    <col min="16145" max="16160" width="2.625" style="34" customWidth="1"/>
    <col min="16161" max="16384" width="3.25" style="34"/>
  </cols>
  <sheetData>
    <row r="1" spans="1:53" ht="4.5" customHeight="1" x14ac:dyDescent="0.15">
      <c r="D1" s="35"/>
      <c r="E1" s="35"/>
      <c r="F1" s="35"/>
      <c r="G1" s="35"/>
      <c r="H1" s="35"/>
      <c r="I1" s="35"/>
      <c r="J1" s="35"/>
      <c r="K1" s="35"/>
      <c r="L1" s="35"/>
      <c r="M1" s="35"/>
      <c r="N1" s="35"/>
      <c r="O1" s="35"/>
      <c r="P1" s="35"/>
      <c r="Q1" s="35"/>
      <c r="R1" s="35"/>
      <c r="S1" s="35"/>
      <c r="T1" s="35"/>
      <c r="U1" s="35"/>
      <c r="V1" s="35"/>
      <c r="W1" s="35"/>
      <c r="X1" s="35"/>
    </row>
    <row r="2" spans="1:53" ht="12" customHeight="1" x14ac:dyDescent="0.15">
      <c r="A2" s="37" t="s">
        <v>278</v>
      </c>
      <c r="D2" s="35"/>
      <c r="E2" s="35"/>
      <c r="F2" s="35"/>
      <c r="G2" s="35"/>
      <c r="H2" s="35"/>
      <c r="I2" s="35"/>
      <c r="J2" s="35"/>
      <c r="K2" s="35"/>
      <c r="L2" s="35"/>
      <c r="M2" s="35"/>
      <c r="N2" s="35"/>
      <c r="O2" s="35"/>
      <c r="P2" s="35"/>
      <c r="Q2" s="35"/>
      <c r="R2" s="35"/>
      <c r="S2" s="35"/>
      <c r="T2" s="35"/>
      <c r="U2" s="35"/>
      <c r="V2" s="35"/>
      <c r="W2" s="35"/>
      <c r="X2" s="35"/>
    </row>
    <row r="3" spans="1:53" ht="18" customHeight="1" x14ac:dyDescent="0.15">
      <c r="C3" s="1584" t="s">
        <v>279</v>
      </c>
      <c r="D3" s="1584"/>
      <c r="E3" s="1584"/>
      <c r="F3" s="1584"/>
      <c r="G3" s="1584"/>
      <c r="H3" s="1584"/>
      <c r="I3" s="1584"/>
      <c r="J3" s="1584"/>
      <c r="K3" s="1584"/>
      <c r="L3" s="1584"/>
      <c r="M3" s="1584"/>
      <c r="N3" s="1584"/>
      <c r="O3" s="1584"/>
      <c r="P3" s="1584"/>
      <c r="Q3" s="1584"/>
      <c r="R3" s="1584"/>
      <c r="S3" s="1584"/>
      <c r="T3" s="1584"/>
      <c r="U3" s="1584"/>
      <c r="V3" s="1584"/>
      <c r="W3" s="1584"/>
      <c r="X3" s="1584"/>
      <c r="AD3" s="38"/>
      <c r="AE3" s="38"/>
      <c r="AF3" s="38"/>
    </row>
    <row r="4" spans="1:53" ht="11.25" customHeight="1" x14ac:dyDescent="0.15">
      <c r="C4" s="1584"/>
      <c r="D4" s="1584"/>
      <c r="E4" s="1584"/>
      <c r="F4" s="1584"/>
      <c r="G4" s="1584"/>
      <c r="H4" s="1584"/>
      <c r="I4" s="1584"/>
      <c r="J4" s="1584"/>
      <c r="K4" s="1584"/>
      <c r="L4" s="1584"/>
      <c r="M4" s="1584"/>
      <c r="N4" s="1584"/>
      <c r="O4" s="1584"/>
      <c r="P4" s="1584"/>
      <c r="Q4" s="1584"/>
      <c r="R4" s="1584"/>
      <c r="S4" s="1584"/>
      <c r="T4" s="1584"/>
      <c r="U4" s="1584"/>
      <c r="V4" s="1584"/>
      <c r="W4" s="1584"/>
      <c r="X4" s="1584"/>
      <c r="Y4" s="39"/>
      <c r="Z4" s="39"/>
      <c r="AC4" s="40"/>
      <c r="AD4" s="41" t="s">
        <v>280</v>
      </c>
      <c r="AE4" s="38"/>
      <c r="AF4" s="42"/>
    </row>
    <row r="5" spans="1:53" ht="16.5" customHeight="1" x14ac:dyDescent="0.15">
      <c r="C5" s="43"/>
      <c r="D5" s="43"/>
      <c r="E5" s="43"/>
      <c r="F5" s="43"/>
      <c r="G5" s="43"/>
      <c r="H5" s="43"/>
      <c r="I5" s="43"/>
      <c r="J5" s="43"/>
      <c r="K5" s="43"/>
      <c r="L5" s="43"/>
      <c r="M5" s="43"/>
      <c r="N5" s="43"/>
      <c r="O5" s="43"/>
      <c r="P5" s="43"/>
      <c r="Q5" s="43"/>
      <c r="R5" s="43"/>
      <c r="S5" s="43"/>
      <c r="T5" s="43"/>
      <c r="U5" s="43"/>
      <c r="V5" s="43"/>
      <c r="W5" s="43"/>
      <c r="X5" s="43"/>
      <c r="AC5" s="40"/>
      <c r="AD5" s="44"/>
      <c r="AF5" s="40"/>
      <c r="AI5" s="45"/>
      <c r="AJ5" s="39"/>
      <c r="AK5" s="39"/>
    </row>
    <row r="6" spans="1:53" ht="13.5" customHeight="1" thickBot="1" x14ac:dyDescent="0.2">
      <c r="A6" s="36" t="s">
        <v>281</v>
      </c>
      <c r="B6" s="36"/>
      <c r="C6" s="36"/>
      <c r="D6" s="36"/>
      <c r="E6" s="36"/>
      <c r="F6" s="36"/>
      <c r="G6" s="45"/>
      <c r="H6" s="45"/>
      <c r="I6" s="45"/>
      <c r="J6" s="45"/>
      <c r="K6" s="45"/>
      <c r="L6" s="45"/>
      <c r="M6" s="45"/>
      <c r="N6" s="45"/>
      <c r="O6" s="45"/>
      <c r="P6" s="45"/>
      <c r="Q6" s="45"/>
      <c r="R6" s="45"/>
      <c r="S6" s="45"/>
      <c r="T6" s="45"/>
      <c r="U6" s="45"/>
      <c r="V6" s="45"/>
      <c r="W6" s="45"/>
      <c r="X6" s="46"/>
      <c r="Y6" s="46"/>
      <c r="Z6" s="46"/>
      <c r="AA6" s="47"/>
      <c r="AB6" s="47"/>
      <c r="AC6" s="48"/>
      <c r="AD6" s="49"/>
      <c r="AE6" s="50"/>
      <c r="AF6" s="51"/>
      <c r="AG6" s="52"/>
      <c r="AI6" s="36"/>
      <c r="AJ6" s="45"/>
      <c r="AM6" s="53"/>
      <c r="AW6" s="1585"/>
      <c r="AX6" s="1585"/>
      <c r="AY6" s="1585"/>
      <c r="AZ6" s="1585"/>
      <c r="BA6" s="1585"/>
    </row>
    <row r="7" spans="1:53" ht="15" customHeight="1" thickBot="1" x14ac:dyDescent="0.2">
      <c r="A7" s="50" t="s">
        <v>282</v>
      </c>
      <c r="B7" s="50"/>
      <c r="C7" s="50"/>
      <c r="D7" s="50"/>
      <c r="E7" s="50"/>
      <c r="F7" s="50"/>
      <c r="G7" s="50"/>
      <c r="H7" s="50"/>
      <c r="I7" s="50"/>
      <c r="J7" s="50"/>
      <c r="K7" s="50"/>
      <c r="L7" s="50"/>
      <c r="M7" s="50"/>
      <c r="N7" s="54"/>
      <c r="O7" s="55"/>
      <c r="P7" s="55"/>
      <c r="Q7" s="55"/>
      <c r="R7" s="55"/>
      <c r="S7" s="56"/>
      <c r="T7" s="1586" t="s">
        <v>283</v>
      </c>
      <c r="U7" s="1586"/>
      <c r="V7" s="1586"/>
      <c r="W7" s="1587"/>
      <c r="X7" s="1590" t="s">
        <v>1178</v>
      </c>
      <c r="Y7" s="1586"/>
      <c r="Z7" s="1586"/>
      <c r="AA7" s="1586"/>
      <c r="AB7" s="1586"/>
      <c r="AC7" s="1586"/>
      <c r="AD7" s="1586"/>
      <c r="AE7" s="1586"/>
      <c r="AF7" s="1591"/>
      <c r="AI7" s="36"/>
      <c r="AJ7" s="34"/>
      <c r="AK7" s="57"/>
      <c r="AW7" s="1585"/>
      <c r="AX7" s="1585"/>
      <c r="AY7" s="1585"/>
      <c r="AZ7" s="1585"/>
      <c r="BA7" s="1585"/>
    </row>
    <row r="8" spans="1:53" ht="15" customHeight="1" x14ac:dyDescent="0.15">
      <c r="A8" s="1594" t="s">
        <v>284</v>
      </c>
      <c r="B8" s="1595"/>
      <c r="C8" s="1596"/>
      <c r="D8" s="1603" t="s">
        <v>285</v>
      </c>
      <c r="E8" s="1604"/>
      <c r="F8" s="1604"/>
      <c r="G8" s="1605" t="s">
        <v>286</v>
      </c>
      <c r="H8" s="1606"/>
      <c r="I8" s="1606"/>
      <c r="J8" s="1606"/>
      <c r="K8" s="1606"/>
      <c r="L8" s="1606"/>
      <c r="M8" s="1606"/>
      <c r="N8" s="1606"/>
      <c r="O8" s="1606"/>
      <c r="P8" s="1606"/>
      <c r="Q8" s="1606"/>
      <c r="R8" s="1606"/>
      <c r="S8" s="1607"/>
      <c r="T8" s="1588"/>
      <c r="U8" s="1588"/>
      <c r="V8" s="1588"/>
      <c r="W8" s="1589"/>
      <c r="X8" s="1592"/>
      <c r="Y8" s="1588"/>
      <c r="Z8" s="1588"/>
      <c r="AA8" s="1588"/>
      <c r="AB8" s="1588"/>
      <c r="AC8" s="1588"/>
      <c r="AD8" s="1588"/>
      <c r="AE8" s="1588"/>
      <c r="AF8" s="1593"/>
      <c r="AI8" s="36"/>
      <c r="AJ8" s="34"/>
      <c r="AK8" s="57"/>
    </row>
    <row r="9" spans="1:53" ht="49.5" customHeight="1" x14ac:dyDescent="0.15">
      <c r="A9" s="1597"/>
      <c r="B9" s="1598"/>
      <c r="C9" s="1599"/>
      <c r="D9" s="1608" t="s">
        <v>247</v>
      </c>
      <c r="E9" s="1609"/>
      <c r="F9" s="1609"/>
      <c r="G9" s="1610" t="s">
        <v>221</v>
      </c>
      <c r="H9" s="1611"/>
      <c r="I9" s="1611"/>
      <c r="J9" s="1611"/>
      <c r="K9" s="1611"/>
      <c r="L9" s="1611"/>
      <c r="M9" s="1611"/>
      <c r="N9" s="1611"/>
      <c r="O9" s="1611"/>
      <c r="P9" s="1611"/>
      <c r="Q9" s="1611"/>
      <c r="R9" s="1611"/>
      <c r="S9" s="1612"/>
      <c r="T9" s="1613" t="s">
        <v>287</v>
      </c>
      <c r="U9" s="1614"/>
      <c r="V9" s="1614"/>
      <c r="W9" s="1615"/>
      <c r="X9" s="1616" t="s">
        <v>288</v>
      </c>
      <c r="Y9" s="1617"/>
      <c r="Z9" s="1617"/>
      <c r="AA9" s="1617"/>
      <c r="AB9" s="1617"/>
      <c r="AC9" s="1617"/>
      <c r="AD9" s="1617"/>
      <c r="AE9" s="1617"/>
      <c r="AF9" s="1618"/>
      <c r="AI9" s="36"/>
      <c r="AJ9" s="58"/>
      <c r="AK9" s="58"/>
    </row>
    <row r="10" spans="1:53" ht="22.5" customHeight="1" x14ac:dyDescent="0.15">
      <c r="A10" s="1597"/>
      <c r="B10" s="1598"/>
      <c r="C10" s="1599"/>
      <c r="D10" s="1619" t="s">
        <v>289</v>
      </c>
      <c r="E10" s="1619"/>
      <c r="F10" s="1619"/>
      <c r="G10" s="53" t="s">
        <v>290</v>
      </c>
      <c r="H10" s="59"/>
      <c r="I10" s="59"/>
      <c r="J10" s="60"/>
      <c r="K10" s="61"/>
      <c r="L10" s="61"/>
      <c r="M10" s="61"/>
      <c r="N10" s="60"/>
      <c r="O10" s="60"/>
      <c r="P10" s="61"/>
      <c r="Q10" s="61"/>
      <c r="R10" s="61"/>
      <c r="S10" s="61"/>
      <c r="T10" s="61"/>
      <c r="U10" s="61"/>
      <c r="V10" s="61"/>
      <c r="W10" s="61"/>
      <c r="X10" s="61"/>
      <c r="Y10" s="61"/>
      <c r="Z10" s="61"/>
      <c r="AA10" s="61"/>
      <c r="AB10" s="61"/>
      <c r="AC10" s="61"/>
      <c r="AD10" s="61"/>
      <c r="AE10" s="61"/>
      <c r="AF10" s="62"/>
      <c r="AK10" s="58"/>
    </row>
    <row r="11" spans="1:53" ht="31.5" customHeight="1" x14ac:dyDescent="0.15">
      <c r="A11" s="1600"/>
      <c r="B11" s="1601"/>
      <c r="C11" s="1602"/>
      <c r="D11" s="1620"/>
      <c r="E11" s="1620"/>
      <c r="F11" s="1620"/>
      <c r="G11" s="1621" t="s">
        <v>227</v>
      </c>
      <c r="H11" s="1622"/>
      <c r="I11" s="1622"/>
      <c r="J11" s="1622"/>
      <c r="K11" s="1622"/>
      <c r="L11" s="1622"/>
      <c r="M11" s="1622"/>
      <c r="N11" s="1622"/>
      <c r="O11" s="1622"/>
      <c r="P11" s="1622"/>
      <c r="Q11" s="1622"/>
      <c r="R11" s="1622"/>
      <c r="S11" s="1622"/>
      <c r="T11" s="1622"/>
      <c r="U11" s="64" t="s">
        <v>291</v>
      </c>
      <c r="V11" s="64"/>
      <c r="Y11" s="1588"/>
      <c r="Z11" s="1588"/>
      <c r="AA11" s="1588"/>
      <c r="AB11" s="1588"/>
      <c r="AC11" s="1588"/>
      <c r="AD11" s="1588"/>
      <c r="AE11" s="1588"/>
      <c r="AF11" s="1593"/>
      <c r="AK11" s="58"/>
    </row>
    <row r="12" spans="1:53" ht="15" customHeight="1" x14ac:dyDescent="0.15">
      <c r="A12" s="1623" t="s">
        <v>292</v>
      </c>
      <c r="B12" s="1624"/>
      <c r="C12" s="1624"/>
      <c r="D12" s="1624"/>
      <c r="E12" s="1624"/>
      <c r="F12" s="1625"/>
      <c r="G12" s="1626" t="s">
        <v>293</v>
      </c>
      <c r="H12" s="1627"/>
      <c r="I12" s="1627"/>
      <c r="J12" s="1627"/>
      <c r="K12" s="1627"/>
      <c r="L12" s="1627"/>
      <c r="M12" s="1627"/>
      <c r="N12" s="1627"/>
      <c r="O12" s="1627"/>
      <c r="P12" s="1627"/>
      <c r="Q12" s="1627"/>
      <c r="R12" s="1627"/>
      <c r="S12" s="1627"/>
      <c r="T12" s="1627"/>
      <c r="U12" s="1627"/>
      <c r="V12" s="1627"/>
      <c r="W12" s="1627"/>
      <c r="X12" s="1627"/>
      <c r="Y12" s="1627"/>
      <c r="Z12" s="1627"/>
      <c r="AA12" s="1627"/>
      <c r="AB12" s="1627"/>
      <c r="AC12" s="1627"/>
      <c r="AD12" s="1627"/>
      <c r="AE12" s="1627"/>
      <c r="AF12" s="1628"/>
    </row>
    <row r="13" spans="1:53" ht="21" customHeight="1" thickBot="1" x14ac:dyDescent="0.2">
      <c r="A13" s="1629" t="s">
        <v>294</v>
      </c>
      <c r="B13" s="1630"/>
      <c r="C13" s="1630"/>
      <c r="D13" s="1630"/>
      <c r="E13" s="1630"/>
      <c r="F13" s="1631"/>
      <c r="G13" s="1632" t="s">
        <v>295</v>
      </c>
      <c r="H13" s="1633"/>
      <c r="I13" s="1633"/>
      <c r="J13" s="1633"/>
      <c r="K13" s="1633"/>
      <c r="L13" s="1633"/>
      <c r="M13" s="1633"/>
      <c r="N13" s="1633"/>
      <c r="O13" s="1633"/>
      <c r="P13" s="1634"/>
      <c r="Q13" s="1632" t="s">
        <v>223</v>
      </c>
      <c r="R13" s="1633"/>
      <c r="S13" s="1633"/>
      <c r="T13" s="1633"/>
      <c r="U13" s="1633"/>
      <c r="V13" s="1634"/>
      <c r="W13" s="65">
        <v>2</v>
      </c>
      <c r="X13" s="65">
        <v>4</v>
      </c>
      <c r="Y13" s="65">
        <v>7</v>
      </c>
      <c r="Z13" s="65">
        <v>2</v>
      </c>
      <c r="AA13" s="65">
        <v>4</v>
      </c>
      <c r="AB13" s="65">
        <v>0</v>
      </c>
      <c r="AC13" s="65">
        <v>0</v>
      </c>
      <c r="AD13" s="65">
        <v>0</v>
      </c>
      <c r="AE13" s="65">
        <v>7</v>
      </c>
      <c r="AF13" s="66">
        <v>2</v>
      </c>
    </row>
    <row r="14" spans="1:53" ht="3" customHeight="1" thickBot="1" x14ac:dyDescent="0.2">
      <c r="A14" s="54"/>
      <c r="B14" s="55"/>
      <c r="C14" s="55"/>
      <c r="D14" s="54"/>
      <c r="E14" s="54"/>
      <c r="F14" s="54"/>
      <c r="G14" s="67"/>
      <c r="H14" s="67"/>
      <c r="I14" s="67"/>
      <c r="J14" s="67"/>
      <c r="K14" s="68"/>
      <c r="L14" s="68"/>
      <c r="M14" s="68"/>
      <c r="N14" s="68"/>
      <c r="O14" s="68"/>
      <c r="P14" s="67"/>
      <c r="Q14" s="69"/>
      <c r="R14" s="69"/>
      <c r="S14" s="69"/>
      <c r="T14" s="69"/>
      <c r="U14" s="70"/>
      <c r="V14" s="70"/>
      <c r="W14" s="69"/>
      <c r="X14" s="69"/>
      <c r="Y14" s="69"/>
      <c r="Z14" s="69"/>
      <c r="AA14" s="69"/>
      <c r="AB14" s="69"/>
      <c r="AC14" s="69"/>
      <c r="AD14" s="69"/>
      <c r="AE14" s="69"/>
      <c r="AF14" s="69"/>
      <c r="AJ14" s="71"/>
      <c r="AK14" s="64"/>
      <c r="AL14" s="53"/>
    </row>
    <row r="15" spans="1:53" ht="22.5" customHeight="1" thickBot="1" x14ac:dyDescent="0.2">
      <c r="A15" s="1635" t="s">
        <v>296</v>
      </c>
      <c r="B15" s="1637" t="s">
        <v>297</v>
      </c>
      <c r="C15" s="1638"/>
      <c r="D15" s="1638"/>
      <c r="E15" s="1638"/>
      <c r="F15" s="1639"/>
      <c r="G15" s="1760" t="str">
        <f>DBCS('[2]（最新）アセスメントシート'!E10)</f>
        <v/>
      </c>
      <c r="H15" s="1761"/>
      <c r="I15" s="1761"/>
      <c r="J15" s="1761"/>
      <c r="K15" s="1761"/>
      <c r="L15" s="1761"/>
      <c r="M15" s="1761"/>
      <c r="N15" s="1761"/>
      <c r="O15" s="1761"/>
      <c r="P15" s="1762"/>
      <c r="Q15" s="1640" t="s">
        <v>298</v>
      </c>
      <c r="R15" s="1641"/>
      <c r="S15" s="1641"/>
      <c r="T15" s="1642"/>
      <c r="U15" s="72"/>
      <c r="V15" s="72"/>
      <c r="W15" s="72"/>
      <c r="X15" s="72"/>
      <c r="Y15" s="72"/>
      <c r="Z15" s="72"/>
      <c r="AA15" s="72"/>
      <c r="AB15" s="72"/>
      <c r="AC15" s="72"/>
      <c r="AD15" s="72"/>
      <c r="AE15" s="72"/>
      <c r="AF15" s="72"/>
      <c r="AJ15" s="73"/>
      <c r="AK15" s="64"/>
    </row>
    <row r="16" spans="1:53" ht="15" customHeight="1" thickBot="1" x14ac:dyDescent="0.2">
      <c r="A16" s="1636"/>
      <c r="B16" s="1643" t="s">
        <v>285</v>
      </c>
      <c r="C16" s="1644"/>
      <c r="D16" s="1644"/>
      <c r="E16" s="1644"/>
      <c r="F16" s="1645"/>
      <c r="G16" s="1646">
        <f>'[2]（最新）アセスメントシート'!D4</f>
        <v>0</v>
      </c>
      <c r="H16" s="1647"/>
      <c r="I16" s="1647"/>
      <c r="J16" s="1647"/>
      <c r="K16" s="1647"/>
      <c r="L16" s="1647"/>
      <c r="M16" s="1647"/>
      <c r="N16" s="1647"/>
      <c r="O16" s="1647"/>
      <c r="P16" s="1648"/>
      <c r="Q16" s="1649" t="s">
        <v>299</v>
      </c>
      <c r="R16" s="1650"/>
      <c r="S16" s="1650"/>
      <c r="T16" s="1651"/>
      <c r="U16" s="1605">
        <f>'[2]（最新）アセスメントシート'!R5</f>
        <v>0</v>
      </c>
      <c r="V16" s="1606"/>
      <c r="W16" s="1606"/>
      <c r="X16" s="1606"/>
      <c r="Y16" s="1606"/>
      <c r="Z16" s="1606"/>
      <c r="AA16" s="1606"/>
      <c r="AB16" s="1606"/>
      <c r="AC16" s="1606"/>
      <c r="AD16" s="1606"/>
      <c r="AE16" s="1606"/>
      <c r="AF16" s="1684"/>
    </row>
    <row r="17" spans="1:37" ht="35.25" customHeight="1" x14ac:dyDescent="0.15">
      <c r="A17" s="1636"/>
      <c r="B17" s="1608" t="s">
        <v>247</v>
      </c>
      <c r="C17" s="1609"/>
      <c r="D17" s="1609"/>
      <c r="E17" s="1609"/>
      <c r="F17" s="1685"/>
      <c r="G17" s="1608">
        <f>'[2]（最新）アセスメントシート'!D5</f>
        <v>0</v>
      </c>
      <c r="H17" s="1609"/>
      <c r="I17" s="1609"/>
      <c r="J17" s="1609"/>
      <c r="K17" s="1609"/>
      <c r="L17" s="1609"/>
      <c r="M17" s="1609"/>
      <c r="N17" s="1609"/>
      <c r="O17" s="1609"/>
      <c r="P17" s="1685"/>
      <c r="Q17" s="1608" t="s">
        <v>246</v>
      </c>
      <c r="R17" s="1609"/>
      <c r="S17" s="1609"/>
      <c r="T17" s="1685"/>
      <c r="U17" s="1763">
        <f>'[2]（最新）アセスメントシート'!X5</f>
        <v>0</v>
      </c>
      <c r="V17" s="1764"/>
      <c r="W17" s="1764"/>
      <c r="X17" s="1764"/>
      <c r="Y17" s="1764"/>
      <c r="Z17" s="1764"/>
      <c r="AA17" s="1764"/>
      <c r="AB17" s="1764"/>
      <c r="AC17" s="1764"/>
      <c r="AD17" s="1764"/>
      <c r="AE17" s="1764"/>
      <c r="AF17" s="1765"/>
    </row>
    <row r="18" spans="1:37" ht="15" customHeight="1" x14ac:dyDescent="0.15">
      <c r="A18" s="1636"/>
      <c r="B18" s="1652" t="s">
        <v>289</v>
      </c>
      <c r="C18" s="1653"/>
      <c r="D18" s="1653"/>
      <c r="E18" s="1653"/>
      <c r="F18" s="1654"/>
      <c r="G18" s="53" t="s">
        <v>300</v>
      </c>
      <c r="H18" s="75"/>
      <c r="I18" s="64"/>
      <c r="J18" s="64"/>
      <c r="K18" s="64"/>
      <c r="L18" s="64"/>
      <c r="M18" s="64"/>
      <c r="N18" s="61"/>
      <c r="O18" s="1686" t="s">
        <v>301</v>
      </c>
      <c r="P18" s="1686"/>
      <c r="Q18" s="1686"/>
      <c r="R18" s="1686"/>
      <c r="S18" s="1686"/>
      <c r="T18" s="1686"/>
      <c r="U18" s="1686"/>
      <c r="V18" s="1686"/>
      <c r="W18" s="1686"/>
      <c r="X18" s="1686"/>
      <c r="Y18" s="1686"/>
      <c r="Z18" s="1686"/>
      <c r="AA18" s="1686"/>
      <c r="AB18" s="1686"/>
      <c r="AC18" s="1686"/>
      <c r="AD18" s="1686"/>
      <c r="AE18" s="1686"/>
      <c r="AF18" s="1687"/>
    </row>
    <row r="19" spans="1:37" ht="16.5" customHeight="1" x14ac:dyDescent="0.15">
      <c r="A19" s="1636"/>
      <c r="B19" s="1655"/>
      <c r="C19" s="1656"/>
      <c r="D19" s="1656"/>
      <c r="E19" s="1656"/>
      <c r="F19" s="1657"/>
      <c r="G19" s="1688">
        <f>'[2]（最新）アセスメントシート'!D7</f>
        <v>0</v>
      </c>
      <c r="H19" s="1689"/>
      <c r="I19" s="1689"/>
      <c r="J19" s="1689"/>
      <c r="K19" s="1689"/>
      <c r="L19" s="1689"/>
      <c r="M19" s="1689"/>
      <c r="N19" s="1689"/>
      <c r="O19" s="1689"/>
      <c r="P19" s="1689"/>
      <c r="Q19" s="1689"/>
      <c r="R19" s="1689"/>
      <c r="S19" s="1689"/>
      <c r="T19" s="1689"/>
      <c r="U19" s="77"/>
      <c r="V19" s="77"/>
      <c r="W19" s="77"/>
      <c r="X19" s="77"/>
      <c r="Y19" s="77"/>
      <c r="Z19" s="77"/>
      <c r="AA19" s="77"/>
      <c r="AB19" s="77"/>
      <c r="AC19" s="77"/>
      <c r="AD19" s="77"/>
      <c r="AF19" s="78"/>
    </row>
    <row r="20" spans="1:37" ht="17.25" customHeight="1" x14ac:dyDescent="0.15">
      <c r="A20" s="1636"/>
      <c r="B20" s="1621"/>
      <c r="C20" s="1622"/>
      <c r="D20" s="1622"/>
      <c r="E20" s="1622"/>
      <c r="F20" s="1658"/>
      <c r="G20" s="1690"/>
      <c r="H20" s="1691"/>
      <c r="I20" s="1691"/>
      <c r="J20" s="1691"/>
      <c r="K20" s="1691"/>
      <c r="L20" s="1691"/>
      <c r="M20" s="1691"/>
      <c r="N20" s="1691"/>
      <c r="O20" s="1691"/>
      <c r="P20" s="1691"/>
      <c r="Q20" s="1691"/>
      <c r="R20" s="1691"/>
      <c r="S20" s="1691"/>
      <c r="T20" s="1691"/>
      <c r="U20" s="79" t="s">
        <v>291</v>
      </c>
      <c r="V20" s="79"/>
      <c r="W20" s="38"/>
      <c r="X20" s="38"/>
      <c r="Y20" s="38"/>
      <c r="Z20" s="38"/>
      <c r="AA20" s="38"/>
      <c r="AB20" s="38"/>
      <c r="AC20" s="38"/>
      <c r="AD20" s="38"/>
      <c r="AE20" s="38"/>
      <c r="AF20" s="78"/>
    </row>
    <row r="21" spans="1:37" ht="14.25" customHeight="1" x14ac:dyDescent="0.15">
      <c r="A21" s="1636"/>
      <c r="B21" s="1652" t="s">
        <v>303</v>
      </c>
      <c r="C21" s="1653"/>
      <c r="D21" s="1653"/>
      <c r="E21" s="1653"/>
      <c r="F21" s="1654"/>
      <c r="G21" s="1659" t="s">
        <v>304</v>
      </c>
      <c r="H21" s="1660"/>
      <c r="I21" s="1660"/>
      <c r="J21" s="1661"/>
      <c r="K21" s="1610" t="s">
        <v>305</v>
      </c>
      <c r="L21" s="1611"/>
      <c r="M21" s="1612"/>
      <c r="N21" s="1665">
        <f>'[2]（最新）アセスメントシート'!J10</f>
        <v>0</v>
      </c>
      <c r="O21" s="1580"/>
      <c r="P21" s="1580"/>
      <c r="Q21" s="1580"/>
      <c r="R21" s="1580"/>
      <c r="S21" s="1580"/>
      <c r="T21" s="1580"/>
      <c r="U21" s="1580"/>
      <c r="V21" s="1580"/>
      <c r="W21" s="1580"/>
      <c r="X21" s="1580"/>
      <c r="Y21" s="1580"/>
      <c r="Z21" s="1580"/>
      <c r="AA21" s="1580"/>
      <c r="AB21" s="1580"/>
      <c r="AC21" s="1580"/>
      <c r="AD21" s="1580"/>
      <c r="AE21" s="1580"/>
      <c r="AF21" s="1583"/>
    </row>
    <row r="22" spans="1:37" ht="14.25" customHeight="1" x14ac:dyDescent="0.15">
      <c r="A22" s="1636"/>
      <c r="B22" s="1655"/>
      <c r="C22" s="1656"/>
      <c r="D22" s="1656"/>
      <c r="E22" s="1656"/>
      <c r="F22" s="1657"/>
      <c r="G22" s="1662"/>
      <c r="H22" s="1663"/>
      <c r="I22" s="1663"/>
      <c r="J22" s="1664"/>
      <c r="K22" s="1610" t="s">
        <v>306</v>
      </c>
      <c r="L22" s="1611"/>
      <c r="M22" s="1612"/>
      <c r="N22" s="1581">
        <f>'[2]（最新）アセスメントシート'!V10</f>
        <v>0</v>
      </c>
      <c r="O22" s="1580"/>
      <c r="P22" s="1580"/>
      <c r="Q22" s="1580"/>
      <c r="R22" s="1580"/>
      <c r="S22" s="1580"/>
      <c r="T22" s="1580"/>
      <c r="U22" s="1580" t="s">
        <v>428</v>
      </c>
      <c r="V22" s="1580"/>
      <c r="W22" s="1580"/>
      <c r="X22" s="1582">
        <f>'[2]（最新）アセスメントシート'!AC10</f>
        <v>0</v>
      </c>
      <c r="Y22" s="1580"/>
      <c r="Z22" s="1580"/>
      <c r="AA22" s="1580"/>
      <c r="AB22" s="1580"/>
      <c r="AC22" s="1580"/>
      <c r="AD22" s="1580"/>
      <c r="AE22" s="1580"/>
      <c r="AF22" s="1583"/>
    </row>
    <row r="23" spans="1:37" ht="14.25" customHeight="1" x14ac:dyDescent="0.15">
      <c r="A23" s="1636"/>
      <c r="B23" s="1655"/>
      <c r="C23" s="1656"/>
      <c r="D23" s="1656"/>
      <c r="E23" s="1656"/>
      <c r="F23" s="1657"/>
      <c r="G23" s="1666" t="s">
        <v>307</v>
      </c>
      <c r="H23" s="1667"/>
      <c r="I23" s="1667"/>
      <c r="J23" s="1668"/>
      <c r="K23" s="1672" t="s">
        <v>308</v>
      </c>
      <c r="L23" s="1673"/>
      <c r="M23" s="1673"/>
      <c r="N23" s="1673"/>
      <c r="O23" s="1673"/>
      <c r="P23" s="1673"/>
      <c r="Q23" s="1673"/>
      <c r="R23" s="1673"/>
      <c r="S23" s="1673"/>
      <c r="T23" s="1673"/>
      <c r="U23" s="1673"/>
      <c r="V23" s="1673"/>
      <c r="W23" s="1673"/>
      <c r="X23" s="1673"/>
      <c r="Y23" s="1673"/>
      <c r="Z23" s="1673"/>
      <c r="AA23" s="1673"/>
      <c r="AB23" s="1673"/>
      <c r="AC23" s="1673"/>
      <c r="AD23" s="1673"/>
      <c r="AE23" s="1673"/>
      <c r="AF23" s="1674"/>
    </row>
    <row r="24" spans="1:37" ht="14.25" customHeight="1" x14ac:dyDescent="0.15">
      <c r="A24" s="1636"/>
      <c r="B24" s="1621"/>
      <c r="C24" s="1622"/>
      <c r="D24" s="1622"/>
      <c r="E24" s="1622"/>
      <c r="F24" s="1658"/>
      <c r="G24" s="1669"/>
      <c r="H24" s="1670"/>
      <c r="I24" s="1670"/>
      <c r="J24" s="1671"/>
      <c r="K24" s="1675" t="s">
        <v>309</v>
      </c>
      <c r="L24" s="1676"/>
      <c r="M24" s="1676"/>
      <c r="N24" s="1676"/>
      <c r="O24" s="1676"/>
      <c r="P24" s="1676"/>
      <c r="Q24" s="1676"/>
      <c r="R24" s="1676"/>
      <c r="S24" s="1676"/>
      <c r="T24" s="1676"/>
      <c r="U24" s="1676"/>
      <c r="V24" s="1676"/>
      <c r="W24" s="1676"/>
      <c r="X24" s="1676"/>
      <c r="Y24" s="1676"/>
      <c r="Z24" s="1676"/>
      <c r="AA24" s="1676"/>
      <c r="AB24" s="1676"/>
      <c r="AC24" s="1676"/>
      <c r="AD24" s="1676"/>
      <c r="AE24" s="1676"/>
      <c r="AF24" s="1677"/>
    </row>
    <row r="25" spans="1:37" ht="21.75" customHeight="1" x14ac:dyDescent="0.15">
      <c r="A25" s="1636"/>
      <c r="B25" s="1678" t="s">
        <v>310</v>
      </c>
      <c r="C25" s="1679"/>
      <c r="D25" s="1679"/>
      <c r="E25" s="1679"/>
      <c r="F25" s="1680"/>
      <c r="G25" s="1692" t="s">
        <v>311</v>
      </c>
      <c r="H25" s="1693"/>
      <c r="I25" s="1693"/>
      <c r="J25" s="1693"/>
      <c r="K25" s="1693"/>
      <c r="L25" s="1694"/>
      <c r="M25" s="1665" t="s">
        <v>312</v>
      </c>
      <c r="N25" s="1580"/>
      <c r="O25" s="1580"/>
      <c r="P25" s="1580"/>
      <c r="Q25" s="1580"/>
      <c r="R25" s="1580"/>
      <c r="S25" s="1580"/>
      <c r="T25" s="1580"/>
      <c r="U25" s="1695"/>
      <c r="V25" s="1696" t="s">
        <v>313</v>
      </c>
      <c r="W25" s="1697"/>
      <c r="X25" s="1697"/>
      <c r="Y25" s="1697"/>
      <c r="Z25" s="1698"/>
      <c r="AA25" s="1699">
        <v>39242011</v>
      </c>
      <c r="AB25" s="1697"/>
      <c r="AC25" s="1697"/>
      <c r="AD25" s="1697"/>
      <c r="AE25" s="1697"/>
      <c r="AF25" s="1700"/>
      <c r="AJ25" s="73"/>
      <c r="AK25" s="52"/>
    </row>
    <row r="26" spans="1:37" ht="21.75" customHeight="1" x14ac:dyDescent="0.15">
      <c r="A26" s="1636"/>
      <c r="B26" s="1681"/>
      <c r="C26" s="1682"/>
      <c r="D26" s="1682"/>
      <c r="E26" s="1682"/>
      <c r="F26" s="1683"/>
      <c r="G26" s="1692" t="s">
        <v>314</v>
      </c>
      <c r="H26" s="1693"/>
      <c r="I26" s="1693"/>
      <c r="J26" s="1693"/>
      <c r="K26" s="1693"/>
      <c r="L26" s="1694"/>
      <c r="M26" s="1665" t="s">
        <v>315</v>
      </c>
      <c r="N26" s="1698"/>
      <c r="O26" s="80"/>
      <c r="P26" s="80"/>
      <c r="Q26" s="80"/>
      <c r="R26" s="80"/>
      <c r="S26" s="80"/>
      <c r="T26" s="80"/>
      <c r="U26" s="80"/>
      <c r="V26" s="1665" t="s">
        <v>316</v>
      </c>
      <c r="W26" s="1697"/>
      <c r="X26" s="1698"/>
      <c r="Y26" s="1701"/>
      <c r="Z26" s="1702"/>
      <c r="AA26" s="1702"/>
      <c r="AB26" s="1702"/>
      <c r="AC26" s="1702"/>
      <c r="AD26" s="1702"/>
      <c r="AE26" s="1702"/>
      <c r="AF26" s="1703"/>
      <c r="AJ26" s="73"/>
      <c r="AK26" s="52"/>
    </row>
    <row r="27" spans="1:37" s="36" customFormat="1" ht="28.5" customHeight="1" thickBot="1" x14ac:dyDescent="0.2">
      <c r="A27" s="1636"/>
      <c r="B27" s="1793" t="s">
        <v>317</v>
      </c>
      <c r="C27" s="1794"/>
      <c r="D27" s="1794"/>
      <c r="E27" s="1794"/>
      <c r="F27" s="1795"/>
      <c r="G27" s="1796" t="s">
        <v>318</v>
      </c>
      <c r="H27" s="1797"/>
      <c r="I27" s="1797"/>
      <c r="J27" s="1797"/>
      <c r="K27" s="1797"/>
      <c r="L27" s="1797"/>
      <c r="M27" s="1797"/>
      <c r="N27" s="1797"/>
      <c r="O27" s="1797"/>
      <c r="P27" s="1797"/>
      <c r="Q27" s="1797"/>
      <c r="R27" s="1797"/>
      <c r="S27" s="1797"/>
      <c r="T27" s="1797"/>
      <c r="U27" s="1797"/>
      <c r="V27" s="1797"/>
      <c r="W27" s="1797"/>
      <c r="X27" s="1797"/>
      <c r="Y27" s="1797"/>
      <c r="Z27" s="1797"/>
      <c r="AA27" s="1797"/>
      <c r="AB27" s="1797"/>
      <c r="AC27" s="1797"/>
      <c r="AD27" s="1797"/>
      <c r="AE27" s="1797"/>
      <c r="AF27" s="1798"/>
      <c r="AG27" s="34"/>
      <c r="AH27" s="34"/>
      <c r="AI27" s="34"/>
      <c r="AJ27" s="81"/>
      <c r="AK27" s="82"/>
    </row>
    <row r="28" spans="1:37" ht="3" customHeight="1" thickBot="1" x14ac:dyDescent="0.2">
      <c r="A28" s="83"/>
      <c r="B28" s="84"/>
      <c r="C28" s="84"/>
      <c r="D28" s="84"/>
      <c r="E28" s="84"/>
      <c r="F28" s="84"/>
      <c r="G28" s="85"/>
      <c r="H28" s="85"/>
      <c r="I28" s="85"/>
      <c r="J28" s="85"/>
      <c r="K28" s="85"/>
      <c r="L28" s="85"/>
      <c r="M28" s="85"/>
      <c r="N28" s="85"/>
      <c r="O28" s="85"/>
      <c r="P28" s="85"/>
      <c r="Q28" s="85"/>
      <c r="R28" s="85"/>
      <c r="S28" s="85"/>
      <c r="T28" s="85"/>
      <c r="U28" s="85"/>
      <c r="V28" s="85"/>
      <c r="W28" s="85"/>
      <c r="X28" s="85"/>
      <c r="Y28" s="85"/>
      <c r="Z28" s="85"/>
      <c r="AA28" s="85"/>
      <c r="AB28" s="85"/>
      <c r="AC28" s="85"/>
      <c r="AD28" s="85"/>
      <c r="AE28" s="50"/>
      <c r="AF28" s="50"/>
      <c r="AJ28" s="71"/>
      <c r="AK28" s="64"/>
    </row>
    <row r="29" spans="1:37" ht="15.75" customHeight="1" x14ac:dyDescent="0.15">
      <c r="A29" s="1704" t="s">
        <v>319</v>
      </c>
      <c r="B29" s="1595" t="s">
        <v>320</v>
      </c>
      <c r="C29" s="1595"/>
      <c r="D29" s="1595"/>
      <c r="E29" s="1595"/>
      <c r="F29" s="1596"/>
      <c r="G29" s="86" t="s">
        <v>321</v>
      </c>
      <c r="H29" s="71"/>
      <c r="I29" s="71"/>
      <c r="J29" s="71"/>
      <c r="K29" s="71"/>
      <c r="L29" s="71"/>
      <c r="M29" s="64"/>
      <c r="N29" s="87"/>
      <c r="O29" s="88" t="s">
        <v>322</v>
      </c>
      <c r="P29" s="64"/>
      <c r="Q29" s="64" t="s">
        <v>323</v>
      </c>
      <c r="R29" s="64"/>
      <c r="S29" s="64"/>
      <c r="T29" s="64"/>
      <c r="U29" s="75"/>
      <c r="V29" s="64"/>
      <c r="W29" s="64"/>
      <c r="X29" s="64"/>
      <c r="Y29" s="64"/>
      <c r="Z29" s="64"/>
      <c r="AA29" s="64"/>
      <c r="AB29" s="89"/>
      <c r="AC29" s="89"/>
      <c r="AD29" s="90"/>
      <c r="AE29" s="52"/>
      <c r="AF29" s="91"/>
      <c r="AJ29" s="71"/>
      <c r="AK29" s="64"/>
    </row>
    <row r="30" spans="1:37" ht="13.5" customHeight="1" x14ac:dyDescent="0.15">
      <c r="A30" s="1705"/>
      <c r="B30" s="1598"/>
      <c r="C30" s="1598"/>
      <c r="D30" s="1598"/>
      <c r="E30" s="1598"/>
      <c r="F30" s="1599"/>
      <c r="G30" s="1707" t="s">
        <v>324</v>
      </c>
      <c r="H30" s="1708"/>
      <c r="I30" s="1708"/>
      <c r="J30" s="1708"/>
      <c r="K30" s="1708"/>
      <c r="L30" s="1708"/>
      <c r="M30" s="1708"/>
      <c r="N30" s="1709"/>
      <c r="O30" s="1713" t="s">
        <v>302</v>
      </c>
      <c r="P30" s="1714"/>
      <c r="Q30" s="1714"/>
      <c r="R30" s="1714"/>
      <c r="S30" s="1714"/>
      <c r="T30" s="1714"/>
      <c r="U30" s="1714"/>
      <c r="V30" s="1714"/>
      <c r="W30" s="1714"/>
      <c r="X30" s="1714"/>
      <c r="Y30" s="1714"/>
      <c r="Z30" s="1714"/>
      <c r="AA30" s="1714"/>
      <c r="AB30" s="1714"/>
      <c r="AC30" s="1714"/>
      <c r="AD30" s="1714"/>
      <c r="AE30" s="1714"/>
      <c r="AF30" s="1715"/>
      <c r="AJ30" s="71"/>
      <c r="AK30" s="64"/>
    </row>
    <row r="31" spans="1:37" ht="16.5" customHeight="1" x14ac:dyDescent="0.25">
      <c r="A31" s="1705"/>
      <c r="B31" s="1601"/>
      <c r="C31" s="1601"/>
      <c r="D31" s="1601"/>
      <c r="E31" s="1601"/>
      <c r="F31" s="1602"/>
      <c r="G31" s="1710"/>
      <c r="H31" s="1711"/>
      <c r="I31" s="1711"/>
      <c r="J31" s="1711"/>
      <c r="K31" s="1711"/>
      <c r="L31" s="1711"/>
      <c r="M31" s="1711"/>
      <c r="N31" s="1712"/>
      <c r="O31" s="92"/>
      <c r="P31" s="93"/>
      <c r="Q31" s="79"/>
      <c r="R31" s="38"/>
      <c r="S31" s="38"/>
      <c r="T31" s="38" t="s">
        <v>291</v>
      </c>
      <c r="V31" s="38"/>
      <c r="W31" s="38"/>
      <c r="X31" s="1716" t="s">
        <v>325</v>
      </c>
      <c r="Y31" s="1716"/>
      <c r="Z31" s="1716"/>
      <c r="AA31" s="1716"/>
      <c r="AB31" s="1716"/>
      <c r="AC31" s="1716"/>
      <c r="AD31" s="1716"/>
      <c r="AE31" s="1716"/>
      <c r="AF31" s="1717"/>
      <c r="AJ31" s="71"/>
      <c r="AK31" s="64"/>
    </row>
    <row r="32" spans="1:37" ht="16.5" customHeight="1" x14ac:dyDescent="0.15">
      <c r="A32" s="1705"/>
      <c r="B32" s="1718" t="s">
        <v>326</v>
      </c>
      <c r="C32" s="1718"/>
      <c r="D32" s="1718"/>
      <c r="E32" s="1718"/>
      <c r="F32" s="1719"/>
      <c r="G32" s="1720" t="s">
        <v>327</v>
      </c>
      <c r="H32" s="1721"/>
      <c r="I32" s="1724" t="s">
        <v>328</v>
      </c>
      <c r="J32" s="1724"/>
      <c r="K32" s="1724"/>
      <c r="L32" s="1724"/>
      <c r="M32" s="1724"/>
      <c r="N32" s="1725"/>
      <c r="O32" s="94" t="s">
        <v>287</v>
      </c>
      <c r="P32" s="95"/>
      <c r="Q32" s="95"/>
      <c r="R32" s="95"/>
      <c r="S32" s="96"/>
      <c r="T32" s="53" t="s">
        <v>329</v>
      </c>
      <c r="U32" s="97"/>
      <c r="V32" s="53"/>
      <c r="W32" s="53"/>
      <c r="X32" s="53"/>
      <c r="Y32" s="53"/>
      <c r="AD32" s="98"/>
      <c r="AF32" s="62"/>
      <c r="AJ32" s="73"/>
      <c r="AK32" s="64"/>
    </row>
    <row r="33" spans="1:37" ht="27.75" customHeight="1" x14ac:dyDescent="0.15">
      <c r="A33" s="1705"/>
      <c r="B33" s="1784" t="s">
        <v>330</v>
      </c>
      <c r="C33" s="1784"/>
      <c r="D33" s="1784"/>
      <c r="E33" s="1784"/>
      <c r="F33" s="1785"/>
      <c r="G33" s="1722"/>
      <c r="H33" s="1723"/>
      <c r="I33" s="1601" t="s">
        <v>295</v>
      </c>
      <c r="J33" s="1601"/>
      <c r="K33" s="1601"/>
      <c r="L33" s="1601"/>
      <c r="M33" s="1601"/>
      <c r="N33" s="1602"/>
      <c r="O33" s="1786" t="s">
        <v>288</v>
      </c>
      <c r="P33" s="1787"/>
      <c r="Q33" s="1787"/>
      <c r="R33" s="1787"/>
      <c r="S33" s="1788"/>
      <c r="T33" s="1621" t="s">
        <v>331</v>
      </c>
      <c r="U33" s="1622"/>
      <c r="V33" s="1622"/>
      <c r="W33" s="1622"/>
      <c r="X33" s="1622"/>
      <c r="Y33" s="1622"/>
      <c r="Z33" s="1622"/>
      <c r="AA33" s="1622"/>
      <c r="AB33" s="1622"/>
      <c r="AC33" s="1622"/>
      <c r="AD33" s="1622"/>
      <c r="AE33" s="1622"/>
      <c r="AF33" s="1789"/>
      <c r="AJ33" s="71"/>
      <c r="AK33" s="64"/>
    </row>
    <row r="34" spans="1:37" ht="18" customHeight="1" x14ac:dyDescent="0.15">
      <c r="A34" s="1705"/>
      <c r="B34" s="1609" t="s">
        <v>332</v>
      </c>
      <c r="C34" s="1609"/>
      <c r="D34" s="1609"/>
      <c r="E34" s="1609"/>
      <c r="F34" s="1685"/>
      <c r="G34" s="1790" t="s">
        <v>333</v>
      </c>
      <c r="H34" s="1791"/>
      <c r="I34" s="1791"/>
      <c r="J34" s="1791"/>
      <c r="K34" s="1791"/>
      <c r="L34" s="1791"/>
      <c r="M34" s="1791"/>
      <c r="N34" s="1791"/>
      <c r="O34" s="1791"/>
      <c r="P34" s="1791"/>
      <c r="Q34" s="1791"/>
      <c r="R34" s="1791"/>
      <c r="S34" s="1791"/>
      <c r="T34" s="1791"/>
      <c r="U34" s="1791"/>
      <c r="V34" s="1791"/>
      <c r="W34" s="1791"/>
      <c r="X34" s="1791"/>
      <c r="Y34" s="1791"/>
      <c r="Z34" s="1791"/>
      <c r="AA34" s="1791"/>
      <c r="AB34" s="1791"/>
      <c r="AC34" s="1791"/>
      <c r="AD34" s="1791"/>
      <c r="AE34" s="1791"/>
      <c r="AF34" s="1792"/>
      <c r="AG34" s="52"/>
      <c r="AH34" s="52"/>
      <c r="AI34" s="52"/>
      <c r="AJ34" s="73"/>
      <c r="AK34" s="52"/>
    </row>
    <row r="35" spans="1:37" ht="27.75" customHeight="1" thickBot="1" x14ac:dyDescent="0.2">
      <c r="A35" s="1706"/>
      <c r="B35" s="1734" t="s">
        <v>334</v>
      </c>
      <c r="C35" s="1735"/>
      <c r="D35" s="1735"/>
      <c r="E35" s="1735"/>
      <c r="F35" s="1736"/>
      <c r="G35" s="1781"/>
      <c r="H35" s="1782"/>
      <c r="I35" s="1782"/>
      <c r="J35" s="1782"/>
      <c r="K35" s="1782"/>
      <c r="L35" s="1782"/>
      <c r="M35" s="1782"/>
      <c r="N35" s="1782"/>
      <c r="O35" s="1782"/>
      <c r="P35" s="1782"/>
      <c r="Q35" s="1782"/>
      <c r="R35" s="1782"/>
      <c r="S35" s="1782"/>
      <c r="T35" s="1782"/>
      <c r="U35" s="1782"/>
      <c r="V35" s="1782"/>
      <c r="W35" s="1782"/>
      <c r="X35" s="1782"/>
      <c r="Y35" s="1782"/>
      <c r="Z35" s="1782"/>
      <c r="AA35" s="1782"/>
      <c r="AB35" s="1782"/>
      <c r="AC35" s="1782"/>
      <c r="AD35" s="1782"/>
      <c r="AE35" s="1782"/>
      <c r="AF35" s="1783"/>
      <c r="AG35" s="52"/>
      <c r="AH35" s="52"/>
      <c r="AI35" s="52"/>
      <c r="AJ35" s="73"/>
      <c r="AK35" s="52"/>
    </row>
    <row r="36" spans="1:37" ht="3" customHeight="1" thickBot="1" x14ac:dyDescent="0.2">
      <c r="A36" s="99"/>
      <c r="B36" s="53"/>
      <c r="C36" s="53"/>
      <c r="D36" s="53"/>
      <c r="E36" s="53"/>
      <c r="F36" s="53"/>
      <c r="G36" s="100"/>
      <c r="H36" s="100"/>
      <c r="I36" s="100"/>
      <c r="J36" s="100"/>
      <c r="K36" s="100"/>
      <c r="L36" s="100"/>
      <c r="M36" s="67"/>
      <c r="N36" s="67"/>
      <c r="O36" s="67"/>
      <c r="P36" s="67"/>
      <c r="Q36" s="67"/>
      <c r="R36" s="67"/>
      <c r="S36" s="67"/>
      <c r="T36" s="67"/>
      <c r="U36" s="67"/>
      <c r="V36" s="101"/>
      <c r="W36" s="102"/>
      <c r="X36" s="102"/>
      <c r="Y36" s="102"/>
      <c r="Z36" s="102"/>
      <c r="AA36" s="102"/>
      <c r="AB36" s="102"/>
      <c r="AC36" s="102"/>
      <c r="AD36" s="102"/>
      <c r="AE36" s="67"/>
      <c r="AF36" s="67"/>
    </row>
    <row r="37" spans="1:37" ht="13.5" customHeight="1" x14ac:dyDescent="0.15">
      <c r="A37" s="1726" t="s">
        <v>335</v>
      </c>
      <c r="B37" s="1595" t="s">
        <v>336</v>
      </c>
      <c r="C37" s="1595"/>
      <c r="D37" s="1595"/>
      <c r="E37" s="1595"/>
      <c r="F37" s="1595"/>
      <c r="G37" s="1730" t="s">
        <v>222</v>
      </c>
      <c r="H37" s="1731"/>
      <c r="I37" s="1731"/>
      <c r="J37" s="1731"/>
      <c r="K37" s="1731"/>
      <c r="L37" s="1731"/>
      <c r="M37" s="1731"/>
      <c r="N37" s="1731"/>
      <c r="O37" s="1731"/>
      <c r="P37" s="1732"/>
      <c r="Q37" s="103" t="s">
        <v>337</v>
      </c>
      <c r="R37" s="104"/>
      <c r="S37" s="104"/>
      <c r="T37" s="104"/>
      <c r="U37" s="104"/>
      <c r="V37" s="104"/>
      <c r="W37" s="104"/>
      <c r="X37" s="104"/>
      <c r="Y37" s="104"/>
      <c r="Z37" s="104"/>
      <c r="AA37" s="104"/>
      <c r="AB37" s="104"/>
      <c r="AC37" s="104"/>
      <c r="AD37" s="104"/>
      <c r="AE37" s="104"/>
      <c r="AF37" s="105"/>
      <c r="AG37" s="52"/>
      <c r="AH37" s="52"/>
      <c r="AI37" s="52"/>
      <c r="AJ37" s="73"/>
      <c r="AK37" s="52"/>
    </row>
    <row r="38" spans="1:37" ht="18" customHeight="1" x14ac:dyDescent="0.15">
      <c r="A38" s="1727"/>
      <c r="B38" s="1588"/>
      <c r="C38" s="1588"/>
      <c r="D38" s="1588"/>
      <c r="E38" s="1588"/>
      <c r="F38" s="1588"/>
      <c r="G38" s="1621"/>
      <c r="H38" s="1622"/>
      <c r="I38" s="1622"/>
      <c r="J38" s="1622"/>
      <c r="K38" s="1622"/>
      <c r="L38" s="1622"/>
      <c r="M38" s="1622"/>
      <c r="N38" s="1622"/>
      <c r="O38" s="1622"/>
      <c r="P38" s="1658"/>
      <c r="Q38" s="53" t="s">
        <v>338</v>
      </c>
      <c r="R38" s="106"/>
      <c r="S38" s="53"/>
      <c r="T38" s="53"/>
      <c r="U38" s="53"/>
      <c r="V38" s="53"/>
      <c r="W38" s="53"/>
      <c r="X38" s="53"/>
      <c r="Y38" s="53"/>
      <c r="Z38" s="53"/>
      <c r="AA38" s="53"/>
      <c r="AB38" s="53"/>
      <c r="AC38" s="53"/>
      <c r="AD38" s="107"/>
      <c r="AF38" s="78"/>
      <c r="AK38" s="53"/>
    </row>
    <row r="39" spans="1:37" ht="30" customHeight="1" x14ac:dyDescent="0.15">
      <c r="A39" s="1728"/>
      <c r="B39" s="1733" t="s">
        <v>339</v>
      </c>
      <c r="C39" s="1609"/>
      <c r="D39" s="1609"/>
      <c r="E39" s="1609"/>
      <c r="F39" s="1609"/>
      <c r="G39" s="1608" t="s">
        <v>340</v>
      </c>
      <c r="H39" s="1609"/>
      <c r="I39" s="1609"/>
      <c r="J39" s="1609"/>
      <c r="K39" s="1609"/>
      <c r="L39" s="1609"/>
      <c r="M39" s="1609"/>
      <c r="N39" s="1609"/>
      <c r="O39" s="1609"/>
      <c r="P39" s="1685"/>
      <c r="Q39" s="108" t="s">
        <v>291</v>
      </c>
      <c r="R39" s="109"/>
      <c r="S39" s="109"/>
      <c r="T39" s="109"/>
      <c r="U39" s="109"/>
      <c r="V39" s="109"/>
      <c r="W39" s="109"/>
      <c r="X39" s="109"/>
      <c r="Y39" s="109"/>
      <c r="Z39" s="109"/>
      <c r="AA39" s="109"/>
      <c r="AB39" s="109"/>
      <c r="AC39" s="109"/>
      <c r="AD39" s="110"/>
      <c r="AE39" s="38"/>
      <c r="AF39" s="111"/>
    </row>
    <row r="40" spans="1:37" ht="14.25" customHeight="1" x14ac:dyDescent="0.15">
      <c r="A40" s="1728"/>
      <c r="B40" s="112" t="s">
        <v>341</v>
      </c>
      <c r="C40" s="74"/>
      <c r="D40" s="74"/>
      <c r="E40" s="74"/>
      <c r="F40" s="74"/>
      <c r="G40" s="113"/>
      <c r="H40" s="113"/>
      <c r="I40" s="113"/>
      <c r="J40" s="113"/>
      <c r="K40" s="113"/>
      <c r="L40" s="113"/>
      <c r="M40" s="113"/>
      <c r="N40" s="113"/>
      <c r="O40" s="61"/>
      <c r="P40" s="114"/>
      <c r="R40" s="53"/>
      <c r="S40" s="53"/>
      <c r="T40" s="53"/>
      <c r="U40" s="53"/>
      <c r="V40" s="53"/>
      <c r="W40" s="53"/>
      <c r="X40" s="53"/>
      <c r="Y40" s="53"/>
      <c r="Z40" s="53"/>
      <c r="AA40" s="53"/>
      <c r="AB40" s="53"/>
      <c r="AC40" s="53"/>
      <c r="AD40" s="107"/>
      <c r="AF40" s="78"/>
      <c r="AJ40" s="73"/>
    </row>
    <row r="41" spans="1:37" ht="14.25" customHeight="1" x14ac:dyDescent="0.15">
      <c r="A41" s="1728"/>
      <c r="B41" s="115" t="s">
        <v>342</v>
      </c>
      <c r="C41" s="63"/>
      <c r="D41" s="63"/>
      <c r="E41" s="63"/>
      <c r="F41" s="63"/>
      <c r="G41" s="116"/>
      <c r="H41" s="116"/>
      <c r="I41" s="116"/>
      <c r="J41" s="116"/>
      <c r="K41" s="116"/>
      <c r="L41" s="116"/>
      <c r="M41" s="116"/>
      <c r="N41" s="116"/>
      <c r="O41" s="38"/>
      <c r="P41" s="109"/>
      <c r="R41" s="53"/>
      <c r="S41" s="53"/>
      <c r="T41" s="53"/>
      <c r="U41" s="53"/>
      <c r="V41" s="53"/>
      <c r="W41" s="53"/>
      <c r="X41" s="53"/>
      <c r="Y41" s="53"/>
      <c r="Z41" s="53"/>
      <c r="AA41" s="53"/>
      <c r="AB41" s="53"/>
      <c r="AC41" s="53"/>
      <c r="AD41" s="107"/>
      <c r="AF41" s="78"/>
    </row>
    <row r="42" spans="1:37" s="117" customFormat="1" ht="30" customHeight="1" thickBot="1" x14ac:dyDescent="0.2">
      <c r="A42" s="1729"/>
      <c r="B42" s="1734" t="s">
        <v>334</v>
      </c>
      <c r="C42" s="1735"/>
      <c r="D42" s="1735"/>
      <c r="E42" s="1735"/>
      <c r="F42" s="1736"/>
      <c r="G42" s="1737" t="s">
        <v>343</v>
      </c>
      <c r="H42" s="1738"/>
      <c r="I42" s="1738"/>
      <c r="J42" s="1738"/>
      <c r="K42" s="1738"/>
      <c r="L42" s="1738"/>
      <c r="M42" s="1738"/>
      <c r="N42" s="1738"/>
      <c r="O42" s="1738"/>
      <c r="P42" s="1738"/>
      <c r="Q42" s="1738"/>
      <c r="R42" s="1738"/>
      <c r="S42" s="1738"/>
      <c r="T42" s="1738"/>
      <c r="U42" s="1738"/>
      <c r="V42" s="1738"/>
      <c r="W42" s="1738"/>
      <c r="X42" s="1738"/>
      <c r="Y42" s="1738"/>
      <c r="Z42" s="1738"/>
      <c r="AA42" s="1738"/>
      <c r="AB42" s="1738"/>
      <c r="AC42" s="1738"/>
      <c r="AD42" s="1738"/>
      <c r="AE42" s="1738"/>
      <c r="AF42" s="1739"/>
      <c r="AJ42" s="118"/>
    </row>
    <row r="43" spans="1:37" s="36" customFormat="1" ht="3" customHeight="1" thickBot="1" x14ac:dyDescent="0.45">
      <c r="B43" s="119"/>
      <c r="C43" s="119"/>
      <c r="D43" s="119"/>
      <c r="E43" s="119"/>
      <c r="F43" s="119"/>
      <c r="G43" s="76"/>
      <c r="H43" s="76"/>
      <c r="I43" s="76"/>
      <c r="J43" s="76"/>
      <c r="K43" s="76"/>
      <c r="L43" s="76"/>
      <c r="M43" s="76"/>
      <c r="N43" s="76"/>
      <c r="O43" s="76"/>
      <c r="P43" s="76"/>
      <c r="Q43" s="76"/>
      <c r="R43" s="76"/>
      <c r="S43" s="76"/>
      <c r="T43" s="76"/>
      <c r="U43" s="76"/>
      <c r="V43" s="71"/>
      <c r="W43" s="76"/>
      <c r="X43" s="76"/>
      <c r="Y43" s="76"/>
      <c r="Z43" s="76"/>
      <c r="AA43" s="76"/>
      <c r="AB43" s="76"/>
      <c r="AC43" s="76"/>
      <c r="AD43" s="76"/>
    </row>
    <row r="44" spans="1:37" ht="11.1" customHeight="1" x14ac:dyDescent="0.15">
      <c r="A44" s="120"/>
      <c r="B44" s="121"/>
      <c r="C44" s="121"/>
      <c r="D44" s="121"/>
      <c r="E44" s="121"/>
      <c r="F44" s="122"/>
      <c r="G44" s="1766" t="s">
        <v>344</v>
      </c>
      <c r="H44" s="1767"/>
      <c r="I44" s="1767"/>
      <c r="J44" s="1767"/>
      <c r="K44" s="1767"/>
      <c r="L44" s="1767"/>
      <c r="M44" s="1767"/>
      <c r="N44" s="1767"/>
      <c r="O44" s="1767"/>
      <c r="P44" s="1767"/>
      <c r="Q44" s="1767"/>
      <c r="R44" s="1767"/>
      <c r="S44" s="1767"/>
      <c r="T44" s="1767"/>
      <c r="U44" s="1767"/>
      <c r="V44" s="1767"/>
      <c r="W44" s="1767"/>
      <c r="X44" s="1767"/>
      <c r="Y44" s="1767"/>
      <c r="Z44" s="1767"/>
      <c r="AA44" s="1767"/>
      <c r="AB44" s="1767"/>
      <c r="AC44" s="1767"/>
      <c r="AD44" s="1767"/>
      <c r="AE44" s="1767"/>
      <c r="AF44" s="1768"/>
      <c r="AG44" s="120"/>
    </row>
    <row r="45" spans="1:37" ht="11.1" customHeight="1" x14ac:dyDescent="0.15">
      <c r="A45" s="123" t="s">
        <v>345</v>
      </c>
      <c r="B45" s="1772" t="s">
        <v>346</v>
      </c>
      <c r="C45" s="1773"/>
      <c r="D45" s="1773"/>
      <c r="E45" s="1774"/>
      <c r="F45" s="122"/>
      <c r="G45" s="1769"/>
      <c r="H45" s="1770"/>
      <c r="I45" s="1770"/>
      <c r="J45" s="1770"/>
      <c r="K45" s="1770"/>
      <c r="L45" s="1770"/>
      <c r="M45" s="1770"/>
      <c r="N45" s="1770"/>
      <c r="O45" s="1770"/>
      <c r="P45" s="1770"/>
      <c r="Q45" s="1770"/>
      <c r="R45" s="1770"/>
      <c r="S45" s="1770"/>
      <c r="T45" s="1770"/>
      <c r="U45" s="1770"/>
      <c r="V45" s="1770"/>
      <c r="W45" s="1770"/>
      <c r="X45" s="1770"/>
      <c r="Y45" s="1770"/>
      <c r="Z45" s="1770"/>
      <c r="AA45" s="1770"/>
      <c r="AB45" s="1770"/>
      <c r="AC45" s="1770"/>
      <c r="AD45" s="1770"/>
      <c r="AE45" s="1770"/>
      <c r="AF45" s="1771"/>
      <c r="AG45" s="120"/>
    </row>
    <row r="46" spans="1:37" ht="11.1" customHeight="1" x14ac:dyDescent="0.15">
      <c r="A46" s="1740" t="s">
        <v>347</v>
      </c>
      <c r="B46" s="1743" t="s">
        <v>348</v>
      </c>
      <c r="C46" s="1745" t="s">
        <v>349</v>
      </c>
      <c r="D46" s="1746"/>
      <c r="E46" s="1747"/>
      <c r="F46" s="122"/>
      <c r="G46" s="1769"/>
      <c r="H46" s="1770"/>
      <c r="I46" s="1770"/>
      <c r="J46" s="1770"/>
      <c r="K46" s="1770"/>
      <c r="L46" s="1770"/>
      <c r="M46" s="1770"/>
      <c r="N46" s="1770"/>
      <c r="O46" s="1770"/>
      <c r="P46" s="1770"/>
      <c r="Q46" s="1770"/>
      <c r="R46" s="1770"/>
      <c r="S46" s="1770"/>
      <c r="T46" s="1770"/>
      <c r="U46" s="1770"/>
      <c r="V46" s="1770"/>
      <c r="W46" s="1770"/>
      <c r="X46" s="1770"/>
      <c r="Y46" s="1770"/>
      <c r="Z46" s="1770"/>
      <c r="AA46" s="1770"/>
      <c r="AB46" s="1770"/>
      <c r="AC46" s="1770"/>
      <c r="AD46" s="1770"/>
      <c r="AE46" s="1770"/>
      <c r="AF46" s="1771"/>
      <c r="AG46" s="120"/>
    </row>
    <row r="47" spans="1:37" ht="11.1" customHeight="1" x14ac:dyDescent="0.15">
      <c r="A47" s="1741"/>
      <c r="B47" s="1744"/>
      <c r="C47" s="1748"/>
      <c r="D47" s="1749"/>
      <c r="E47" s="1750"/>
      <c r="F47" s="122"/>
      <c r="G47" s="1769"/>
      <c r="H47" s="1770"/>
      <c r="I47" s="1770"/>
      <c r="J47" s="1770"/>
      <c r="K47" s="1770"/>
      <c r="L47" s="1770"/>
      <c r="M47" s="1770"/>
      <c r="N47" s="1770"/>
      <c r="O47" s="1770"/>
      <c r="P47" s="1770"/>
      <c r="Q47" s="1770"/>
      <c r="R47" s="1770"/>
      <c r="S47" s="1770"/>
      <c r="T47" s="1770"/>
      <c r="U47" s="1770"/>
      <c r="V47" s="1770"/>
      <c r="W47" s="1770"/>
      <c r="X47" s="1770"/>
      <c r="Y47" s="1770"/>
      <c r="Z47" s="1770"/>
      <c r="AA47" s="1770"/>
      <c r="AB47" s="1770"/>
      <c r="AC47" s="1770"/>
      <c r="AD47" s="1770"/>
      <c r="AE47" s="1770"/>
      <c r="AF47" s="1771"/>
      <c r="AG47" s="120"/>
    </row>
    <row r="48" spans="1:37" ht="15.95" customHeight="1" x14ac:dyDescent="0.15">
      <c r="A48" s="1741"/>
      <c r="B48" s="1743" t="s">
        <v>350</v>
      </c>
      <c r="C48" s="1745" t="s">
        <v>351</v>
      </c>
      <c r="D48" s="1746"/>
      <c r="E48" s="1747"/>
      <c r="F48" s="122"/>
      <c r="G48" s="1769"/>
      <c r="H48" s="1770"/>
      <c r="I48" s="1770"/>
      <c r="J48" s="1770"/>
      <c r="K48" s="1770"/>
      <c r="L48" s="1770"/>
      <c r="M48" s="1770"/>
      <c r="N48" s="1770"/>
      <c r="O48" s="1770"/>
      <c r="P48" s="1770"/>
      <c r="Q48" s="1770"/>
      <c r="R48" s="1770"/>
      <c r="S48" s="1770"/>
      <c r="T48" s="1770"/>
      <c r="U48" s="1770"/>
      <c r="V48" s="1770"/>
      <c r="W48" s="1770"/>
      <c r="X48" s="1770"/>
      <c r="Y48" s="1770"/>
      <c r="Z48" s="1770"/>
      <c r="AA48" s="1770"/>
      <c r="AB48" s="1770"/>
      <c r="AC48" s="1770"/>
      <c r="AD48" s="1770"/>
      <c r="AE48" s="1770"/>
      <c r="AF48" s="1771"/>
      <c r="AG48" s="120"/>
    </row>
    <row r="49" spans="1:33" ht="14.1" customHeight="1" x14ac:dyDescent="0.15">
      <c r="A49" s="1741"/>
      <c r="B49" s="1751"/>
      <c r="C49" s="1748"/>
      <c r="D49" s="1749"/>
      <c r="E49" s="1750"/>
      <c r="F49" s="122"/>
      <c r="G49" s="1775" t="s">
        <v>352</v>
      </c>
      <c r="H49" s="1776"/>
      <c r="I49" s="1776"/>
      <c r="J49" s="1776"/>
      <c r="K49" s="1776"/>
      <c r="L49" s="1776"/>
      <c r="M49" s="1776"/>
      <c r="N49" s="1776"/>
      <c r="O49" s="1776"/>
      <c r="P49" s="1776"/>
      <c r="Q49" s="1776"/>
      <c r="R49" s="1776"/>
      <c r="S49" s="1776"/>
      <c r="T49" s="1776"/>
      <c r="U49" s="1776"/>
      <c r="V49" s="1776"/>
      <c r="W49" s="1776"/>
      <c r="X49" s="1776"/>
      <c r="Y49" s="1776"/>
      <c r="Z49" s="1776"/>
      <c r="AA49" s="1776"/>
      <c r="AB49" s="1776"/>
      <c r="AC49" s="1776"/>
      <c r="AD49" s="1776"/>
      <c r="AE49" s="1776"/>
      <c r="AF49" s="1777"/>
      <c r="AG49" s="120"/>
    </row>
    <row r="50" spans="1:33" ht="12" customHeight="1" x14ac:dyDescent="0.15">
      <c r="A50" s="1741"/>
      <c r="B50" s="1752" t="s">
        <v>353</v>
      </c>
      <c r="C50" s="1754" t="s">
        <v>354</v>
      </c>
      <c r="D50" s="1755"/>
      <c r="E50" s="1756"/>
      <c r="F50" s="122"/>
      <c r="G50" s="1778"/>
      <c r="H50" s="1779"/>
      <c r="I50" s="1779"/>
      <c r="J50" s="1779"/>
      <c r="K50" s="1779"/>
      <c r="L50" s="1779"/>
      <c r="M50" s="1779"/>
      <c r="N50" s="1779"/>
      <c r="O50" s="1779"/>
      <c r="P50" s="1779"/>
      <c r="Q50" s="1779"/>
      <c r="R50" s="1779"/>
      <c r="S50" s="1779"/>
      <c r="T50" s="1779"/>
      <c r="U50" s="1779"/>
      <c r="V50" s="1779"/>
      <c r="W50" s="1779"/>
      <c r="X50" s="1779"/>
      <c r="Y50" s="1779"/>
      <c r="Z50" s="1779"/>
      <c r="AA50" s="1779"/>
      <c r="AB50" s="1779"/>
      <c r="AC50" s="1779"/>
      <c r="AD50" s="1779"/>
      <c r="AE50" s="1779"/>
      <c r="AF50" s="1780"/>
      <c r="AG50" s="120"/>
    </row>
    <row r="51" spans="1:33" ht="30.95" customHeight="1" thickBot="1" x14ac:dyDescent="0.2">
      <c r="A51" s="1742"/>
      <c r="B51" s="1753"/>
      <c r="C51" s="1748"/>
      <c r="D51" s="1749"/>
      <c r="E51" s="1750"/>
      <c r="F51" s="124"/>
      <c r="G51" s="1757" t="s">
        <v>355</v>
      </c>
      <c r="H51" s="1758"/>
      <c r="I51" s="1758"/>
      <c r="J51" s="1758"/>
      <c r="K51" s="1758"/>
      <c r="L51" s="1758"/>
      <c r="M51" s="1758"/>
      <c r="N51" s="1758"/>
      <c r="O51" s="1758"/>
      <c r="P51" s="1758"/>
      <c r="Q51" s="1758"/>
      <c r="R51" s="1758"/>
      <c r="S51" s="1758"/>
      <c r="T51" s="1758"/>
      <c r="U51" s="1758"/>
      <c r="V51" s="1758"/>
      <c r="W51" s="1758"/>
      <c r="X51" s="1758"/>
      <c r="Y51" s="1758"/>
      <c r="Z51" s="1758"/>
      <c r="AA51" s="1758"/>
      <c r="AB51" s="1758"/>
      <c r="AC51" s="1758"/>
      <c r="AD51" s="1758"/>
      <c r="AE51" s="1758"/>
      <c r="AF51" s="1759"/>
    </row>
    <row r="52" spans="1:33" ht="16.5" customHeight="1" x14ac:dyDescent="0.2">
      <c r="A52" s="125" t="s">
        <v>356</v>
      </c>
      <c r="B52" s="126"/>
      <c r="C52" s="126"/>
      <c r="D52" s="126"/>
      <c r="E52" s="126"/>
      <c r="F52" s="126"/>
      <c r="G52" s="126"/>
      <c r="H52" s="126"/>
      <c r="I52" s="126"/>
      <c r="J52" s="126"/>
      <c r="K52" s="126"/>
      <c r="L52" s="126"/>
      <c r="M52" s="126"/>
      <c r="N52" s="126"/>
      <c r="O52" s="126"/>
      <c r="P52" s="126"/>
      <c r="Q52" s="126"/>
      <c r="R52" s="126"/>
      <c r="S52" s="126"/>
      <c r="T52" s="126"/>
      <c r="AF52" s="126"/>
    </row>
  </sheetData>
  <mergeCells count="90">
    <mergeCell ref="G51:AF51"/>
    <mergeCell ref="G15:P15"/>
    <mergeCell ref="U17:AF17"/>
    <mergeCell ref="G44:AF48"/>
    <mergeCell ref="B45:E45"/>
    <mergeCell ref="G49:AF50"/>
    <mergeCell ref="B35:F35"/>
    <mergeCell ref="G35:AF35"/>
    <mergeCell ref="B33:F33"/>
    <mergeCell ref="I33:N33"/>
    <mergeCell ref="O33:S33"/>
    <mergeCell ref="T33:AF33"/>
    <mergeCell ref="B34:F34"/>
    <mergeCell ref="G34:AF34"/>
    <mergeCell ref="B27:F27"/>
    <mergeCell ref="G27:AF27"/>
    <mergeCell ref="A46:A51"/>
    <mergeCell ref="B46:B47"/>
    <mergeCell ref="C46:E47"/>
    <mergeCell ref="B48:B49"/>
    <mergeCell ref="C48:E49"/>
    <mergeCell ref="B50:B51"/>
    <mergeCell ref="C50:E51"/>
    <mergeCell ref="A37:A42"/>
    <mergeCell ref="B37:F38"/>
    <mergeCell ref="G37:P38"/>
    <mergeCell ref="B39:F39"/>
    <mergeCell ref="G39:P39"/>
    <mergeCell ref="B42:F42"/>
    <mergeCell ref="G42:AF42"/>
    <mergeCell ref="A29:A35"/>
    <mergeCell ref="B29:F31"/>
    <mergeCell ref="G30:N31"/>
    <mergeCell ref="O30:AF30"/>
    <mergeCell ref="X31:AF31"/>
    <mergeCell ref="B32:F32"/>
    <mergeCell ref="G32:H33"/>
    <mergeCell ref="I32:N32"/>
    <mergeCell ref="G25:L25"/>
    <mergeCell ref="M25:U25"/>
    <mergeCell ref="V25:Z25"/>
    <mergeCell ref="AA25:AF25"/>
    <mergeCell ref="G26:L26"/>
    <mergeCell ref="M26:N26"/>
    <mergeCell ref="V26:X26"/>
    <mergeCell ref="Y26:AF26"/>
    <mergeCell ref="B17:F17"/>
    <mergeCell ref="G17:P17"/>
    <mergeCell ref="Q17:T17"/>
    <mergeCell ref="B18:F20"/>
    <mergeCell ref="O18:AF18"/>
    <mergeCell ref="G19:T20"/>
    <mergeCell ref="A15:A27"/>
    <mergeCell ref="B15:F15"/>
    <mergeCell ref="Q15:T15"/>
    <mergeCell ref="B16:F16"/>
    <mergeCell ref="G16:P16"/>
    <mergeCell ref="Q16:T16"/>
    <mergeCell ref="B21:F24"/>
    <mergeCell ref="G21:J22"/>
    <mergeCell ref="K21:M21"/>
    <mergeCell ref="N21:AF21"/>
    <mergeCell ref="K22:M22"/>
    <mergeCell ref="G23:J24"/>
    <mergeCell ref="K23:AF23"/>
    <mergeCell ref="K24:AF24"/>
    <mergeCell ref="B25:F26"/>
    <mergeCell ref="U16:AF16"/>
    <mergeCell ref="Y11:AF11"/>
    <mergeCell ref="A12:F12"/>
    <mergeCell ref="G12:AF12"/>
    <mergeCell ref="A13:F13"/>
    <mergeCell ref="G13:P13"/>
    <mergeCell ref="Q13:V13"/>
    <mergeCell ref="U22:W22"/>
    <mergeCell ref="N22:T22"/>
    <mergeCell ref="X22:AF22"/>
    <mergeCell ref="C3:X4"/>
    <mergeCell ref="AW6:BA7"/>
    <mergeCell ref="T7:W8"/>
    <mergeCell ref="X7:AF8"/>
    <mergeCell ref="A8:C11"/>
    <mergeCell ref="D8:F8"/>
    <mergeCell ref="G8:S8"/>
    <mergeCell ref="D9:F9"/>
    <mergeCell ref="G9:S9"/>
    <mergeCell ref="T9:W9"/>
    <mergeCell ref="X9:AF9"/>
    <mergeCell ref="D10:F11"/>
    <mergeCell ref="G11:T11"/>
  </mergeCells>
  <phoneticPr fontId="1"/>
  <printOptions horizontalCentered="1" verticalCentered="1"/>
  <pageMargins left="0.39370078740157483" right="0.35433070866141736" top="0" bottom="0" header="0" footer="0"/>
  <pageSetup paperSize="9" scale="90" fitToHeight="0" orientation="portrait" blackAndWhite="1"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A94D1-5CBC-484A-9590-44DBB0DE4206}">
  <sheetPr codeName="Sheet9">
    <tabColor theme="9" tint="0.59999389629810485"/>
    <pageSetUpPr fitToPage="1"/>
  </sheetPr>
  <dimension ref="A1:BA52"/>
  <sheetViews>
    <sheetView view="pageBreakPreview" topLeftCell="A28" zoomScaleNormal="100" zoomScaleSheetLayoutView="100" workbookViewId="0">
      <selection activeCell="AI19" sqref="AI19"/>
    </sheetView>
  </sheetViews>
  <sheetFormatPr defaultColWidth="3.25" defaultRowHeight="13.5" x14ac:dyDescent="0.15"/>
  <cols>
    <col min="1" max="1" width="3.625" style="34" customWidth="1"/>
    <col min="2" max="2" width="3.5" style="34" customWidth="1"/>
    <col min="3" max="3" width="3.125" style="34" customWidth="1"/>
    <col min="4" max="4" width="3.875" style="34" customWidth="1"/>
    <col min="5" max="5" width="2.875" style="34" customWidth="1"/>
    <col min="6" max="6" width="1.125" style="34" customWidth="1"/>
    <col min="7" max="16" width="3.75" style="34" customWidth="1"/>
    <col min="17" max="32" width="2.625" style="34" customWidth="1"/>
    <col min="33" max="35" width="3.25" style="34" customWidth="1"/>
    <col min="36" max="36" width="3.25" style="36" customWidth="1"/>
    <col min="37" max="256" width="3.25" style="34"/>
    <col min="257" max="257" width="3.625" style="34" customWidth="1"/>
    <col min="258" max="258" width="3.5" style="34" customWidth="1"/>
    <col min="259" max="259" width="3.125" style="34" customWidth="1"/>
    <col min="260" max="260" width="3.875" style="34" customWidth="1"/>
    <col min="261" max="261" width="2.875" style="34" customWidth="1"/>
    <col min="262" max="262" width="1.125" style="34" customWidth="1"/>
    <col min="263" max="272" width="3.75" style="34" customWidth="1"/>
    <col min="273" max="288" width="2.625" style="34" customWidth="1"/>
    <col min="289" max="512" width="3.25" style="34"/>
    <col min="513" max="513" width="3.625" style="34" customWidth="1"/>
    <col min="514" max="514" width="3.5" style="34" customWidth="1"/>
    <col min="515" max="515" width="3.125" style="34" customWidth="1"/>
    <col min="516" max="516" width="3.875" style="34" customWidth="1"/>
    <col min="517" max="517" width="2.875" style="34" customWidth="1"/>
    <col min="518" max="518" width="1.125" style="34" customWidth="1"/>
    <col min="519" max="528" width="3.75" style="34" customWidth="1"/>
    <col min="529" max="544" width="2.625" style="34" customWidth="1"/>
    <col min="545" max="768" width="3.25" style="34"/>
    <col min="769" max="769" width="3.625" style="34" customWidth="1"/>
    <col min="770" max="770" width="3.5" style="34" customWidth="1"/>
    <col min="771" max="771" width="3.125" style="34" customWidth="1"/>
    <col min="772" max="772" width="3.875" style="34" customWidth="1"/>
    <col min="773" max="773" width="2.875" style="34" customWidth="1"/>
    <col min="774" max="774" width="1.125" style="34" customWidth="1"/>
    <col min="775" max="784" width="3.75" style="34" customWidth="1"/>
    <col min="785" max="800" width="2.625" style="34" customWidth="1"/>
    <col min="801" max="1024" width="3.25" style="34"/>
    <col min="1025" max="1025" width="3.625" style="34" customWidth="1"/>
    <col min="1026" max="1026" width="3.5" style="34" customWidth="1"/>
    <col min="1027" max="1027" width="3.125" style="34" customWidth="1"/>
    <col min="1028" max="1028" width="3.875" style="34" customWidth="1"/>
    <col min="1029" max="1029" width="2.875" style="34" customWidth="1"/>
    <col min="1030" max="1030" width="1.125" style="34" customWidth="1"/>
    <col min="1031" max="1040" width="3.75" style="34" customWidth="1"/>
    <col min="1041" max="1056" width="2.625" style="34" customWidth="1"/>
    <col min="1057" max="1280" width="3.25" style="34"/>
    <col min="1281" max="1281" width="3.625" style="34" customWidth="1"/>
    <col min="1282" max="1282" width="3.5" style="34" customWidth="1"/>
    <col min="1283" max="1283" width="3.125" style="34" customWidth="1"/>
    <col min="1284" max="1284" width="3.875" style="34" customWidth="1"/>
    <col min="1285" max="1285" width="2.875" style="34" customWidth="1"/>
    <col min="1286" max="1286" width="1.125" style="34" customWidth="1"/>
    <col min="1287" max="1296" width="3.75" style="34" customWidth="1"/>
    <col min="1297" max="1312" width="2.625" style="34" customWidth="1"/>
    <col min="1313" max="1536" width="3.25" style="34"/>
    <col min="1537" max="1537" width="3.625" style="34" customWidth="1"/>
    <col min="1538" max="1538" width="3.5" style="34" customWidth="1"/>
    <col min="1539" max="1539" width="3.125" style="34" customWidth="1"/>
    <col min="1540" max="1540" width="3.875" style="34" customWidth="1"/>
    <col min="1541" max="1541" width="2.875" style="34" customWidth="1"/>
    <col min="1542" max="1542" width="1.125" style="34" customWidth="1"/>
    <col min="1543" max="1552" width="3.75" style="34" customWidth="1"/>
    <col min="1553" max="1568" width="2.625" style="34" customWidth="1"/>
    <col min="1569" max="1792" width="3.25" style="34"/>
    <col min="1793" max="1793" width="3.625" style="34" customWidth="1"/>
    <col min="1794" max="1794" width="3.5" style="34" customWidth="1"/>
    <col min="1795" max="1795" width="3.125" style="34" customWidth="1"/>
    <col min="1796" max="1796" width="3.875" style="34" customWidth="1"/>
    <col min="1797" max="1797" width="2.875" style="34" customWidth="1"/>
    <col min="1798" max="1798" width="1.125" style="34" customWidth="1"/>
    <col min="1799" max="1808" width="3.75" style="34" customWidth="1"/>
    <col min="1809" max="1824" width="2.625" style="34" customWidth="1"/>
    <col min="1825" max="2048" width="3.25" style="34"/>
    <col min="2049" max="2049" width="3.625" style="34" customWidth="1"/>
    <col min="2050" max="2050" width="3.5" style="34" customWidth="1"/>
    <col min="2051" max="2051" width="3.125" style="34" customWidth="1"/>
    <col min="2052" max="2052" width="3.875" style="34" customWidth="1"/>
    <col min="2053" max="2053" width="2.875" style="34" customWidth="1"/>
    <col min="2054" max="2054" width="1.125" style="34" customWidth="1"/>
    <col min="2055" max="2064" width="3.75" style="34" customWidth="1"/>
    <col min="2065" max="2080" width="2.625" style="34" customWidth="1"/>
    <col min="2081" max="2304" width="3.25" style="34"/>
    <col min="2305" max="2305" width="3.625" style="34" customWidth="1"/>
    <col min="2306" max="2306" width="3.5" style="34" customWidth="1"/>
    <col min="2307" max="2307" width="3.125" style="34" customWidth="1"/>
    <col min="2308" max="2308" width="3.875" style="34" customWidth="1"/>
    <col min="2309" max="2309" width="2.875" style="34" customWidth="1"/>
    <col min="2310" max="2310" width="1.125" style="34" customWidth="1"/>
    <col min="2311" max="2320" width="3.75" style="34" customWidth="1"/>
    <col min="2321" max="2336" width="2.625" style="34" customWidth="1"/>
    <col min="2337" max="2560" width="3.25" style="34"/>
    <col min="2561" max="2561" width="3.625" style="34" customWidth="1"/>
    <col min="2562" max="2562" width="3.5" style="34" customWidth="1"/>
    <col min="2563" max="2563" width="3.125" style="34" customWidth="1"/>
    <col min="2564" max="2564" width="3.875" style="34" customWidth="1"/>
    <col min="2565" max="2565" width="2.875" style="34" customWidth="1"/>
    <col min="2566" max="2566" width="1.125" style="34" customWidth="1"/>
    <col min="2567" max="2576" width="3.75" style="34" customWidth="1"/>
    <col min="2577" max="2592" width="2.625" style="34" customWidth="1"/>
    <col min="2593" max="2816" width="3.25" style="34"/>
    <col min="2817" max="2817" width="3.625" style="34" customWidth="1"/>
    <col min="2818" max="2818" width="3.5" style="34" customWidth="1"/>
    <col min="2819" max="2819" width="3.125" style="34" customWidth="1"/>
    <col min="2820" max="2820" width="3.875" style="34" customWidth="1"/>
    <col min="2821" max="2821" width="2.875" style="34" customWidth="1"/>
    <col min="2822" max="2822" width="1.125" style="34" customWidth="1"/>
    <col min="2823" max="2832" width="3.75" style="34" customWidth="1"/>
    <col min="2833" max="2848" width="2.625" style="34" customWidth="1"/>
    <col min="2849" max="3072" width="3.25" style="34"/>
    <col min="3073" max="3073" width="3.625" style="34" customWidth="1"/>
    <col min="3074" max="3074" width="3.5" style="34" customWidth="1"/>
    <col min="3075" max="3075" width="3.125" style="34" customWidth="1"/>
    <col min="3076" max="3076" width="3.875" style="34" customWidth="1"/>
    <col min="3077" max="3077" width="2.875" style="34" customWidth="1"/>
    <col min="3078" max="3078" width="1.125" style="34" customWidth="1"/>
    <col min="3079" max="3088" width="3.75" style="34" customWidth="1"/>
    <col min="3089" max="3104" width="2.625" style="34" customWidth="1"/>
    <col min="3105" max="3328" width="3.25" style="34"/>
    <col min="3329" max="3329" width="3.625" style="34" customWidth="1"/>
    <col min="3330" max="3330" width="3.5" style="34" customWidth="1"/>
    <col min="3331" max="3331" width="3.125" style="34" customWidth="1"/>
    <col min="3332" max="3332" width="3.875" style="34" customWidth="1"/>
    <col min="3333" max="3333" width="2.875" style="34" customWidth="1"/>
    <col min="3334" max="3334" width="1.125" style="34" customWidth="1"/>
    <col min="3335" max="3344" width="3.75" style="34" customWidth="1"/>
    <col min="3345" max="3360" width="2.625" style="34" customWidth="1"/>
    <col min="3361" max="3584" width="3.25" style="34"/>
    <col min="3585" max="3585" width="3.625" style="34" customWidth="1"/>
    <col min="3586" max="3586" width="3.5" style="34" customWidth="1"/>
    <col min="3587" max="3587" width="3.125" style="34" customWidth="1"/>
    <col min="3588" max="3588" width="3.875" style="34" customWidth="1"/>
    <col min="3589" max="3589" width="2.875" style="34" customWidth="1"/>
    <col min="3590" max="3590" width="1.125" style="34" customWidth="1"/>
    <col min="3591" max="3600" width="3.75" style="34" customWidth="1"/>
    <col min="3601" max="3616" width="2.625" style="34" customWidth="1"/>
    <col min="3617" max="3840" width="3.25" style="34"/>
    <col min="3841" max="3841" width="3.625" style="34" customWidth="1"/>
    <col min="3842" max="3842" width="3.5" style="34" customWidth="1"/>
    <col min="3843" max="3843" width="3.125" style="34" customWidth="1"/>
    <col min="3844" max="3844" width="3.875" style="34" customWidth="1"/>
    <col min="3845" max="3845" width="2.875" style="34" customWidth="1"/>
    <col min="3846" max="3846" width="1.125" style="34" customWidth="1"/>
    <col min="3847" max="3856" width="3.75" style="34" customWidth="1"/>
    <col min="3857" max="3872" width="2.625" style="34" customWidth="1"/>
    <col min="3873" max="4096" width="3.25" style="34"/>
    <col min="4097" max="4097" width="3.625" style="34" customWidth="1"/>
    <col min="4098" max="4098" width="3.5" style="34" customWidth="1"/>
    <col min="4099" max="4099" width="3.125" style="34" customWidth="1"/>
    <col min="4100" max="4100" width="3.875" style="34" customWidth="1"/>
    <col min="4101" max="4101" width="2.875" style="34" customWidth="1"/>
    <col min="4102" max="4102" width="1.125" style="34" customWidth="1"/>
    <col min="4103" max="4112" width="3.75" style="34" customWidth="1"/>
    <col min="4113" max="4128" width="2.625" style="34" customWidth="1"/>
    <col min="4129" max="4352" width="3.25" style="34"/>
    <col min="4353" max="4353" width="3.625" style="34" customWidth="1"/>
    <col min="4354" max="4354" width="3.5" style="34" customWidth="1"/>
    <col min="4355" max="4355" width="3.125" style="34" customWidth="1"/>
    <col min="4356" max="4356" width="3.875" style="34" customWidth="1"/>
    <col min="4357" max="4357" width="2.875" style="34" customWidth="1"/>
    <col min="4358" max="4358" width="1.125" style="34" customWidth="1"/>
    <col min="4359" max="4368" width="3.75" style="34" customWidth="1"/>
    <col min="4369" max="4384" width="2.625" style="34" customWidth="1"/>
    <col min="4385" max="4608" width="3.25" style="34"/>
    <col min="4609" max="4609" width="3.625" style="34" customWidth="1"/>
    <col min="4610" max="4610" width="3.5" style="34" customWidth="1"/>
    <col min="4611" max="4611" width="3.125" style="34" customWidth="1"/>
    <col min="4612" max="4612" width="3.875" style="34" customWidth="1"/>
    <col min="4613" max="4613" width="2.875" style="34" customWidth="1"/>
    <col min="4614" max="4614" width="1.125" style="34" customWidth="1"/>
    <col min="4615" max="4624" width="3.75" style="34" customWidth="1"/>
    <col min="4625" max="4640" width="2.625" style="34" customWidth="1"/>
    <col min="4641" max="4864" width="3.25" style="34"/>
    <col min="4865" max="4865" width="3.625" style="34" customWidth="1"/>
    <col min="4866" max="4866" width="3.5" style="34" customWidth="1"/>
    <col min="4867" max="4867" width="3.125" style="34" customWidth="1"/>
    <col min="4868" max="4868" width="3.875" style="34" customWidth="1"/>
    <col min="4869" max="4869" width="2.875" style="34" customWidth="1"/>
    <col min="4870" max="4870" width="1.125" style="34" customWidth="1"/>
    <col min="4871" max="4880" width="3.75" style="34" customWidth="1"/>
    <col min="4881" max="4896" width="2.625" style="34" customWidth="1"/>
    <col min="4897" max="5120" width="3.25" style="34"/>
    <col min="5121" max="5121" width="3.625" style="34" customWidth="1"/>
    <col min="5122" max="5122" width="3.5" style="34" customWidth="1"/>
    <col min="5123" max="5123" width="3.125" style="34" customWidth="1"/>
    <col min="5124" max="5124" width="3.875" style="34" customWidth="1"/>
    <col min="5125" max="5125" width="2.875" style="34" customWidth="1"/>
    <col min="5126" max="5126" width="1.125" style="34" customWidth="1"/>
    <col min="5127" max="5136" width="3.75" style="34" customWidth="1"/>
    <col min="5137" max="5152" width="2.625" style="34" customWidth="1"/>
    <col min="5153" max="5376" width="3.25" style="34"/>
    <col min="5377" max="5377" width="3.625" style="34" customWidth="1"/>
    <col min="5378" max="5378" width="3.5" style="34" customWidth="1"/>
    <col min="5379" max="5379" width="3.125" style="34" customWidth="1"/>
    <col min="5380" max="5380" width="3.875" style="34" customWidth="1"/>
    <col min="5381" max="5381" width="2.875" style="34" customWidth="1"/>
    <col min="5382" max="5382" width="1.125" style="34" customWidth="1"/>
    <col min="5383" max="5392" width="3.75" style="34" customWidth="1"/>
    <col min="5393" max="5408" width="2.625" style="34" customWidth="1"/>
    <col min="5409" max="5632" width="3.25" style="34"/>
    <col min="5633" max="5633" width="3.625" style="34" customWidth="1"/>
    <col min="5634" max="5634" width="3.5" style="34" customWidth="1"/>
    <col min="5635" max="5635" width="3.125" style="34" customWidth="1"/>
    <col min="5636" max="5636" width="3.875" style="34" customWidth="1"/>
    <col min="5637" max="5637" width="2.875" style="34" customWidth="1"/>
    <col min="5638" max="5638" width="1.125" style="34" customWidth="1"/>
    <col min="5639" max="5648" width="3.75" style="34" customWidth="1"/>
    <col min="5649" max="5664" width="2.625" style="34" customWidth="1"/>
    <col min="5665" max="5888" width="3.25" style="34"/>
    <col min="5889" max="5889" width="3.625" style="34" customWidth="1"/>
    <col min="5890" max="5890" width="3.5" style="34" customWidth="1"/>
    <col min="5891" max="5891" width="3.125" style="34" customWidth="1"/>
    <col min="5892" max="5892" width="3.875" style="34" customWidth="1"/>
    <col min="5893" max="5893" width="2.875" style="34" customWidth="1"/>
    <col min="5894" max="5894" width="1.125" style="34" customWidth="1"/>
    <col min="5895" max="5904" width="3.75" style="34" customWidth="1"/>
    <col min="5905" max="5920" width="2.625" style="34" customWidth="1"/>
    <col min="5921" max="6144" width="3.25" style="34"/>
    <col min="6145" max="6145" width="3.625" style="34" customWidth="1"/>
    <col min="6146" max="6146" width="3.5" style="34" customWidth="1"/>
    <col min="6147" max="6147" width="3.125" style="34" customWidth="1"/>
    <col min="6148" max="6148" width="3.875" style="34" customWidth="1"/>
    <col min="6149" max="6149" width="2.875" style="34" customWidth="1"/>
    <col min="6150" max="6150" width="1.125" style="34" customWidth="1"/>
    <col min="6151" max="6160" width="3.75" style="34" customWidth="1"/>
    <col min="6161" max="6176" width="2.625" style="34" customWidth="1"/>
    <col min="6177" max="6400" width="3.25" style="34"/>
    <col min="6401" max="6401" width="3.625" style="34" customWidth="1"/>
    <col min="6402" max="6402" width="3.5" style="34" customWidth="1"/>
    <col min="6403" max="6403" width="3.125" style="34" customWidth="1"/>
    <col min="6404" max="6404" width="3.875" style="34" customWidth="1"/>
    <col min="6405" max="6405" width="2.875" style="34" customWidth="1"/>
    <col min="6406" max="6406" width="1.125" style="34" customWidth="1"/>
    <col min="6407" max="6416" width="3.75" style="34" customWidth="1"/>
    <col min="6417" max="6432" width="2.625" style="34" customWidth="1"/>
    <col min="6433" max="6656" width="3.25" style="34"/>
    <col min="6657" max="6657" width="3.625" style="34" customWidth="1"/>
    <col min="6658" max="6658" width="3.5" style="34" customWidth="1"/>
    <col min="6659" max="6659" width="3.125" style="34" customWidth="1"/>
    <col min="6660" max="6660" width="3.875" style="34" customWidth="1"/>
    <col min="6661" max="6661" width="2.875" style="34" customWidth="1"/>
    <col min="6662" max="6662" width="1.125" style="34" customWidth="1"/>
    <col min="6663" max="6672" width="3.75" style="34" customWidth="1"/>
    <col min="6673" max="6688" width="2.625" style="34" customWidth="1"/>
    <col min="6689" max="6912" width="3.25" style="34"/>
    <col min="6913" max="6913" width="3.625" style="34" customWidth="1"/>
    <col min="6914" max="6914" width="3.5" style="34" customWidth="1"/>
    <col min="6915" max="6915" width="3.125" style="34" customWidth="1"/>
    <col min="6916" max="6916" width="3.875" style="34" customWidth="1"/>
    <col min="6917" max="6917" width="2.875" style="34" customWidth="1"/>
    <col min="6918" max="6918" width="1.125" style="34" customWidth="1"/>
    <col min="6919" max="6928" width="3.75" style="34" customWidth="1"/>
    <col min="6929" max="6944" width="2.625" style="34" customWidth="1"/>
    <col min="6945" max="7168" width="3.25" style="34"/>
    <col min="7169" max="7169" width="3.625" style="34" customWidth="1"/>
    <col min="7170" max="7170" width="3.5" style="34" customWidth="1"/>
    <col min="7171" max="7171" width="3.125" style="34" customWidth="1"/>
    <col min="7172" max="7172" width="3.875" style="34" customWidth="1"/>
    <col min="7173" max="7173" width="2.875" style="34" customWidth="1"/>
    <col min="7174" max="7174" width="1.125" style="34" customWidth="1"/>
    <col min="7175" max="7184" width="3.75" style="34" customWidth="1"/>
    <col min="7185" max="7200" width="2.625" style="34" customWidth="1"/>
    <col min="7201" max="7424" width="3.25" style="34"/>
    <col min="7425" max="7425" width="3.625" style="34" customWidth="1"/>
    <col min="7426" max="7426" width="3.5" style="34" customWidth="1"/>
    <col min="7427" max="7427" width="3.125" style="34" customWidth="1"/>
    <col min="7428" max="7428" width="3.875" style="34" customWidth="1"/>
    <col min="7429" max="7429" width="2.875" style="34" customWidth="1"/>
    <col min="7430" max="7430" width="1.125" style="34" customWidth="1"/>
    <col min="7431" max="7440" width="3.75" style="34" customWidth="1"/>
    <col min="7441" max="7456" width="2.625" style="34" customWidth="1"/>
    <col min="7457" max="7680" width="3.25" style="34"/>
    <col min="7681" max="7681" width="3.625" style="34" customWidth="1"/>
    <col min="7682" max="7682" width="3.5" style="34" customWidth="1"/>
    <col min="7683" max="7683" width="3.125" style="34" customWidth="1"/>
    <col min="7684" max="7684" width="3.875" style="34" customWidth="1"/>
    <col min="7685" max="7685" width="2.875" style="34" customWidth="1"/>
    <col min="7686" max="7686" width="1.125" style="34" customWidth="1"/>
    <col min="7687" max="7696" width="3.75" style="34" customWidth="1"/>
    <col min="7697" max="7712" width="2.625" style="34" customWidth="1"/>
    <col min="7713" max="7936" width="3.25" style="34"/>
    <col min="7937" max="7937" width="3.625" style="34" customWidth="1"/>
    <col min="7938" max="7938" width="3.5" style="34" customWidth="1"/>
    <col min="7939" max="7939" width="3.125" style="34" customWidth="1"/>
    <col min="7940" max="7940" width="3.875" style="34" customWidth="1"/>
    <col min="7941" max="7941" width="2.875" style="34" customWidth="1"/>
    <col min="7942" max="7942" width="1.125" style="34" customWidth="1"/>
    <col min="7943" max="7952" width="3.75" style="34" customWidth="1"/>
    <col min="7953" max="7968" width="2.625" style="34" customWidth="1"/>
    <col min="7969" max="8192" width="3.25" style="34"/>
    <col min="8193" max="8193" width="3.625" style="34" customWidth="1"/>
    <col min="8194" max="8194" width="3.5" style="34" customWidth="1"/>
    <col min="8195" max="8195" width="3.125" style="34" customWidth="1"/>
    <col min="8196" max="8196" width="3.875" style="34" customWidth="1"/>
    <col min="8197" max="8197" width="2.875" style="34" customWidth="1"/>
    <col min="8198" max="8198" width="1.125" style="34" customWidth="1"/>
    <col min="8199" max="8208" width="3.75" style="34" customWidth="1"/>
    <col min="8209" max="8224" width="2.625" style="34" customWidth="1"/>
    <col min="8225" max="8448" width="3.25" style="34"/>
    <col min="8449" max="8449" width="3.625" style="34" customWidth="1"/>
    <col min="8450" max="8450" width="3.5" style="34" customWidth="1"/>
    <col min="8451" max="8451" width="3.125" style="34" customWidth="1"/>
    <col min="8452" max="8452" width="3.875" style="34" customWidth="1"/>
    <col min="8453" max="8453" width="2.875" style="34" customWidth="1"/>
    <col min="8454" max="8454" width="1.125" style="34" customWidth="1"/>
    <col min="8455" max="8464" width="3.75" style="34" customWidth="1"/>
    <col min="8465" max="8480" width="2.625" style="34" customWidth="1"/>
    <col min="8481" max="8704" width="3.25" style="34"/>
    <col min="8705" max="8705" width="3.625" style="34" customWidth="1"/>
    <col min="8706" max="8706" width="3.5" style="34" customWidth="1"/>
    <col min="8707" max="8707" width="3.125" style="34" customWidth="1"/>
    <col min="8708" max="8708" width="3.875" style="34" customWidth="1"/>
    <col min="8709" max="8709" width="2.875" style="34" customWidth="1"/>
    <col min="8710" max="8710" width="1.125" style="34" customWidth="1"/>
    <col min="8711" max="8720" width="3.75" style="34" customWidth="1"/>
    <col min="8721" max="8736" width="2.625" style="34" customWidth="1"/>
    <col min="8737" max="8960" width="3.25" style="34"/>
    <col min="8961" max="8961" width="3.625" style="34" customWidth="1"/>
    <col min="8962" max="8962" width="3.5" style="34" customWidth="1"/>
    <col min="8963" max="8963" width="3.125" style="34" customWidth="1"/>
    <col min="8964" max="8964" width="3.875" style="34" customWidth="1"/>
    <col min="8965" max="8965" width="2.875" style="34" customWidth="1"/>
    <col min="8966" max="8966" width="1.125" style="34" customWidth="1"/>
    <col min="8967" max="8976" width="3.75" style="34" customWidth="1"/>
    <col min="8977" max="8992" width="2.625" style="34" customWidth="1"/>
    <col min="8993" max="9216" width="3.25" style="34"/>
    <col min="9217" max="9217" width="3.625" style="34" customWidth="1"/>
    <col min="9218" max="9218" width="3.5" style="34" customWidth="1"/>
    <col min="9219" max="9219" width="3.125" style="34" customWidth="1"/>
    <col min="9220" max="9220" width="3.875" style="34" customWidth="1"/>
    <col min="9221" max="9221" width="2.875" style="34" customWidth="1"/>
    <col min="9222" max="9222" width="1.125" style="34" customWidth="1"/>
    <col min="9223" max="9232" width="3.75" style="34" customWidth="1"/>
    <col min="9233" max="9248" width="2.625" style="34" customWidth="1"/>
    <col min="9249" max="9472" width="3.25" style="34"/>
    <col min="9473" max="9473" width="3.625" style="34" customWidth="1"/>
    <col min="9474" max="9474" width="3.5" style="34" customWidth="1"/>
    <col min="9475" max="9475" width="3.125" style="34" customWidth="1"/>
    <col min="9476" max="9476" width="3.875" style="34" customWidth="1"/>
    <col min="9477" max="9477" width="2.875" style="34" customWidth="1"/>
    <col min="9478" max="9478" width="1.125" style="34" customWidth="1"/>
    <col min="9479" max="9488" width="3.75" style="34" customWidth="1"/>
    <col min="9489" max="9504" width="2.625" style="34" customWidth="1"/>
    <col min="9505" max="9728" width="3.25" style="34"/>
    <col min="9729" max="9729" width="3.625" style="34" customWidth="1"/>
    <col min="9730" max="9730" width="3.5" style="34" customWidth="1"/>
    <col min="9731" max="9731" width="3.125" style="34" customWidth="1"/>
    <col min="9732" max="9732" width="3.875" style="34" customWidth="1"/>
    <col min="9733" max="9733" width="2.875" style="34" customWidth="1"/>
    <col min="9734" max="9734" width="1.125" style="34" customWidth="1"/>
    <col min="9735" max="9744" width="3.75" style="34" customWidth="1"/>
    <col min="9745" max="9760" width="2.625" style="34" customWidth="1"/>
    <col min="9761" max="9984" width="3.25" style="34"/>
    <col min="9985" max="9985" width="3.625" style="34" customWidth="1"/>
    <col min="9986" max="9986" width="3.5" style="34" customWidth="1"/>
    <col min="9987" max="9987" width="3.125" style="34" customWidth="1"/>
    <col min="9988" max="9988" width="3.875" style="34" customWidth="1"/>
    <col min="9989" max="9989" width="2.875" style="34" customWidth="1"/>
    <col min="9990" max="9990" width="1.125" style="34" customWidth="1"/>
    <col min="9991" max="10000" width="3.75" style="34" customWidth="1"/>
    <col min="10001" max="10016" width="2.625" style="34" customWidth="1"/>
    <col min="10017" max="10240" width="3.25" style="34"/>
    <col min="10241" max="10241" width="3.625" style="34" customWidth="1"/>
    <col min="10242" max="10242" width="3.5" style="34" customWidth="1"/>
    <col min="10243" max="10243" width="3.125" style="34" customWidth="1"/>
    <col min="10244" max="10244" width="3.875" style="34" customWidth="1"/>
    <col min="10245" max="10245" width="2.875" style="34" customWidth="1"/>
    <col min="10246" max="10246" width="1.125" style="34" customWidth="1"/>
    <col min="10247" max="10256" width="3.75" style="34" customWidth="1"/>
    <col min="10257" max="10272" width="2.625" style="34" customWidth="1"/>
    <col min="10273" max="10496" width="3.25" style="34"/>
    <col min="10497" max="10497" width="3.625" style="34" customWidth="1"/>
    <col min="10498" max="10498" width="3.5" style="34" customWidth="1"/>
    <col min="10499" max="10499" width="3.125" style="34" customWidth="1"/>
    <col min="10500" max="10500" width="3.875" style="34" customWidth="1"/>
    <col min="10501" max="10501" width="2.875" style="34" customWidth="1"/>
    <col min="10502" max="10502" width="1.125" style="34" customWidth="1"/>
    <col min="10503" max="10512" width="3.75" style="34" customWidth="1"/>
    <col min="10513" max="10528" width="2.625" style="34" customWidth="1"/>
    <col min="10529" max="10752" width="3.25" style="34"/>
    <col min="10753" max="10753" width="3.625" style="34" customWidth="1"/>
    <col min="10754" max="10754" width="3.5" style="34" customWidth="1"/>
    <col min="10755" max="10755" width="3.125" style="34" customWidth="1"/>
    <col min="10756" max="10756" width="3.875" style="34" customWidth="1"/>
    <col min="10757" max="10757" width="2.875" style="34" customWidth="1"/>
    <col min="10758" max="10758" width="1.125" style="34" customWidth="1"/>
    <col min="10759" max="10768" width="3.75" style="34" customWidth="1"/>
    <col min="10769" max="10784" width="2.625" style="34" customWidth="1"/>
    <col min="10785" max="11008" width="3.25" style="34"/>
    <col min="11009" max="11009" width="3.625" style="34" customWidth="1"/>
    <col min="11010" max="11010" width="3.5" style="34" customWidth="1"/>
    <col min="11011" max="11011" width="3.125" style="34" customWidth="1"/>
    <col min="11012" max="11012" width="3.875" style="34" customWidth="1"/>
    <col min="11013" max="11013" width="2.875" style="34" customWidth="1"/>
    <col min="11014" max="11014" width="1.125" style="34" customWidth="1"/>
    <col min="11015" max="11024" width="3.75" style="34" customWidth="1"/>
    <col min="11025" max="11040" width="2.625" style="34" customWidth="1"/>
    <col min="11041" max="11264" width="3.25" style="34"/>
    <col min="11265" max="11265" width="3.625" style="34" customWidth="1"/>
    <col min="11266" max="11266" width="3.5" style="34" customWidth="1"/>
    <col min="11267" max="11267" width="3.125" style="34" customWidth="1"/>
    <col min="11268" max="11268" width="3.875" style="34" customWidth="1"/>
    <col min="11269" max="11269" width="2.875" style="34" customWidth="1"/>
    <col min="11270" max="11270" width="1.125" style="34" customWidth="1"/>
    <col min="11271" max="11280" width="3.75" style="34" customWidth="1"/>
    <col min="11281" max="11296" width="2.625" style="34" customWidth="1"/>
    <col min="11297" max="11520" width="3.25" style="34"/>
    <col min="11521" max="11521" width="3.625" style="34" customWidth="1"/>
    <col min="11522" max="11522" width="3.5" style="34" customWidth="1"/>
    <col min="11523" max="11523" width="3.125" style="34" customWidth="1"/>
    <col min="11524" max="11524" width="3.875" style="34" customWidth="1"/>
    <col min="11525" max="11525" width="2.875" style="34" customWidth="1"/>
    <col min="11526" max="11526" width="1.125" style="34" customWidth="1"/>
    <col min="11527" max="11536" width="3.75" style="34" customWidth="1"/>
    <col min="11537" max="11552" width="2.625" style="34" customWidth="1"/>
    <col min="11553" max="11776" width="3.25" style="34"/>
    <col min="11777" max="11777" width="3.625" style="34" customWidth="1"/>
    <col min="11778" max="11778" width="3.5" style="34" customWidth="1"/>
    <col min="11779" max="11779" width="3.125" style="34" customWidth="1"/>
    <col min="11780" max="11780" width="3.875" style="34" customWidth="1"/>
    <col min="11781" max="11781" width="2.875" style="34" customWidth="1"/>
    <col min="11782" max="11782" width="1.125" style="34" customWidth="1"/>
    <col min="11783" max="11792" width="3.75" style="34" customWidth="1"/>
    <col min="11793" max="11808" width="2.625" style="34" customWidth="1"/>
    <col min="11809" max="12032" width="3.25" style="34"/>
    <col min="12033" max="12033" width="3.625" style="34" customWidth="1"/>
    <col min="12034" max="12034" width="3.5" style="34" customWidth="1"/>
    <col min="12035" max="12035" width="3.125" style="34" customWidth="1"/>
    <col min="12036" max="12036" width="3.875" style="34" customWidth="1"/>
    <col min="12037" max="12037" width="2.875" style="34" customWidth="1"/>
    <col min="12038" max="12038" width="1.125" style="34" customWidth="1"/>
    <col min="12039" max="12048" width="3.75" style="34" customWidth="1"/>
    <col min="12049" max="12064" width="2.625" style="34" customWidth="1"/>
    <col min="12065" max="12288" width="3.25" style="34"/>
    <col min="12289" max="12289" width="3.625" style="34" customWidth="1"/>
    <col min="12290" max="12290" width="3.5" style="34" customWidth="1"/>
    <col min="12291" max="12291" width="3.125" style="34" customWidth="1"/>
    <col min="12292" max="12292" width="3.875" style="34" customWidth="1"/>
    <col min="12293" max="12293" width="2.875" style="34" customWidth="1"/>
    <col min="12294" max="12294" width="1.125" style="34" customWidth="1"/>
    <col min="12295" max="12304" width="3.75" style="34" customWidth="1"/>
    <col min="12305" max="12320" width="2.625" style="34" customWidth="1"/>
    <col min="12321" max="12544" width="3.25" style="34"/>
    <col min="12545" max="12545" width="3.625" style="34" customWidth="1"/>
    <col min="12546" max="12546" width="3.5" style="34" customWidth="1"/>
    <col min="12547" max="12547" width="3.125" style="34" customWidth="1"/>
    <col min="12548" max="12548" width="3.875" style="34" customWidth="1"/>
    <col min="12549" max="12549" width="2.875" style="34" customWidth="1"/>
    <col min="12550" max="12550" width="1.125" style="34" customWidth="1"/>
    <col min="12551" max="12560" width="3.75" style="34" customWidth="1"/>
    <col min="12561" max="12576" width="2.625" style="34" customWidth="1"/>
    <col min="12577" max="12800" width="3.25" style="34"/>
    <col min="12801" max="12801" width="3.625" style="34" customWidth="1"/>
    <col min="12802" max="12802" width="3.5" style="34" customWidth="1"/>
    <col min="12803" max="12803" width="3.125" style="34" customWidth="1"/>
    <col min="12804" max="12804" width="3.875" style="34" customWidth="1"/>
    <col min="12805" max="12805" width="2.875" style="34" customWidth="1"/>
    <col min="12806" max="12806" width="1.125" style="34" customWidth="1"/>
    <col min="12807" max="12816" width="3.75" style="34" customWidth="1"/>
    <col min="12817" max="12832" width="2.625" style="34" customWidth="1"/>
    <col min="12833" max="13056" width="3.25" style="34"/>
    <col min="13057" max="13057" width="3.625" style="34" customWidth="1"/>
    <col min="13058" max="13058" width="3.5" style="34" customWidth="1"/>
    <col min="13059" max="13059" width="3.125" style="34" customWidth="1"/>
    <col min="13060" max="13060" width="3.875" style="34" customWidth="1"/>
    <col min="13061" max="13061" width="2.875" style="34" customWidth="1"/>
    <col min="13062" max="13062" width="1.125" style="34" customWidth="1"/>
    <col min="13063" max="13072" width="3.75" style="34" customWidth="1"/>
    <col min="13073" max="13088" width="2.625" style="34" customWidth="1"/>
    <col min="13089" max="13312" width="3.25" style="34"/>
    <col min="13313" max="13313" width="3.625" style="34" customWidth="1"/>
    <col min="13314" max="13314" width="3.5" style="34" customWidth="1"/>
    <col min="13315" max="13315" width="3.125" style="34" customWidth="1"/>
    <col min="13316" max="13316" width="3.875" style="34" customWidth="1"/>
    <col min="13317" max="13317" width="2.875" style="34" customWidth="1"/>
    <col min="13318" max="13318" width="1.125" style="34" customWidth="1"/>
    <col min="13319" max="13328" width="3.75" style="34" customWidth="1"/>
    <col min="13329" max="13344" width="2.625" style="34" customWidth="1"/>
    <col min="13345" max="13568" width="3.25" style="34"/>
    <col min="13569" max="13569" width="3.625" style="34" customWidth="1"/>
    <col min="13570" max="13570" width="3.5" style="34" customWidth="1"/>
    <col min="13571" max="13571" width="3.125" style="34" customWidth="1"/>
    <col min="13572" max="13572" width="3.875" style="34" customWidth="1"/>
    <col min="13573" max="13573" width="2.875" style="34" customWidth="1"/>
    <col min="13574" max="13574" width="1.125" style="34" customWidth="1"/>
    <col min="13575" max="13584" width="3.75" style="34" customWidth="1"/>
    <col min="13585" max="13600" width="2.625" style="34" customWidth="1"/>
    <col min="13601" max="13824" width="3.25" style="34"/>
    <col min="13825" max="13825" width="3.625" style="34" customWidth="1"/>
    <col min="13826" max="13826" width="3.5" style="34" customWidth="1"/>
    <col min="13827" max="13827" width="3.125" style="34" customWidth="1"/>
    <col min="13828" max="13828" width="3.875" style="34" customWidth="1"/>
    <col min="13829" max="13829" width="2.875" style="34" customWidth="1"/>
    <col min="13830" max="13830" width="1.125" style="34" customWidth="1"/>
    <col min="13831" max="13840" width="3.75" style="34" customWidth="1"/>
    <col min="13841" max="13856" width="2.625" style="34" customWidth="1"/>
    <col min="13857" max="14080" width="3.25" style="34"/>
    <col min="14081" max="14081" width="3.625" style="34" customWidth="1"/>
    <col min="14082" max="14082" width="3.5" style="34" customWidth="1"/>
    <col min="14083" max="14083" width="3.125" style="34" customWidth="1"/>
    <col min="14084" max="14084" width="3.875" style="34" customWidth="1"/>
    <col min="14085" max="14085" width="2.875" style="34" customWidth="1"/>
    <col min="14086" max="14086" width="1.125" style="34" customWidth="1"/>
    <col min="14087" max="14096" width="3.75" style="34" customWidth="1"/>
    <col min="14097" max="14112" width="2.625" style="34" customWidth="1"/>
    <col min="14113" max="14336" width="3.25" style="34"/>
    <col min="14337" max="14337" width="3.625" style="34" customWidth="1"/>
    <col min="14338" max="14338" width="3.5" style="34" customWidth="1"/>
    <col min="14339" max="14339" width="3.125" style="34" customWidth="1"/>
    <col min="14340" max="14340" width="3.875" style="34" customWidth="1"/>
    <col min="14341" max="14341" width="2.875" style="34" customWidth="1"/>
    <col min="14342" max="14342" width="1.125" style="34" customWidth="1"/>
    <col min="14343" max="14352" width="3.75" style="34" customWidth="1"/>
    <col min="14353" max="14368" width="2.625" style="34" customWidth="1"/>
    <col min="14369" max="14592" width="3.25" style="34"/>
    <col min="14593" max="14593" width="3.625" style="34" customWidth="1"/>
    <col min="14594" max="14594" width="3.5" style="34" customWidth="1"/>
    <col min="14595" max="14595" width="3.125" style="34" customWidth="1"/>
    <col min="14596" max="14596" width="3.875" style="34" customWidth="1"/>
    <col min="14597" max="14597" width="2.875" style="34" customWidth="1"/>
    <col min="14598" max="14598" width="1.125" style="34" customWidth="1"/>
    <col min="14599" max="14608" width="3.75" style="34" customWidth="1"/>
    <col min="14609" max="14624" width="2.625" style="34" customWidth="1"/>
    <col min="14625" max="14848" width="3.25" style="34"/>
    <col min="14849" max="14849" width="3.625" style="34" customWidth="1"/>
    <col min="14850" max="14850" width="3.5" style="34" customWidth="1"/>
    <col min="14851" max="14851" width="3.125" style="34" customWidth="1"/>
    <col min="14852" max="14852" width="3.875" style="34" customWidth="1"/>
    <col min="14853" max="14853" width="2.875" style="34" customWidth="1"/>
    <col min="14854" max="14854" width="1.125" style="34" customWidth="1"/>
    <col min="14855" max="14864" width="3.75" style="34" customWidth="1"/>
    <col min="14865" max="14880" width="2.625" style="34" customWidth="1"/>
    <col min="14881" max="15104" width="3.25" style="34"/>
    <col min="15105" max="15105" width="3.625" style="34" customWidth="1"/>
    <col min="15106" max="15106" width="3.5" style="34" customWidth="1"/>
    <col min="15107" max="15107" width="3.125" style="34" customWidth="1"/>
    <col min="15108" max="15108" width="3.875" style="34" customWidth="1"/>
    <col min="15109" max="15109" width="2.875" style="34" customWidth="1"/>
    <col min="15110" max="15110" width="1.125" style="34" customWidth="1"/>
    <col min="15111" max="15120" width="3.75" style="34" customWidth="1"/>
    <col min="15121" max="15136" width="2.625" style="34" customWidth="1"/>
    <col min="15137" max="15360" width="3.25" style="34"/>
    <col min="15361" max="15361" width="3.625" style="34" customWidth="1"/>
    <col min="15362" max="15362" width="3.5" style="34" customWidth="1"/>
    <col min="15363" max="15363" width="3.125" style="34" customWidth="1"/>
    <col min="15364" max="15364" width="3.875" style="34" customWidth="1"/>
    <col min="15365" max="15365" width="2.875" style="34" customWidth="1"/>
    <col min="15366" max="15366" width="1.125" style="34" customWidth="1"/>
    <col min="15367" max="15376" width="3.75" style="34" customWidth="1"/>
    <col min="15377" max="15392" width="2.625" style="34" customWidth="1"/>
    <col min="15393" max="15616" width="3.25" style="34"/>
    <col min="15617" max="15617" width="3.625" style="34" customWidth="1"/>
    <col min="15618" max="15618" width="3.5" style="34" customWidth="1"/>
    <col min="15619" max="15619" width="3.125" style="34" customWidth="1"/>
    <col min="15620" max="15620" width="3.875" style="34" customWidth="1"/>
    <col min="15621" max="15621" width="2.875" style="34" customWidth="1"/>
    <col min="15622" max="15622" width="1.125" style="34" customWidth="1"/>
    <col min="15623" max="15632" width="3.75" style="34" customWidth="1"/>
    <col min="15633" max="15648" width="2.625" style="34" customWidth="1"/>
    <col min="15649" max="15872" width="3.25" style="34"/>
    <col min="15873" max="15873" width="3.625" style="34" customWidth="1"/>
    <col min="15874" max="15874" width="3.5" style="34" customWidth="1"/>
    <col min="15875" max="15875" width="3.125" style="34" customWidth="1"/>
    <col min="15876" max="15876" width="3.875" style="34" customWidth="1"/>
    <col min="15877" max="15877" width="2.875" style="34" customWidth="1"/>
    <col min="15878" max="15878" width="1.125" style="34" customWidth="1"/>
    <col min="15879" max="15888" width="3.75" style="34" customWidth="1"/>
    <col min="15889" max="15904" width="2.625" style="34" customWidth="1"/>
    <col min="15905" max="16128" width="3.25" style="34"/>
    <col min="16129" max="16129" width="3.625" style="34" customWidth="1"/>
    <col min="16130" max="16130" width="3.5" style="34" customWidth="1"/>
    <col min="16131" max="16131" width="3.125" style="34" customWidth="1"/>
    <col min="16132" max="16132" width="3.875" style="34" customWidth="1"/>
    <col min="16133" max="16133" width="2.875" style="34" customWidth="1"/>
    <col min="16134" max="16134" width="1.125" style="34" customWidth="1"/>
    <col min="16135" max="16144" width="3.75" style="34" customWidth="1"/>
    <col min="16145" max="16160" width="2.625" style="34" customWidth="1"/>
    <col min="16161" max="16384" width="3.25" style="34"/>
  </cols>
  <sheetData>
    <row r="1" spans="1:53" ht="4.5" customHeight="1" x14ac:dyDescent="0.15">
      <c r="D1" s="35"/>
      <c r="E1" s="35"/>
      <c r="F1" s="35"/>
      <c r="G1" s="35"/>
      <c r="H1" s="35"/>
      <c r="I1" s="35"/>
      <c r="J1" s="35"/>
      <c r="K1" s="35"/>
      <c r="L1" s="35"/>
      <c r="M1" s="35"/>
      <c r="N1" s="35"/>
      <c r="O1" s="35"/>
      <c r="P1" s="35"/>
      <c r="Q1" s="35"/>
      <c r="R1" s="35"/>
      <c r="S1" s="35"/>
      <c r="T1" s="35"/>
      <c r="U1" s="35"/>
      <c r="V1" s="35"/>
      <c r="W1" s="35"/>
      <c r="X1" s="35"/>
    </row>
    <row r="2" spans="1:53" ht="12" customHeight="1" x14ac:dyDescent="0.15">
      <c r="A2" s="37" t="s">
        <v>429</v>
      </c>
      <c r="D2" s="35"/>
      <c r="E2" s="35"/>
      <c r="F2" s="35"/>
      <c r="G2" s="35"/>
      <c r="H2" s="35"/>
      <c r="I2" s="35"/>
      <c r="J2" s="35"/>
      <c r="K2" s="35"/>
      <c r="L2" s="35"/>
      <c r="M2" s="35"/>
      <c r="N2" s="35"/>
      <c r="O2" s="35"/>
      <c r="P2" s="35"/>
      <c r="Q2" s="35"/>
      <c r="R2" s="35"/>
      <c r="S2" s="35"/>
      <c r="T2" s="35"/>
      <c r="U2" s="35"/>
      <c r="V2" s="35"/>
      <c r="W2" s="35"/>
      <c r="X2" s="35"/>
    </row>
    <row r="3" spans="1:53" ht="18" customHeight="1" x14ac:dyDescent="0.15">
      <c r="C3" s="1584" t="s">
        <v>430</v>
      </c>
      <c r="D3" s="1584"/>
      <c r="E3" s="1584"/>
      <c r="F3" s="1584"/>
      <c r="G3" s="1584"/>
      <c r="H3" s="1584"/>
      <c r="I3" s="1584"/>
      <c r="J3" s="1584"/>
      <c r="K3" s="1584"/>
      <c r="L3" s="1584"/>
      <c r="M3" s="1584"/>
      <c r="N3" s="1584"/>
      <c r="O3" s="1584"/>
      <c r="P3" s="1584"/>
      <c r="Q3" s="1584"/>
      <c r="R3" s="1584"/>
      <c r="S3" s="1584"/>
      <c r="T3" s="1584"/>
      <c r="U3" s="1584"/>
      <c r="V3" s="1584"/>
      <c r="W3" s="1584"/>
      <c r="X3" s="1584"/>
      <c r="AD3" s="38"/>
      <c r="AE3" s="38"/>
      <c r="AF3" s="38"/>
    </row>
    <row r="4" spans="1:53" ht="11.25" customHeight="1" x14ac:dyDescent="0.15">
      <c r="C4" s="1584"/>
      <c r="D4" s="1584"/>
      <c r="E4" s="1584"/>
      <c r="F4" s="1584"/>
      <c r="G4" s="1584"/>
      <c r="H4" s="1584"/>
      <c r="I4" s="1584"/>
      <c r="J4" s="1584"/>
      <c r="K4" s="1584"/>
      <c r="L4" s="1584"/>
      <c r="M4" s="1584"/>
      <c r="N4" s="1584"/>
      <c r="O4" s="1584"/>
      <c r="P4" s="1584"/>
      <c r="Q4" s="1584"/>
      <c r="R4" s="1584"/>
      <c r="S4" s="1584"/>
      <c r="T4" s="1584"/>
      <c r="U4" s="1584"/>
      <c r="V4" s="1584"/>
      <c r="W4" s="1584"/>
      <c r="X4" s="1584"/>
      <c r="Y4" s="39"/>
      <c r="Z4" s="39"/>
      <c r="AC4" s="40"/>
      <c r="AD4" s="41" t="s">
        <v>280</v>
      </c>
      <c r="AE4" s="38"/>
      <c r="AF4" s="42"/>
    </row>
    <row r="5" spans="1:53" ht="16.5" customHeight="1" x14ac:dyDescent="0.15">
      <c r="C5" s="35"/>
      <c r="D5" s="35"/>
      <c r="E5" s="35"/>
      <c r="F5" s="35"/>
      <c r="G5" s="35"/>
      <c r="H5" s="35"/>
      <c r="I5" s="35"/>
      <c r="J5" s="35"/>
      <c r="K5" s="35"/>
      <c r="L5" s="35"/>
      <c r="M5" s="35"/>
      <c r="N5" s="35"/>
      <c r="O5" s="35"/>
      <c r="P5" s="35"/>
      <c r="Q5" s="35"/>
      <c r="R5" s="35"/>
      <c r="S5" s="35"/>
      <c r="T5" s="35"/>
      <c r="U5" s="35"/>
      <c r="V5" s="35"/>
      <c r="W5" s="35"/>
      <c r="X5" s="35"/>
      <c r="AC5" s="40"/>
      <c r="AD5" s="44"/>
      <c r="AF5" s="40"/>
      <c r="AI5" s="45"/>
      <c r="AJ5" s="39"/>
      <c r="AK5" s="39"/>
    </row>
    <row r="6" spans="1:53" ht="13.5" customHeight="1" thickBot="1" x14ac:dyDescent="0.2">
      <c r="A6" s="36" t="s">
        <v>281</v>
      </c>
      <c r="B6" s="36"/>
      <c r="C6" s="36"/>
      <c r="D6" s="36"/>
      <c r="E6" s="36"/>
      <c r="F6" s="36"/>
      <c r="G6" s="45"/>
      <c r="H6" s="45"/>
      <c r="I6" s="45"/>
      <c r="J6" s="45"/>
      <c r="K6" s="45"/>
      <c r="L6" s="45"/>
      <c r="M6" s="45"/>
      <c r="N6" s="45"/>
      <c r="O6" s="45"/>
      <c r="P6" s="45"/>
      <c r="Q6" s="45"/>
      <c r="R6" s="45"/>
      <c r="S6" s="45"/>
      <c r="T6" s="45"/>
      <c r="U6" s="45"/>
      <c r="V6" s="45"/>
      <c r="W6" s="45"/>
      <c r="X6" s="46"/>
      <c r="Y6" s="46"/>
      <c r="Z6" s="46"/>
      <c r="AA6" s="47"/>
      <c r="AB6" s="47"/>
      <c r="AC6" s="48"/>
      <c r="AD6" s="49"/>
      <c r="AE6" s="50"/>
      <c r="AF6" s="51"/>
      <c r="AG6" s="52"/>
      <c r="AI6" s="36"/>
      <c r="AJ6" s="45"/>
      <c r="AW6" s="1585"/>
      <c r="AX6" s="1585"/>
      <c r="AY6" s="1585"/>
      <c r="AZ6" s="1585"/>
      <c r="BA6" s="1585"/>
    </row>
    <row r="7" spans="1:53" ht="15" customHeight="1" thickBot="1" x14ac:dyDescent="0.2">
      <c r="A7" s="50" t="s">
        <v>282</v>
      </c>
      <c r="B7" s="50"/>
      <c r="C7" s="50"/>
      <c r="D7" s="50"/>
      <c r="E7" s="50"/>
      <c r="F7" s="50"/>
      <c r="G7" s="50"/>
      <c r="H7" s="50"/>
      <c r="I7" s="50"/>
      <c r="J7" s="50"/>
      <c r="K7" s="50"/>
      <c r="L7" s="50"/>
      <c r="M7" s="50"/>
      <c r="N7" s="54"/>
      <c r="O7" s="55"/>
      <c r="P7" s="55"/>
      <c r="Q7" s="55"/>
      <c r="R7" s="55"/>
      <c r="S7" s="56"/>
      <c r="T7" s="1586" t="s">
        <v>283</v>
      </c>
      <c r="U7" s="1586"/>
      <c r="V7" s="1586"/>
      <c r="W7" s="1587"/>
      <c r="X7" s="1822">
        <v>45552</v>
      </c>
      <c r="Y7" s="1586"/>
      <c r="Z7" s="1586"/>
      <c r="AA7" s="1586"/>
      <c r="AB7" s="1586"/>
      <c r="AC7" s="1586"/>
      <c r="AD7" s="1586"/>
      <c r="AE7" s="1586"/>
      <c r="AF7" s="1591"/>
      <c r="AI7" s="36"/>
      <c r="AJ7" s="34"/>
      <c r="AK7" s="57"/>
      <c r="AW7" s="1585"/>
      <c r="AX7" s="1585"/>
      <c r="AY7" s="1585"/>
      <c r="AZ7" s="1585"/>
      <c r="BA7" s="1585"/>
    </row>
    <row r="8" spans="1:53" ht="15" customHeight="1" x14ac:dyDescent="0.15">
      <c r="A8" s="1594" t="s">
        <v>431</v>
      </c>
      <c r="B8" s="1595"/>
      <c r="C8" s="1596"/>
      <c r="D8" s="1603" t="s">
        <v>285</v>
      </c>
      <c r="E8" s="1604"/>
      <c r="F8" s="1604"/>
      <c r="G8" s="1605" t="s">
        <v>286</v>
      </c>
      <c r="H8" s="1606"/>
      <c r="I8" s="1606"/>
      <c r="J8" s="1606"/>
      <c r="K8" s="1606"/>
      <c r="L8" s="1606"/>
      <c r="M8" s="1606"/>
      <c r="N8" s="1606"/>
      <c r="O8" s="1606"/>
      <c r="P8" s="1606"/>
      <c r="Q8" s="1606"/>
      <c r="R8" s="1606"/>
      <c r="S8" s="1607"/>
      <c r="T8" s="1588"/>
      <c r="U8" s="1588"/>
      <c r="V8" s="1588"/>
      <c r="W8" s="1589"/>
      <c r="X8" s="1592"/>
      <c r="Y8" s="1588"/>
      <c r="Z8" s="1588"/>
      <c r="AA8" s="1588"/>
      <c r="AB8" s="1588"/>
      <c r="AC8" s="1588"/>
      <c r="AD8" s="1588"/>
      <c r="AE8" s="1588"/>
      <c r="AF8" s="1593"/>
      <c r="AI8" s="36"/>
      <c r="AJ8" s="34"/>
      <c r="AK8" s="57"/>
    </row>
    <row r="9" spans="1:53" ht="49.5" customHeight="1" x14ac:dyDescent="0.15">
      <c r="A9" s="1597"/>
      <c r="B9" s="1598"/>
      <c r="C9" s="1599"/>
      <c r="D9" s="1608" t="s">
        <v>247</v>
      </c>
      <c r="E9" s="1609"/>
      <c r="F9" s="1609"/>
      <c r="G9" s="1610" t="s">
        <v>221</v>
      </c>
      <c r="H9" s="1611"/>
      <c r="I9" s="1611"/>
      <c r="J9" s="1611"/>
      <c r="K9" s="1611"/>
      <c r="L9" s="1611"/>
      <c r="M9" s="1611"/>
      <c r="N9" s="1611"/>
      <c r="O9" s="1611"/>
      <c r="P9" s="1611"/>
      <c r="Q9" s="1611"/>
      <c r="R9" s="1611"/>
      <c r="S9" s="1612"/>
      <c r="T9" s="1613" t="s">
        <v>287</v>
      </c>
      <c r="U9" s="1614"/>
      <c r="V9" s="1614"/>
      <c r="W9" s="1615"/>
      <c r="X9" s="1616" t="s">
        <v>432</v>
      </c>
      <c r="Y9" s="1617"/>
      <c r="Z9" s="1617"/>
      <c r="AA9" s="1617"/>
      <c r="AB9" s="1617"/>
      <c r="AC9" s="1617"/>
      <c r="AD9" s="1617"/>
      <c r="AE9" s="1617"/>
      <c r="AF9" s="1618"/>
      <c r="AI9" s="36"/>
      <c r="AJ9" s="58"/>
      <c r="AK9" s="58"/>
    </row>
    <row r="10" spans="1:53" ht="22.5" customHeight="1" x14ac:dyDescent="0.15">
      <c r="A10" s="1597"/>
      <c r="B10" s="1598"/>
      <c r="C10" s="1599"/>
      <c r="D10" s="1619" t="s">
        <v>289</v>
      </c>
      <c r="E10" s="1619"/>
      <c r="F10" s="1619"/>
      <c r="G10" s="53" t="s">
        <v>290</v>
      </c>
      <c r="H10" s="59"/>
      <c r="I10" s="59"/>
      <c r="J10" s="60"/>
      <c r="K10" s="61"/>
      <c r="L10" s="61"/>
      <c r="M10" s="61"/>
      <c r="N10" s="60"/>
      <c r="O10" s="60"/>
      <c r="P10" s="61"/>
      <c r="Q10" s="61"/>
      <c r="R10" s="61"/>
      <c r="S10" s="61"/>
      <c r="T10" s="61"/>
      <c r="U10" s="61"/>
      <c r="V10" s="61"/>
      <c r="W10" s="61"/>
      <c r="X10" s="61"/>
      <c r="Y10" s="61"/>
      <c r="Z10" s="61"/>
      <c r="AA10" s="61"/>
      <c r="AB10" s="61"/>
      <c r="AC10" s="61"/>
      <c r="AD10" s="61"/>
      <c r="AE10" s="61"/>
      <c r="AF10" s="62"/>
      <c r="AK10" s="58"/>
    </row>
    <row r="11" spans="1:53" ht="31.5" customHeight="1" x14ac:dyDescent="0.15">
      <c r="A11" s="1600"/>
      <c r="B11" s="1601"/>
      <c r="C11" s="1602"/>
      <c r="D11" s="1620"/>
      <c r="E11" s="1620"/>
      <c r="F11" s="1620"/>
      <c r="G11" s="1592" t="s">
        <v>227</v>
      </c>
      <c r="H11" s="1588"/>
      <c r="I11" s="1588"/>
      <c r="J11" s="1588"/>
      <c r="K11" s="1588"/>
      <c r="L11" s="1588"/>
      <c r="M11" s="1588"/>
      <c r="N11" s="1588"/>
      <c r="O11" s="1588"/>
      <c r="P11" s="1588"/>
      <c r="Q11" s="1588"/>
      <c r="R11" s="1588"/>
      <c r="S11" s="1588"/>
      <c r="T11" s="1588"/>
      <c r="U11" s="64" t="s">
        <v>291</v>
      </c>
      <c r="V11" s="64"/>
      <c r="Y11" s="1588" t="s">
        <v>331</v>
      </c>
      <c r="Z11" s="1588"/>
      <c r="AA11" s="1588"/>
      <c r="AB11" s="1588"/>
      <c r="AC11" s="1588"/>
      <c r="AD11" s="1588"/>
      <c r="AE11" s="1588"/>
      <c r="AF11" s="1593"/>
      <c r="AK11" s="58"/>
    </row>
    <row r="12" spans="1:53" ht="15" customHeight="1" x14ac:dyDescent="0.15">
      <c r="A12" s="1623" t="s">
        <v>292</v>
      </c>
      <c r="B12" s="1624"/>
      <c r="C12" s="1624"/>
      <c r="D12" s="1624"/>
      <c r="E12" s="1624"/>
      <c r="F12" s="1625"/>
      <c r="G12" s="1626" t="s">
        <v>293</v>
      </c>
      <c r="H12" s="1627"/>
      <c r="I12" s="1627"/>
      <c r="J12" s="1627"/>
      <c r="K12" s="1627"/>
      <c r="L12" s="1627"/>
      <c r="M12" s="1627"/>
      <c r="N12" s="1627"/>
      <c r="O12" s="1627"/>
      <c r="P12" s="1627"/>
      <c r="Q12" s="1627"/>
      <c r="R12" s="1627"/>
      <c r="S12" s="1627"/>
      <c r="T12" s="1627"/>
      <c r="U12" s="1627"/>
      <c r="V12" s="1627"/>
      <c r="W12" s="1627"/>
      <c r="X12" s="1627"/>
      <c r="Y12" s="1627"/>
      <c r="Z12" s="1627"/>
      <c r="AA12" s="1627"/>
      <c r="AB12" s="1627"/>
      <c r="AC12" s="1627"/>
      <c r="AD12" s="1627"/>
      <c r="AE12" s="1627"/>
      <c r="AF12" s="1628"/>
    </row>
    <row r="13" spans="1:53" ht="21" customHeight="1" thickBot="1" x14ac:dyDescent="0.2">
      <c r="A13" s="1629" t="s">
        <v>294</v>
      </c>
      <c r="B13" s="1630"/>
      <c r="C13" s="1630"/>
      <c r="D13" s="1630"/>
      <c r="E13" s="1630"/>
      <c r="F13" s="1631"/>
      <c r="G13" s="1734">
        <f>'[2]（最新）アセスメントシート'!AG3</f>
        <v>0</v>
      </c>
      <c r="H13" s="1735"/>
      <c r="I13" s="1735"/>
      <c r="J13" s="1735"/>
      <c r="K13" s="1735"/>
      <c r="L13" s="1735"/>
      <c r="M13" s="1735"/>
      <c r="N13" s="1735"/>
      <c r="O13" s="1735"/>
      <c r="P13" s="1736"/>
      <c r="Q13" s="1632" t="s">
        <v>223</v>
      </c>
      <c r="R13" s="1633"/>
      <c r="S13" s="1633"/>
      <c r="T13" s="1633"/>
      <c r="U13" s="1633"/>
      <c r="V13" s="1634"/>
      <c r="W13" s="65">
        <v>2</v>
      </c>
      <c r="X13" s="65">
        <v>4</v>
      </c>
      <c r="Y13" s="65">
        <v>7</v>
      </c>
      <c r="Z13" s="65">
        <v>2</v>
      </c>
      <c r="AA13" s="65">
        <v>4</v>
      </c>
      <c r="AB13" s="65">
        <v>0</v>
      </c>
      <c r="AC13" s="65">
        <v>0</v>
      </c>
      <c r="AD13" s="65">
        <v>0</v>
      </c>
      <c r="AE13" s="65">
        <v>7</v>
      </c>
      <c r="AF13" s="66">
        <v>2</v>
      </c>
    </row>
    <row r="14" spans="1:53" ht="3" customHeight="1" thickBot="1" x14ac:dyDescent="0.2">
      <c r="A14" s="54"/>
      <c r="B14" s="55"/>
      <c r="C14" s="55"/>
      <c r="D14" s="54"/>
      <c r="E14" s="54"/>
      <c r="F14" s="54"/>
      <c r="G14" s="67"/>
      <c r="H14" s="67"/>
      <c r="I14" s="67"/>
      <c r="J14" s="67"/>
      <c r="K14" s="68"/>
      <c r="L14" s="68"/>
      <c r="M14" s="68"/>
      <c r="N14" s="68"/>
      <c r="O14" s="68"/>
      <c r="P14" s="67"/>
      <c r="Q14" s="69"/>
      <c r="R14" s="69"/>
      <c r="S14" s="69"/>
      <c r="T14" s="69"/>
      <c r="U14" s="70"/>
      <c r="V14" s="70"/>
      <c r="W14" s="69"/>
      <c r="X14" s="69"/>
      <c r="Y14" s="69"/>
      <c r="Z14" s="69"/>
      <c r="AA14" s="69"/>
      <c r="AB14" s="69"/>
      <c r="AC14" s="69"/>
      <c r="AD14" s="69"/>
      <c r="AE14" s="69"/>
      <c r="AF14" s="69"/>
      <c r="AJ14" s="71"/>
      <c r="AK14" s="64"/>
    </row>
    <row r="15" spans="1:53" ht="22.5" customHeight="1" thickBot="1" x14ac:dyDescent="0.2">
      <c r="A15" s="1635" t="s">
        <v>296</v>
      </c>
      <c r="B15" s="1637" t="s">
        <v>297</v>
      </c>
      <c r="C15" s="1638"/>
      <c r="D15" s="1638"/>
      <c r="E15" s="1638"/>
      <c r="F15" s="1639"/>
      <c r="G15" s="1760" t="str">
        <f>DBCS('[2]（最新）アセスメントシート'!E10)</f>
        <v/>
      </c>
      <c r="H15" s="1761"/>
      <c r="I15" s="1761"/>
      <c r="J15" s="1761"/>
      <c r="K15" s="1761"/>
      <c r="L15" s="1761"/>
      <c r="M15" s="1761"/>
      <c r="N15" s="1761"/>
      <c r="O15" s="1761"/>
      <c r="P15" s="1762"/>
      <c r="Q15" s="1640" t="s">
        <v>298</v>
      </c>
      <c r="R15" s="1641"/>
      <c r="S15" s="1641"/>
      <c r="T15" s="1642"/>
      <c r="U15" s="72"/>
      <c r="V15" s="72"/>
      <c r="W15" s="72"/>
      <c r="X15" s="72"/>
      <c r="Y15" s="72"/>
      <c r="Z15" s="72"/>
      <c r="AA15" s="72"/>
      <c r="AB15" s="72"/>
      <c r="AC15" s="72"/>
      <c r="AD15" s="72"/>
      <c r="AE15" s="72"/>
      <c r="AF15" s="72"/>
      <c r="AJ15" s="73"/>
      <c r="AK15" s="64"/>
    </row>
    <row r="16" spans="1:53" ht="15" customHeight="1" thickBot="1" x14ac:dyDescent="0.2">
      <c r="A16" s="1636"/>
      <c r="B16" s="1643" t="s">
        <v>285</v>
      </c>
      <c r="C16" s="1644"/>
      <c r="D16" s="1644"/>
      <c r="E16" s="1644"/>
      <c r="F16" s="1645"/>
      <c r="G16" s="1646">
        <f>'[2]（最新）アセスメントシート'!D4</f>
        <v>0</v>
      </c>
      <c r="H16" s="1647"/>
      <c r="I16" s="1647"/>
      <c r="J16" s="1647"/>
      <c r="K16" s="1647"/>
      <c r="L16" s="1647"/>
      <c r="M16" s="1647"/>
      <c r="N16" s="1647"/>
      <c r="O16" s="1647"/>
      <c r="P16" s="1648"/>
      <c r="Q16" s="1649" t="s">
        <v>299</v>
      </c>
      <c r="R16" s="1650"/>
      <c r="S16" s="1650"/>
      <c r="T16" s="1651"/>
      <c r="U16" s="1605">
        <f>'[2]（最新）アセスメントシート'!R5</f>
        <v>0</v>
      </c>
      <c r="V16" s="1606"/>
      <c r="W16" s="1606"/>
      <c r="X16" s="1606"/>
      <c r="Y16" s="1606"/>
      <c r="Z16" s="1606"/>
      <c r="AA16" s="1606"/>
      <c r="AB16" s="1606"/>
      <c r="AC16" s="1606"/>
      <c r="AD16" s="1606"/>
      <c r="AE16" s="1606"/>
      <c r="AF16" s="1684"/>
    </row>
    <row r="17" spans="1:37" ht="34.5" customHeight="1" x14ac:dyDescent="0.15">
      <c r="A17" s="1636"/>
      <c r="B17" s="1608" t="s">
        <v>247</v>
      </c>
      <c r="C17" s="1609"/>
      <c r="D17" s="1609"/>
      <c r="E17" s="1609"/>
      <c r="F17" s="1685"/>
      <c r="G17" s="1608">
        <f>'[2]（最新）アセスメントシート'!D5</f>
        <v>0</v>
      </c>
      <c r="H17" s="1609"/>
      <c r="I17" s="1609"/>
      <c r="J17" s="1609"/>
      <c r="K17" s="1609"/>
      <c r="L17" s="1609"/>
      <c r="M17" s="1609"/>
      <c r="N17" s="1609"/>
      <c r="O17" s="1609"/>
      <c r="P17" s="1685"/>
      <c r="Q17" s="1608" t="s">
        <v>246</v>
      </c>
      <c r="R17" s="1609"/>
      <c r="S17" s="1609"/>
      <c r="T17" s="1685"/>
      <c r="U17" s="1763">
        <f>'[2]（最新）アセスメントシート'!X5</f>
        <v>0</v>
      </c>
      <c r="V17" s="1764"/>
      <c r="W17" s="1764"/>
      <c r="X17" s="1764"/>
      <c r="Y17" s="1764"/>
      <c r="Z17" s="1764"/>
      <c r="AA17" s="1764"/>
      <c r="AB17" s="1764"/>
      <c r="AC17" s="1764"/>
      <c r="AD17" s="1764"/>
      <c r="AE17" s="1764"/>
      <c r="AF17" s="1765"/>
    </row>
    <row r="18" spans="1:37" ht="15" customHeight="1" x14ac:dyDescent="0.15">
      <c r="A18" s="1636"/>
      <c r="B18" s="1652" t="s">
        <v>289</v>
      </c>
      <c r="C18" s="1653"/>
      <c r="D18" s="1653"/>
      <c r="E18" s="1653"/>
      <c r="F18" s="1654"/>
      <c r="G18" s="53" t="s">
        <v>1061</v>
      </c>
      <c r="H18" s="75"/>
      <c r="I18" s="64"/>
      <c r="J18" s="64"/>
      <c r="K18" s="64"/>
      <c r="L18" s="64"/>
      <c r="M18" s="64"/>
      <c r="N18" s="61"/>
      <c r="O18" s="1686" t="s">
        <v>301</v>
      </c>
      <c r="P18" s="1686"/>
      <c r="Q18" s="1686"/>
      <c r="R18" s="1686"/>
      <c r="S18" s="1686"/>
      <c r="T18" s="1686"/>
      <c r="U18" s="1686"/>
      <c r="V18" s="1686"/>
      <c r="W18" s="1686"/>
      <c r="X18" s="1686"/>
      <c r="Y18" s="1686"/>
      <c r="Z18" s="1686"/>
      <c r="AA18" s="1686"/>
      <c r="AB18" s="1686"/>
      <c r="AC18" s="1686"/>
      <c r="AD18" s="1686"/>
      <c r="AE18" s="1686"/>
      <c r="AF18" s="1687"/>
    </row>
    <row r="19" spans="1:37" ht="15.75" customHeight="1" x14ac:dyDescent="0.15">
      <c r="A19" s="1636"/>
      <c r="B19" s="1655"/>
      <c r="C19" s="1656"/>
      <c r="D19" s="1656"/>
      <c r="E19" s="1656"/>
      <c r="F19" s="1657"/>
      <c r="G19" s="1688">
        <f>'[2]（最新）アセスメントシート'!D7</f>
        <v>0</v>
      </c>
      <c r="H19" s="1689"/>
      <c r="I19" s="1689"/>
      <c r="J19" s="1689"/>
      <c r="K19" s="1689"/>
      <c r="L19" s="1689"/>
      <c r="M19" s="1689"/>
      <c r="N19" s="1689"/>
      <c r="O19" s="1689"/>
      <c r="P19" s="1689"/>
      <c r="Q19" s="1689"/>
      <c r="R19" s="1689"/>
      <c r="S19" s="1689"/>
      <c r="T19" s="1689"/>
      <c r="U19" s="77"/>
      <c r="V19" s="77"/>
      <c r="W19" s="77"/>
      <c r="X19" s="77"/>
      <c r="Y19" s="77"/>
      <c r="Z19" s="77"/>
      <c r="AA19" s="77"/>
      <c r="AB19" s="77"/>
      <c r="AC19" s="77"/>
      <c r="AD19" s="77"/>
      <c r="AF19" s="78"/>
    </row>
    <row r="20" spans="1:37" ht="15.75" customHeight="1" x14ac:dyDescent="0.15">
      <c r="A20" s="1636"/>
      <c r="B20" s="1621"/>
      <c r="C20" s="1622"/>
      <c r="D20" s="1622"/>
      <c r="E20" s="1622"/>
      <c r="F20" s="1658"/>
      <c r="G20" s="1690"/>
      <c r="H20" s="1691"/>
      <c r="I20" s="1691"/>
      <c r="J20" s="1691"/>
      <c r="K20" s="1691"/>
      <c r="L20" s="1691"/>
      <c r="M20" s="1691"/>
      <c r="N20" s="1691"/>
      <c r="O20" s="1691"/>
      <c r="P20" s="1691"/>
      <c r="Q20" s="1691"/>
      <c r="R20" s="1691"/>
      <c r="S20" s="1691"/>
      <c r="T20" s="1691"/>
      <c r="U20" s="79" t="s">
        <v>291</v>
      </c>
      <c r="V20" s="79"/>
      <c r="W20" s="38"/>
      <c r="X20" s="38"/>
      <c r="Y20" s="38"/>
      <c r="Z20" s="38"/>
      <c r="AA20" s="38"/>
      <c r="AB20" s="38"/>
      <c r="AC20" s="38"/>
      <c r="AD20" s="38"/>
      <c r="AE20" s="38"/>
      <c r="AF20" s="78"/>
    </row>
    <row r="21" spans="1:37" ht="14.25" customHeight="1" x14ac:dyDescent="0.15">
      <c r="A21" s="1636"/>
      <c r="B21" s="1652" t="s">
        <v>303</v>
      </c>
      <c r="C21" s="1653"/>
      <c r="D21" s="1653"/>
      <c r="E21" s="1653"/>
      <c r="F21" s="1654"/>
      <c r="G21" s="1646" t="s">
        <v>305</v>
      </c>
      <c r="H21" s="1647"/>
      <c r="I21" s="1648"/>
      <c r="J21" s="1646">
        <f>'[2]（最新）アセスメントシート'!J10</f>
        <v>0</v>
      </c>
      <c r="K21" s="1647"/>
      <c r="L21" s="1647"/>
      <c r="M21" s="1647"/>
      <c r="N21" s="1647"/>
      <c r="O21" s="1647"/>
      <c r="P21" s="1647"/>
      <c r="Q21" s="1647"/>
      <c r="R21" s="1647"/>
      <c r="S21" s="1647"/>
      <c r="T21" s="1647"/>
      <c r="U21" s="1647"/>
      <c r="V21" s="1647"/>
      <c r="W21" s="1647"/>
      <c r="X21" s="1647"/>
      <c r="Y21" s="1647"/>
      <c r="Z21" s="1647"/>
      <c r="AA21" s="1647"/>
      <c r="AB21" s="1647"/>
      <c r="AC21" s="1647"/>
      <c r="AD21" s="1647"/>
      <c r="AE21" s="1647"/>
      <c r="AF21" s="1811"/>
    </row>
    <row r="22" spans="1:37" ht="14.25" customHeight="1" x14ac:dyDescent="0.15">
      <c r="A22" s="1636"/>
      <c r="B22" s="1621"/>
      <c r="C22" s="1622"/>
      <c r="D22" s="1622"/>
      <c r="E22" s="1622"/>
      <c r="F22" s="1658"/>
      <c r="G22" s="1713" t="s">
        <v>306</v>
      </c>
      <c r="H22" s="1714"/>
      <c r="I22" s="1812"/>
      <c r="J22" s="1799">
        <f>'[2]（最新）アセスメントシート'!V10</f>
        <v>0</v>
      </c>
      <c r="K22" s="1611"/>
      <c r="L22" s="1611"/>
      <c r="M22" s="1611"/>
      <c r="N22" s="1611"/>
      <c r="O22" s="1611"/>
      <c r="P22" s="1611"/>
      <c r="Q22" s="1611" t="s">
        <v>428</v>
      </c>
      <c r="R22" s="1611"/>
      <c r="S22" s="1611"/>
      <c r="T22" s="1801">
        <f>'[2]（最新）アセスメントシート'!AC10</f>
        <v>0</v>
      </c>
      <c r="U22" s="1611"/>
      <c r="V22" s="1611"/>
      <c r="W22" s="1611"/>
      <c r="X22" s="1611"/>
      <c r="Y22" s="1611"/>
      <c r="Z22" s="1611"/>
      <c r="AA22" s="1611"/>
      <c r="AB22" s="1611"/>
      <c r="AC22" s="1611"/>
      <c r="AD22" s="1611" t="s">
        <v>437</v>
      </c>
      <c r="AE22" s="1611"/>
      <c r="AF22" s="1800"/>
    </row>
    <row r="23" spans="1:37" s="52" customFormat="1" ht="13.5" customHeight="1" x14ac:dyDescent="0.15">
      <c r="A23" s="1636"/>
      <c r="B23" s="1652" t="s">
        <v>433</v>
      </c>
      <c r="C23" s="1653"/>
      <c r="D23" s="1653"/>
      <c r="E23" s="1653"/>
      <c r="F23" s="1654"/>
      <c r="G23" s="1813"/>
      <c r="H23" s="1814"/>
      <c r="I23" s="1814"/>
      <c r="J23" s="1814"/>
      <c r="K23" s="1814"/>
      <c r="L23" s="1814"/>
      <c r="M23" s="1814"/>
      <c r="N23" s="1814"/>
      <c r="O23" s="1814"/>
      <c r="P23" s="1814"/>
      <c r="Q23" s="1814"/>
      <c r="R23" s="1814"/>
      <c r="S23" s="1814"/>
      <c r="T23" s="1814"/>
      <c r="U23" s="1814"/>
      <c r="V23" s="1814"/>
      <c r="W23" s="1814"/>
      <c r="X23" s="1814"/>
      <c r="Y23" s="1814"/>
      <c r="Z23" s="1814"/>
      <c r="AA23" s="1814"/>
      <c r="AB23" s="1814"/>
      <c r="AC23" s="1814"/>
      <c r="AD23" s="1814"/>
      <c r="AE23" s="1814"/>
      <c r="AF23" s="1815"/>
      <c r="AJ23" s="73"/>
    </row>
    <row r="24" spans="1:37" s="52" customFormat="1" ht="15" customHeight="1" x14ac:dyDescent="0.15">
      <c r="A24" s="1636"/>
      <c r="B24" s="1621"/>
      <c r="C24" s="1622"/>
      <c r="D24" s="1622"/>
      <c r="E24" s="1622"/>
      <c r="F24" s="1658"/>
      <c r="G24" s="1816"/>
      <c r="H24" s="1817"/>
      <c r="I24" s="1817"/>
      <c r="J24" s="1817"/>
      <c r="K24" s="1817"/>
      <c r="L24" s="1817"/>
      <c r="M24" s="1817"/>
      <c r="N24" s="1817"/>
      <c r="O24" s="1817"/>
      <c r="P24" s="1817"/>
      <c r="Q24" s="1817"/>
      <c r="R24" s="1817"/>
      <c r="S24" s="1817"/>
      <c r="T24" s="1817"/>
      <c r="U24" s="1817"/>
      <c r="V24" s="1817"/>
      <c r="W24" s="1817"/>
      <c r="X24" s="1817"/>
      <c r="Y24" s="1817"/>
      <c r="Z24" s="1817"/>
      <c r="AA24" s="1817"/>
      <c r="AB24" s="1817"/>
      <c r="AC24" s="1817"/>
      <c r="AD24" s="1817"/>
      <c r="AE24" s="1817"/>
      <c r="AF24" s="1818"/>
      <c r="AJ24" s="73"/>
    </row>
    <row r="25" spans="1:37" ht="23.25" customHeight="1" x14ac:dyDescent="0.15">
      <c r="A25" s="1636"/>
      <c r="B25" s="1678" t="s">
        <v>310</v>
      </c>
      <c r="C25" s="1679"/>
      <c r="D25" s="1679"/>
      <c r="E25" s="1679"/>
      <c r="F25" s="1680"/>
      <c r="G25" s="1692" t="s">
        <v>311</v>
      </c>
      <c r="H25" s="1693"/>
      <c r="I25" s="1693"/>
      <c r="J25" s="1693"/>
      <c r="K25" s="1693"/>
      <c r="L25" s="1694"/>
      <c r="M25" s="1819" t="s">
        <v>312</v>
      </c>
      <c r="N25" s="1820"/>
      <c r="O25" s="1820"/>
      <c r="P25" s="1820"/>
      <c r="Q25" s="1820"/>
      <c r="R25" s="1820"/>
      <c r="S25" s="1820"/>
      <c r="T25" s="1820"/>
      <c r="U25" s="1821"/>
      <c r="V25" s="1696" t="s">
        <v>313</v>
      </c>
      <c r="W25" s="1697"/>
      <c r="X25" s="1697"/>
      <c r="Y25" s="1697"/>
      <c r="Z25" s="1698"/>
      <c r="AA25" s="1802" t="s">
        <v>434</v>
      </c>
      <c r="AB25" s="1803"/>
      <c r="AC25" s="1803"/>
      <c r="AD25" s="1803"/>
      <c r="AE25" s="1803"/>
      <c r="AF25" s="1804"/>
      <c r="AJ25" s="73"/>
      <c r="AK25" s="52"/>
    </row>
    <row r="26" spans="1:37" ht="23.25" customHeight="1" x14ac:dyDescent="0.15">
      <c r="A26" s="1636"/>
      <c r="B26" s="1681"/>
      <c r="C26" s="1682"/>
      <c r="D26" s="1682"/>
      <c r="E26" s="1682"/>
      <c r="F26" s="1683"/>
      <c r="G26" s="1692" t="s">
        <v>314</v>
      </c>
      <c r="H26" s="1693"/>
      <c r="I26" s="1693"/>
      <c r="J26" s="1693"/>
      <c r="K26" s="1693"/>
      <c r="L26" s="1694"/>
      <c r="M26" s="1665" t="s">
        <v>315</v>
      </c>
      <c r="N26" s="1698"/>
      <c r="O26" s="80"/>
      <c r="P26" s="80"/>
      <c r="Q26" s="80"/>
      <c r="R26" s="80"/>
      <c r="S26" s="80"/>
      <c r="T26" s="80"/>
      <c r="U26" s="80"/>
      <c r="V26" s="1665" t="s">
        <v>316</v>
      </c>
      <c r="W26" s="1697"/>
      <c r="X26" s="1698"/>
      <c r="Y26" s="1805"/>
      <c r="Z26" s="1806"/>
      <c r="AA26" s="1806"/>
      <c r="AB26" s="1806"/>
      <c r="AC26" s="1806"/>
      <c r="AD26" s="1806"/>
      <c r="AE26" s="1806"/>
      <c r="AF26" s="1807"/>
      <c r="AJ26" s="73"/>
      <c r="AK26" s="52"/>
    </row>
    <row r="27" spans="1:37" s="36" customFormat="1" ht="28.5" customHeight="1" thickBot="1" x14ac:dyDescent="0.2">
      <c r="A27" s="1636"/>
      <c r="B27" s="1793" t="s">
        <v>317</v>
      </c>
      <c r="C27" s="1794"/>
      <c r="D27" s="1794"/>
      <c r="E27" s="1794"/>
      <c r="F27" s="1795"/>
      <c r="G27" s="1796" t="s">
        <v>318</v>
      </c>
      <c r="H27" s="1797"/>
      <c r="I27" s="1797"/>
      <c r="J27" s="1797"/>
      <c r="K27" s="1797"/>
      <c r="L27" s="1797"/>
      <c r="M27" s="1797"/>
      <c r="N27" s="1797"/>
      <c r="O27" s="1797"/>
      <c r="P27" s="1797"/>
      <c r="Q27" s="1797"/>
      <c r="R27" s="1797"/>
      <c r="S27" s="1797"/>
      <c r="T27" s="1797"/>
      <c r="U27" s="1797"/>
      <c r="V27" s="1797"/>
      <c r="W27" s="1797"/>
      <c r="X27" s="1797"/>
      <c r="Y27" s="1797"/>
      <c r="Z27" s="1797"/>
      <c r="AA27" s="1797"/>
      <c r="AB27" s="1797"/>
      <c r="AC27" s="1797"/>
      <c r="AD27" s="1797"/>
      <c r="AE27" s="1797"/>
      <c r="AF27" s="1798"/>
      <c r="AG27" s="34"/>
      <c r="AH27" s="34"/>
      <c r="AI27" s="34"/>
      <c r="AJ27" s="81"/>
      <c r="AK27" s="82"/>
    </row>
    <row r="28" spans="1:37" ht="3" customHeight="1" thickBot="1" x14ac:dyDescent="0.2">
      <c r="A28" s="83"/>
      <c r="B28" s="84"/>
      <c r="C28" s="84"/>
      <c r="D28" s="84"/>
      <c r="E28" s="84"/>
      <c r="F28" s="84"/>
      <c r="G28" s="176"/>
      <c r="H28" s="176"/>
      <c r="I28" s="176"/>
      <c r="J28" s="176"/>
      <c r="K28" s="176"/>
      <c r="L28" s="176"/>
      <c r="M28" s="176"/>
      <c r="N28" s="176"/>
      <c r="O28" s="176"/>
      <c r="P28" s="176"/>
      <c r="Q28" s="176"/>
      <c r="R28" s="176"/>
      <c r="S28" s="176"/>
      <c r="T28" s="176"/>
      <c r="U28" s="176"/>
      <c r="V28" s="176"/>
      <c r="W28" s="176"/>
      <c r="X28" s="176"/>
      <c r="Y28" s="176"/>
      <c r="Z28" s="176"/>
      <c r="AA28" s="176"/>
      <c r="AB28" s="176"/>
      <c r="AC28" s="176"/>
      <c r="AD28" s="176"/>
      <c r="AE28" s="67"/>
      <c r="AF28" s="67"/>
      <c r="AJ28" s="71"/>
      <c r="AK28" s="64"/>
    </row>
    <row r="29" spans="1:37" ht="15.75" customHeight="1" x14ac:dyDescent="0.15">
      <c r="A29" s="1704" t="s">
        <v>319</v>
      </c>
      <c r="B29" s="1595" t="s">
        <v>320</v>
      </c>
      <c r="C29" s="1595"/>
      <c r="D29" s="1595"/>
      <c r="E29" s="1595"/>
      <c r="F29" s="1596"/>
      <c r="G29" s="86" t="s">
        <v>321</v>
      </c>
      <c r="H29" s="71"/>
      <c r="I29" s="71"/>
      <c r="J29" s="71"/>
      <c r="K29" s="71"/>
      <c r="L29" s="71"/>
      <c r="M29" s="64"/>
      <c r="N29" s="87"/>
      <c r="O29" s="88" t="s">
        <v>322</v>
      </c>
      <c r="P29" s="64"/>
      <c r="Q29" s="64" t="s">
        <v>323</v>
      </c>
      <c r="R29" s="64"/>
      <c r="S29" s="64"/>
      <c r="T29" s="64"/>
      <c r="U29" s="75"/>
      <c r="V29" s="64"/>
      <c r="W29" s="64"/>
      <c r="X29" s="64"/>
      <c r="Y29" s="64"/>
      <c r="Z29" s="64"/>
      <c r="AA29" s="64"/>
      <c r="AB29" s="89"/>
      <c r="AC29" s="89"/>
      <c r="AD29" s="90"/>
      <c r="AE29" s="52"/>
      <c r="AF29" s="91"/>
      <c r="AJ29" s="71"/>
      <c r="AK29" s="64"/>
    </row>
    <row r="30" spans="1:37" ht="11.25" customHeight="1" x14ac:dyDescent="0.15">
      <c r="A30" s="1705"/>
      <c r="B30" s="1598"/>
      <c r="C30" s="1598"/>
      <c r="D30" s="1598"/>
      <c r="E30" s="1598"/>
      <c r="F30" s="1599"/>
      <c r="G30" s="1707" t="s">
        <v>324</v>
      </c>
      <c r="H30" s="1708"/>
      <c r="I30" s="1708"/>
      <c r="J30" s="1708"/>
      <c r="K30" s="1708"/>
      <c r="L30" s="1708"/>
      <c r="M30" s="1708"/>
      <c r="N30" s="1709"/>
      <c r="O30" s="1713" t="s">
        <v>302</v>
      </c>
      <c r="P30" s="1714"/>
      <c r="Q30" s="1714"/>
      <c r="R30" s="1714"/>
      <c r="S30" s="1714"/>
      <c r="T30" s="1714"/>
      <c r="U30" s="1714"/>
      <c r="V30" s="1714"/>
      <c r="W30" s="1714"/>
      <c r="X30" s="1714"/>
      <c r="Y30" s="1714"/>
      <c r="Z30" s="1714"/>
      <c r="AA30" s="1714"/>
      <c r="AB30" s="1714"/>
      <c r="AC30" s="1714"/>
      <c r="AD30" s="1714"/>
      <c r="AE30" s="1714"/>
      <c r="AF30" s="1715"/>
      <c r="AJ30" s="71"/>
      <c r="AK30" s="64"/>
    </row>
    <row r="31" spans="1:37" ht="16.5" customHeight="1" x14ac:dyDescent="0.25">
      <c r="A31" s="1705"/>
      <c r="B31" s="1601"/>
      <c r="C31" s="1601"/>
      <c r="D31" s="1601"/>
      <c r="E31" s="1601"/>
      <c r="F31" s="1602"/>
      <c r="G31" s="1710"/>
      <c r="H31" s="1711"/>
      <c r="I31" s="1711"/>
      <c r="J31" s="1711"/>
      <c r="K31" s="1711"/>
      <c r="L31" s="1711"/>
      <c r="M31" s="1711"/>
      <c r="N31" s="1712"/>
      <c r="O31" s="92"/>
      <c r="P31" s="93"/>
      <c r="Q31" s="79"/>
      <c r="R31" s="38"/>
      <c r="S31" s="38"/>
      <c r="T31" s="38" t="s">
        <v>291</v>
      </c>
      <c r="V31" s="38"/>
      <c r="W31" s="38"/>
      <c r="X31" s="1716" t="s">
        <v>325</v>
      </c>
      <c r="Y31" s="1716"/>
      <c r="Z31" s="1716"/>
      <c r="AA31" s="1716"/>
      <c r="AB31" s="1716"/>
      <c r="AC31" s="1716"/>
      <c r="AD31" s="1716"/>
      <c r="AE31" s="1716"/>
      <c r="AF31" s="1717"/>
      <c r="AJ31" s="71"/>
      <c r="AK31" s="64"/>
    </row>
    <row r="32" spans="1:37" ht="16.5" customHeight="1" x14ac:dyDescent="0.15">
      <c r="A32" s="1705"/>
      <c r="B32" s="1718" t="s">
        <v>326</v>
      </c>
      <c r="C32" s="1718"/>
      <c r="D32" s="1718"/>
      <c r="E32" s="1718"/>
      <c r="F32" s="1719"/>
      <c r="G32" s="1720" t="s">
        <v>327</v>
      </c>
      <c r="H32" s="1721"/>
      <c r="I32" s="1724"/>
      <c r="J32" s="1724"/>
      <c r="K32" s="1724"/>
      <c r="L32" s="1724"/>
      <c r="M32" s="1724"/>
      <c r="N32" s="1725"/>
      <c r="O32" s="94" t="s">
        <v>287</v>
      </c>
      <c r="P32" s="95"/>
      <c r="Q32" s="95"/>
      <c r="R32" s="95"/>
      <c r="S32" s="96"/>
      <c r="T32" s="53" t="s">
        <v>329</v>
      </c>
      <c r="U32" s="97"/>
      <c r="V32" s="53"/>
      <c r="W32" s="53"/>
      <c r="X32" s="53"/>
      <c r="Y32" s="53"/>
      <c r="AD32" s="98"/>
      <c r="AF32" s="62"/>
      <c r="AJ32" s="73"/>
      <c r="AK32" s="64"/>
    </row>
    <row r="33" spans="1:37" ht="23.25" customHeight="1" x14ac:dyDescent="0.15">
      <c r="A33" s="1705"/>
      <c r="B33" s="1784" t="s">
        <v>330</v>
      </c>
      <c r="C33" s="1784"/>
      <c r="D33" s="1784"/>
      <c r="E33" s="1784"/>
      <c r="F33" s="1785"/>
      <c r="G33" s="1722"/>
      <c r="H33" s="1723"/>
      <c r="I33" s="1809">
        <f>G13</f>
        <v>0</v>
      </c>
      <c r="J33" s="1809"/>
      <c r="K33" s="1809"/>
      <c r="L33" s="1809"/>
      <c r="M33" s="1809"/>
      <c r="N33" s="1810"/>
      <c r="O33" s="1786" t="s">
        <v>288</v>
      </c>
      <c r="P33" s="1787"/>
      <c r="Q33" s="1787"/>
      <c r="R33" s="1787"/>
      <c r="S33" s="1788"/>
      <c r="T33" s="1621" t="s">
        <v>331</v>
      </c>
      <c r="U33" s="1622"/>
      <c r="V33" s="1622"/>
      <c r="W33" s="1622"/>
      <c r="X33" s="1622"/>
      <c r="Y33" s="1622"/>
      <c r="Z33" s="1622"/>
      <c r="AA33" s="1622"/>
      <c r="AB33" s="1622"/>
      <c r="AC33" s="1622"/>
      <c r="AD33" s="1622"/>
      <c r="AE33" s="1622"/>
      <c r="AF33" s="1789"/>
      <c r="AJ33" s="71"/>
      <c r="AK33" s="64"/>
    </row>
    <row r="34" spans="1:37" ht="18" customHeight="1" x14ac:dyDescent="0.15">
      <c r="A34" s="1705"/>
      <c r="B34" s="1609" t="s">
        <v>332</v>
      </c>
      <c r="C34" s="1609"/>
      <c r="D34" s="1609"/>
      <c r="E34" s="1609"/>
      <c r="F34" s="1685"/>
      <c r="G34" s="1790" t="s">
        <v>333</v>
      </c>
      <c r="H34" s="1791"/>
      <c r="I34" s="1791"/>
      <c r="J34" s="1791"/>
      <c r="K34" s="1791"/>
      <c r="L34" s="1791"/>
      <c r="M34" s="1791"/>
      <c r="N34" s="1791"/>
      <c r="O34" s="1791"/>
      <c r="P34" s="1791"/>
      <c r="Q34" s="1791"/>
      <c r="R34" s="1791"/>
      <c r="S34" s="1791"/>
      <c r="T34" s="1791"/>
      <c r="U34" s="1791"/>
      <c r="V34" s="1791"/>
      <c r="W34" s="1791"/>
      <c r="X34" s="1791"/>
      <c r="Y34" s="1791"/>
      <c r="Z34" s="1791"/>
      <c r="AA34" s="1791"/>
      <c r="AB34" s="1791"/>
      <c r="AC34" s="1791"/>
      <c r="AD34" s="1791"/>
      <c r="AE34" s="1791"/>
      <c r="AF34" s="1792"/>
      <c r="AG34" s="52"/>
      <c r="AH34" s="52"/>
      <c r="AI34" s="52"/>
      <c r="AJ34" s="73"/>
      <c r="AK34" s="52"/>
    </row>
    <row r="35" spans="1:37" ht="31.5" customHeight="1" thickBot="1" x14ac:dyDescent="0.2">
      <c r="A35" s="1706"/>
      <c r="B35" s="1734" t="s">
        <v>334</v>
      </c>
      <c r="C35" s="1735"/>
      <c r="D35" s="1735"/>
      <c r="E35" s="1735"/>
      <c r="F35" s="1736"/>
      <c r="G35" s="1808" t="s">
        <v>435</v>
      </c>
      <c r="H35" s="1738"/>
      <c r="I35" s="1738"/>
      <c r="J35" s="1738"/>
      <c r="K35" s="1738"/>
      <c r="L35" s="1738"/>
      <c r="M35" s="1738"/>
      <c r="N35" s="1738"/>
      <c r="O35" s="1738"/>
      <c r="P35" s="1738"/>
      <c r="Q35" s="1738"/>
      <c r="R35" s="1738"/>
      <c r="S35" s="1738"/>
      <c r="T35" s="1738"/>
      <c r="U35" s="1738"/>
      <c r="V35" s="1738"/>
      <c r="W35" s="1738"/>
      <c r="X35" s="1738"/>
      <c r="Y35" s="1738"/>
      <c r="Z35" s="1738"/>
      <c r="AA35" s="1738"/>
      <c r="AB35" s="1738"/>
      <c r="AC35" s="1738"/>
      <c r="AD35" s="1738"/>
      <c r="AE35" s="1738"/>
      <c r="AF35" s="1739"/>
      <c r="AG35" s="52"/>
      <c r="AH35" s="52"/>
      <c r="AI35" s="52"/>
      <c r="AJ35" s="73"/>
      <c r="AK35" s="52"/>
    </row>
    <row r="36" spans="1:37" ht="3" customHeight="1" thickBot="1" x14ac:dyDescent="0.2">
      <c r="A36" s="99"/>
      <c r="B36" s="53"/>
      <c r="C36" s="53"/>
      <c r="D36" s="53"/>
      <c r="E36" s="53"/>
      <c r="F36" s="53"/>
      <c r="G36" s="100"/>
      <c r="H36" s="100"/>
      <c r="I36" s="100"/>
      <c r="J36" s="100"/>
      <c r="K36" s="100"/>
      <c r="L36" s="100"/>
      <c r="M36" s="67"/>
      <c r="N36" s="67"/>
      <c r="O36" s="67"/>
      <c r="P36" s="67"/>
      <c r="Q36" s="67"/>
      <c r="R36" s="67"/>
      <c r="S36" s="67"/>
      <c r="T36" s="67"/>
      <c r="U36" s="67"/>
      <c r="V36" s="101"/>
      <c r="W36" s="102"/>
      <c r="X36" s="102"/>
      <c r="Y36" s="102"/>
      <c r="Z36" s="102"/>
      <c r="AA36" s="102"/>
      <c r="AB36" s="102"/>
      <c r="AC36" s="102"/>
      <c r="AD36" s="102"/>
      <c r="AE36" s="67"/>
      <c r="AF36" s="67"/>
    </row>
    <row r="37" spans="1:37" ht="13.5" customHeight="1" x14ac:dyDescent="0.15">
      <c r="A37" s="1726" t="s">
        <v>335</v>
      </c>
      <c r="B37" s="1595" t="s">
        <v>336</v>
      </c>
      <c r="C37" s="1595"/>
      <c r="D37" s="1595"/>
      <c r="E37" s="1595"/>
      <c r="F37" s="1595"/>
      <c r="G37" s="1590" t="s">
        <v>222</v>
      </c>
      <c r="H37" s="1586"/>
      <c r="I37" s="1586"/>
      <c r="J37" s="1586"/>
      <c r="K37" s="1586"/>
      <c r="L37" s="1586"/>
      <c r="M37" s="1586"/>
      <c r="N37" s="1586"/>
      <c r="O37" s="1586"/>
      <c r="P37" s="1587"/>
      <c r="Q37" s="103" t="s">
        <v>337</v>
      </c>
      <c r="R37" s="104"/>
      <c r="S37" s="104"/>
      <c r="T37" s="104"/>
      <c r="U37" s="104"/>
      <c r="V37" s="104"/>
      <c r="W37" s="104"/>
      <c r="X37" s="104"/>
      <c r="Y37" s="104"/>
      <c r="Z37" s="104"/>
      <c r="AA37" s="104"/>
      <c r="AB37" s="104"/>
      <c r="AC37" s="104"/>
      <c r="AD37" s="104"/>
      <c r="AE37" s="104"/>
      <c r="AF37" s="105"/>
      <c r="AG37" s="52"/>
      <c r="AH37" s="52"/>
      <c r="AI37" s="52"/>
      <c r="AJ37" s="73"/>
      <c r="AK37" s="52"/>
    </row>
    <row r="38" spans="1:37" ht="16.5" customHeight="1" x14ac:dyDescent="0.15">
      <c r="A38" s="1727"/>
      <c r="B38" s="1588"/>
      <c r="C38" s="1588"/>
      <c r="D38" s="1588"/>
      <c r="E38" s="1588"/>
      <c r="F38" s="1588"/>
      <c r="G38" s="1592"/>
      <c r="H38" s="1588"/>
      <c r="I38" s="1588"/>
      <c r="J38" s="1588"/>
      <c r="K38" s="1588"/>
      <c r="L38" s="1588"/>
      <c r="M38" s="1588"/>
      <c r="N38" s="1588"/>
      <c r="O38" s="1588"/>
      <c r="P38" s="1589"/>
      <c r="Q38" s="53" t="s">
        <v>338</v>
      </c>
      <c r="R38" s="106"/>
      <c r="S38" s="53"/>
      <c r="T38" s="53"/>
      <c r="U38" s="53"/>
      <c r="V38" s="53"/>
      <c r="W38" s="53"/>
      <c r="X38" s="53"/>
      <c r="Y38" s="53"/>
      <c r="Z38" s="53"/>
      <c r="AA38" s="53"/>
      <c r="AB38" s="53"/>
      <c r="AC38" s="53"/>
      <c r="AD38" s="107"/>
      <c r="AF38" s="78"/>
      <c r="AK38" s="53"/>
    </row>
    <row r="39" spans="1:37" ht="33" customHeight="1" x14ac:dyDescent="0.15">
      <c r="A39" s="1728"/>
      <c r="B39" s="1733" t="s">
        <v>339</v>
      </c>
      <c r="C39" s="1609"/>
      <c r="D39" s="1609"/>
      <c r="E39" s="1609"/>
      <c r="F39" s="1609"/>
      <c r="G39" s="1610" t="s">
        <v>340</v>
      </c>
      <c r="H39" s="1611"/>
      <c r="I39" s="1611"/>
      <c r="J39" s="1611"/>
      <c r="K39" s="1611"/>
      <c r="L39" s="1611"/>
      <c r="M39" s="1611"/>
      <c r="N39" s="1611"/>
      <c r="O39" s="1611"/>
      <c r="P39" s="1612"/>
      <c r="Q39" s="108" t="s">
        <v>291</v>
      </c>
      <c r="R39" s="109"/>
      <c r="S39" s="109"/>
      <c r="T39" s="109"/>
      <c r="U39" s="109"/>
      <c r="V39" s="109"/>
      <c r="W39" s="109"/>
      <c r="X39" s="109"/>
      <c r="Y39" s="109"/>
      <c r="Z39" s="109"/>
      <c r="AA39" s="109"/>
      <c r="AB39" s="109"/>
      <c r="AC39" s="109"/>
      <c r="AD39" s="110"/>
      <c r="AE39" s="38"/>
      <c r="AF39" s="111"/>
    </row>
    <row r="40" spans="1:37" ht="14.25" customHeight="1" x14ac:dyDescent="0.15">
      <c r="A40" s="1728"/>
      <c r="B40" s="112" t="s">
        <v>341</v>
      </c>
      <c r="C40" s="74"/>
      <c r="D40" s="74"/>
      <c r="E40" s="74"/>
      <c r="F40" s="74"/>
      <c r="G40" s="113"/>
      <c r="H40" s="113"/>
      <c r="I40" s="113"/>
      <c r="J40" s="113"/>
      <c r="K40" s="113"/>
      <c r="L40" s="113"/>
      <c r="M40" s="113"/>
      <c r="N40" s="113"/>
      <c r="O40" s="61"/>
      <c r="P40" s="114"/>
      <c r="R40" s="53"/>
      <c r="S40" s="53"/>
      <c r="T40" s="53"/>
      <c r="U40" s="53"/>
      <c r="V40" s="53"/>
      <c r="W40" s="53"/>
      <c r="X40" s="53"/>
      <c r="Y40" s="53"/>
      <c r="Z40" s="53"/>
      <c r="AA40" s="53"/>
      <c r="AB40" s="53"/>
      <c r="AC40" s="53"/>
      <c r="AD40" s="107"/>
      <c r="AF40" s="78"/>
      <c r="AJ40" s="73"/>
    </row>
    <row r="41" spans="1:37" ht="14.25" customHeight="1" x14ac:dyDescent="0.15">
      <c r="A41" s="1728"/>
      <c r="B41" s="115" t="s">
        <v>342</v>
      </c>
      <c r="C41" s="63"/>
      <c r="D41" s="63"/>
      <c r="E41" s="63"/>
      <c r="F41" s="63"/>
      <c r="G41" s="116"/>
      <c r="H41" s="116"/>
      <c r="I41" s="116"/>
      <c r="J41" s="116"/>
      <c r="K41" s="116"/>
      <c r="L41" s="116"/>
      <c r="M41" s="116"/>
      <c r="N41" s="116"/>
      <c r="O41" s="38"/>
      <c r="P41" s="109"/>
      <c r="R41" s="53"/>
      <c r="S41" s="53"/>
      <c r="T41" s="53"/>
      <c r="U41" s="53"/>
      <c r="V41" s="53"/>
      <c r="W41" s="53"/>
      <c r="X41" s="53"/>
      <c r="Y41" s="53"/>
      <c r="Z41" s="53"/>
      <c r="AA41" s="53"/>
      <c r="AB41" s="53"/>
      <c r="AC41" s="53"/>
      <c r="AD41" s="107"/>
      <c r="AF41" s="78"/>
    </row>
    <row r="42" spans="1:37" s="117" customFormat="1" ht="31.5" customHeight="1" thickBot="1" x14ac:dyDescent="0.2">
      <c r="A42" s="1729"/>
      <c r="B42" s="1734" t="s">
        <v>334</v>
      </c>
      <c r="C42" s="1735"/>
      <c r="D42" s="1735"/>
      <c r="E42" s="1735"/>
      <c r="F42" s="1736"/>
      <c r="G42" s="1737" t="s">
        <v>436</v>
      </c>
      <c r="H42" s="1738"/>
      <c r="I42" s="1738"/>
      <c r="J42" s="1738"/>
      <c r="K42" s="1738"/>
      <c r="L42" s="1738"/>
      <c r="M42" s="1738"/>
      <c r="N42" s="1738"/>
      <c r="O42" s="1738"/>
      <c r="P42" s="1738"/>
      <c r="Q42" s="1738"/>
      <c r="R42" s="1738"/>
      <c r="S42" s="1738"/>
      <c r="T42" s="1738"/>
      <c r="U42" s="1738"/>
      <c r="V42" s="1738"/>
      <c r="W42" s="1738"/>
      <c r="X42" s="1738"/>
      <c r="Y42" s="1738"/>
      <c r="Z42" s="1738"/>
      <c r="AA42" s="1738"/>
      <c r="AB42" s="1738"/>
      <c r="AC42" s="1738"/>
      <c r="AD42" s="1738"/>
      <c r="AE42" s="1738"/>
      <c r="AF42" s="1739"/>
      <c r="AJ42" s="118"/>
    </row>
    <row r="43" spans="1:37" s="36" customFormat="1" ht="3" customHeight="1" thickBot="1" x14ac:dyDescent="0.45">
      <c r="B43" s="119"/>
      <c r="C43" s="119"/>
      <c r="D43" s="119"/>
      <c r="E43" s="119"/>
      <c r="F43" s="119"/>
      <c r="G43" s="76"/>
      <c r="H43" s="76"/>
      <c r="I43" s="76"/>
      <c r="J43" s="76"/>
      <c r="K43" s="76"/>
      <c r="L43" s="76"/>
      <c r="M43" s="76"/>
      <c r="N43" s="76"/>
      <c r="O43" s="76"/>
      <c r="P43" s="76"/>
      <c r="Q43" s="76"/>
      <c r="R43" s="76"/>
      <c r="S43" s="76"/>
      <c r="T43" s="76"/>
      <c r="U43" s="76"/>
      <c r="V43" s="71"/>
      <c r="W43" s="76"/>
      <c r="X43" s="76"/>
      <c r="Y43" s="76"/>
      <c r="Z43" s="76"/>
      <c r="AA43" s="76"/>
      <c r="AB43" s="76"/>
      <c r="AC43" s="76"/>
      <c r="AD43" s="76"/>
    </row>
    <row r="44" spans="1:37" ht="11.1" customHeight="1" x14ac:dyDescent="0.15">
      <c r="A44" s="120"/>
      <c r="B44" s="121"/>
      <c r="C44" s="121"/>
      <c r="D44" s="121"/>
      <c r="E44" s="121"/>
      <c r="F44" s="122"/>
      <c r="G44" s="1766" t="s">
        <v>344</v>
      </c>
      <c r="H44" s="1767"/>
      <c r="I44" s="1767"/>
      <c r="J44" s="1767"/>
      <c r="K44" s="1767"/>
      <c r="L44" s="1767"/>
      <c r="M44" s="1767"/>
      <c r="N44" s="1767"/>
      <c r="O44" s="1767"/>
      <c r="P44" s="1767"/>
      <c r="Q44" s="1767"/>
      <c r="R44" s="1767"/>
      <c r="S44" s="1767"/>
      <c r="T44" s="1767"/>
      <c r="U44" s="1767"/>
      <c r="V44" s="1767"/>
      <c r="W44" s="1767"/>
      <c r="X44" s="1767"/>
      <c r="Y44" s="1767"/>
      <c r="Z44" s="1767"/>
      <c r="AA44" s="1767"/>
      <c r="AB44" s="1767"/>
      <c r="AC44" s="1767"/>
      <c r="AD44" s="1767"/>
      <c r="AE44" s="1767"/>
      <c r="AF44" s="1768"/>
      <c r="AG44" s="120"/>
    </row>
    <row r="45" spans="1:37" ht="11.1" customHeight="1" x14ac:dyDescent="0.15">
      <c r="A45" s="123" t="s">
        <v>345</v>
      </c>
      <c r="B45" s="1772" t="s">
        <v>346</v>
      </c>
      <c r="C45" s="1773"/>
      <c r="D45" s="1773"/>
      <c r="E45" s="1774"/>
      <c r="F45" s="122"/>
      <c r="G45" s="1769"/>
      <c r="H45" s="1770"/>
      <c r="I45" s="1770"/>
      <c r="J45" s="1770"/>
      <c r="K45" s="1770"/>
      <c r="L45" s="1770"/>
      <c r="M45" s="1770"/>
      <c r="N45" s="1770"/>
      <c r="O45" s="1770"/>
      <c r="P45" s="1770"/>
      <c r="Q45" s="1770"/>
      <c r="R45" s="1770"/>
      <c r="S45" s="1770"/>
      <c r="T45" s="1770"/>
      <c r="U45" s="1770"/>
      <c r="V45" s="1770"/>
      <c r="W45" s="1770"/>
      <c r="X45" s="1770"/>
      <c r="Y45" s="1770"/>
      <c r="Z45" s="1770"/>
      <c r="AA45" s="1770"/>
      <c r="AB45" s="1770"/>
      <c r="AC45" s="1770"/>
      <c r="AD45" s="1770"/>
      <c r="AE45" s="1770"/>
      <c r="AF45" s="1771"/>
      <c r="AG45" s="120"/>
    </row>
    <row r="46" spans="1:37" ht="11.1" customHeight="1" x14ac:dyDescent="0.15">
      <c r="A46" s="1740" t="s">
        <v>347</v>
      </c>
      <c r="B46" s="1743" t="s">
        <v>348</v>
      </c>
      <c r="C46" s="1745" t="s">
        <v>349</v>
      </c>
      <c r="D46" s="1746"/>
      <c r="E46" s="1747"/>
      <c r="F46" s="122"/>
      <c r="G46" s="1769"/>
      <c r="H46" s="1770"/>
      <c r="I46" s="1770"/>
      <c r="J46" s="1770"/>
      <c r="K46" s="1770"/>
      <c r="L46" s="1770"/>
      <c r="M46" s="1770"/>
      <c r="N46" s="1770"/>
      <c r="O46" s="1770"/>
      <c r="P46" s="1770"/>
      <c r="Q46" s="1770"/>
      <c r="R46" s="1770"/>
      <c r="S46" s="1770"/>
      <c r="T46" s="1770"/>
      <c r="U46" s="1770"/>
      <c r="V46" s="1770"/>
      <c r="W46" s="1770"/>
      <c r="X46" s="1770"/>
      <c r="Y46" s="1770"/>
      <c r="Z46" s="1770"/>
      <c r="AA46" s="1770"/>
      <c r="AB46" s="1770"/>
      <c r="AC46" s="1770"/>
      <c r="AD46" s="1770"/>
      <c r="AE46" s="1770"/>
      <c r="AF46" s="1771"/>
      <c r="AG46" s="120"/>
    </row>
    <row r="47" spans="1:37" ht="11.1" customHeight="1" x14ac:dyDescent="0.15">
      <c r="A47" s="1741"/>
      <c r="B47" s="1744"/>
      <c r="C47" s="1748"/>
      <c r="D47" s="1749"/>
      <c r="E47" s="1750"/>
      <c r="F47" s="122"/>
      <c r="G47" s="1769"/>
      <c r="H47" s="1770"/>
      <c r="I47" s="1770"/>
      <c r="J47" s="1770"/>
      <c r="K47" s="1770"/>
      <c r="L47" s="1770"/>
      <c r="M47" s="1770"/>
      <c r="N47" s="1770"/>
      <c r="O47" s="1770"/>
      <c r="P47" s="1770"/>
      <c r="Q47" s="1770"/>
      <c r="R47" s="1770"/>
      <c r="S47" s="1770"/>
      <c r="T47" s="1770"/>
      <c r="U47" s="1770"/>
      <c r="V47" s="1770"/>
      <c r="W47" s="1770"/>
      <c r="X47" s="1770"/>
      <c r="Y47" s="1770"/>
      <c r="Z47" s="1770"/>
      <c r="AA47" s="1770"/>
      <c r="AB47" s="1770"/>
      <c r="AC47" s="1770"/>
      <c r="AD47" s="1770"/>
      <c r="AE47" s="1770"/>
      <c r="AF47" s="1771"/>
      <c r="AG47" s="120"/>
    </row>
    <row r="48" spans="1:37" ht="15.95" customHeight="1" x14ac:dyDescent="0.15">
      <c r="A48" s="1741"/>
      <c r="B48" s="1743" t="s">
        <v>350</v>
      </c>
      <c r="C48" s="1745" t="s">
        <v>351</v>
      </c>
      <c r="D48" s="1746"/>
      <c r="E48" s="1747"/>
      <c r="F48" s="122"/>
      <c r="G48" s="1769"/>
      <c r="H48" s="1770"/>
      <c r="I48" s="1770"/>
      <c r="J48" s="1770"/>
      <c r="K48" s="1770"/>
      <c r="L48" s="1770"/>
      <c r="M48" s="1770"/>
      <c r="N48" s="1770"/>
      <c r="O48" s="1770"/>
      <c r="P48" s="1770"/>
      <c r="Q48" s="1770"/>
      <c r="R48" s="1770"/>
      <c r="S48" s="1770"/>
      <c r="T48" s="1770"/>
      <c r="U48" s="1770"/>
      <c r="V48" s="1770"/>
      <c r="W48" s="1770"/>
      <c r="X48" s="1770"/>
      <c r="Y48" s="1770"/>
      <c r="Z48" s="1770"/>
      <c r="AA48" s="1770"/>
      <c r="AB48" s="1770"/>
      <c r="AC48" s="1770"/>
      <c r="AD48" s="1770"/>
      <c r="AE48" s="1770"/>
      <c r="AF48" s="1771"/>
      <c r="AG48" s="120"/>
    </row>
    <row r="49" spans="1:33" ht="14.1" customHeight="1" x14ac:dyDescent="0.15">
      <c r="A49" s="1741"/>
      <c r="B49" s="1751"/>
      <c r="C49" s="1748"/>
      <c r="D49" s="1749"/>
      <c r="E49" s="1750"/>
      <c r="F49" s="122"/>
      <c r="G49" s="1775" t="s">
        <v>352</v>
      </c>
      <c r="H49" s="1776"/>
      <c r="I49" s="1776"/>
      <c r="J49" s="1776"/>
      <c r="K49" s="1776"/>
      <c r="L49" s="1776"/>
      <c r="M49" s="1776"/>
      <c r="N49" s="1776"/>
      <c r="O49" s="1776"/>
      <c r="P49" s="1776"/>
      <c r="Q49" s="1776"/>
      <c r="R49" s="1776"/>
      <c r="S49" s="1776"/>
      <c r="T49" s="1776"/>
      <c r="U49" s="1776"/>
      <c r="V49" s="1776"/>
      <c r="W49" s="1776"/>
      <c r="X49" s="1776"/>
      <c r="Y49" s="1776"/>
      <c r="Z49" s="1776"/>
      <c r="AA49" s="1776"/>
      <c r="AB49" s="1776"/>
      <c r="AC49" s="1776"/>
      <c r="AD49" s="1776"/>
      <c r="AE49" s="1776"/>
      <c r="AF49" s="1777"/>
      <c r="AG49" s="120"/>
    </row>
    <row r="50" spans="1:33" ht="14.1" customHeight="1" x14ac:dyDescent="0.15">
      <c r="A50" s="1741"/>
      <c r="B50" s="1752" t="s">
        <v>353</v>
      </c>
      <c r="C50" s="1754" t="s">
        <v>354</v>
      </c>
      <c r="D50" s="1755"/>
      <c r="E50" s="1756"/>
      <c r="F50" s="122"/>
      <c r="G50" s="1778"/>
      <c r="H50" s="1779"/>
      <c r="I50" s="1779"/>
      <c r="J50" s="1779"/>
      <c r="K50" s="1779"/>
      <c r="L50" s="1779"/>
      <c r="M50" s="1779"/>
      <c r="N50" s="1779"/>
      <c r="O50" s="1779"/>
      <c r="P50" s="1779"/>
      <c r="Q50" s="1779"/>
      <c r="R50" s="1779"/>
      <c r="S50" s="1779"/>
      <c r="T50" s="1779"/>
      <c r="U50" s="1779"/>
      <c r="V50" s="1779"/>
      <c r="W50" s="1779"/>
      <c r="X50" s="1779"/>
      <c r="Y50" s="1779"/>
      <c r="Z50" s="1779"/>
      <c r="AA50" s="1779"/>
      <c r="AB50" s="1779"/>
      <c r="AC50" s="1779"/>
      <c r="AD50" s="1779"/>
      <c r="AE50" s="1779"/>
      <c r="AF50" s="1780"/>
      <c r="AG50" s="120"/>
    </row>
    <row r="51" spans="1:33" ht="30.95" customHeight="1" thickBot="1" x14ac:dyDescent="0.2">
      <c r="A51" s="1742"/>
      <c r="B51" s="1753"/>
      <c r="C51" s="1748"/>
      <c r="D51" s="1749"/>
      <c r="E51" s="1750"/>
      <c r="F51" s="124"/>
      <c r="G51" s="1757" t="s">
        <v>355</v>
      </c>
      <c r="H51" s="1758"/>
      <c r="I51" s="1758"/>
      <c r="J51" s="1758"/>
      <c r="K51" s="1758"/>
      <c r="L51" s="1758"/>
      <c r="M51" s="1758"/>
      <c r="N51" s="1758"/>
      <c r="O51" s="1758"/>
      <c r="P51" s="1758"/>
      <c r="Q51" s="1758"/>
      <c r="R51" s="1758"/>
      <c r="S51" s="1758"/>
      <c r="T51" s="1758"/>
      <c r="U51" s="1758"/>
      <c r="V51" s="1758"/>
      <c r="W51" s="1758"/>
      <c r="X51" s="1758"/>
      <c r="Y51" s="1758"/>
      <c r="Z51" s="1758"/>
      <c r="AA51" s="1758"/>
      <c r="AB51" s="1758"/>
      <c r="AC51" s="1758"/>
      <c r="AD51" s="1758"/>
      <c r="AE51" s="1758"/>
      <c r="AF51" s="1759"/>
    </row>
    <row r="52" spans="1:33" ht="16.5" customHeight="1" x14ac:dyDescent="0.2">
      <c r="A52" s="125" t="s">
        <v>356</v>
      </c>
      <c r="B52" s="126"/>
      <c r="C52" s="126"/>
      <c r="D52" s="126"/>
      <c r="E52" s="126"/>
      <c r="F52" s="126"/>
      <c r="G52" s="126"/>
      <c r="H52" s="126"/>
      <c r="I52" s="126"/>
      <c r="J52" s="126"/>
      <c r="K52" s="126"/>
      <c r="L52" s="126"/>
      <c r="M52" s="126"/>
      <c r="N52" s="126"/>
      <c r="O52" s="126"/>
      <c r="P52" s="126"/>
      <c r="Q52" s="126"/>
      <c r="R52" s="126"/>
      <c r="S52" s="126"/>
      <c r="T52" s="126"/>
      <c r="AF52" s="126"/>
    </row>
  </sheetData>
  <mergeCells count="89">
    <mergeCell ref="C3:X4"/>
    <mergeCell ref="AW6:BA7"/>
    <mergeCell ref="T7:W8"/>
    <mergeCell ref="X7:AF8"/>
    <mergeCell ref="A8:C11"/>
    <mergeCell ref="D8:F8"/>
    <mergeCell ref="G8:S8"/>
    <mergeCell ref="D9:F9"/>
    <mergeCell ref="G9:S9"/>
    <mergeCell ref="T9:W9"/>
    <mergeCell ref="X9:AF9"/>
    <mergeCell ref="D10:F11"/>
    <mergeCell ref="G11:T11"/>
    <mergeCell ref="Y11:AF11"/>
    <mergeCell ref="A12:F12"/>
    <mergeCell ref="G12:AF12"/>
    <mergeCell ref="A13:F13"/>
    <mergeCell ref="G13:P13"/>
    <mergeCell ref="Q13:V13"/>
    <mergeCell ref="A15:A27"/>
    <mergeCell ref="B15:F15"/>
    <mergeCell ref="Q15:T15"/>
    <mergeCell ref="B16:F16"/>
    <mergeCell ref="G16:P16"/>
    <mergeCell ref="Q16:T16"/>
    <mergeCell ref="B21:F22"/>
    <mergeCell ref="G21:I21"/>
    <mergeCell ref="J21:AF21"/>
    <mergeCell ref="G22:I22"/>
    <mergeCell ref="B23:F24"/>
    <mergeCell ref="G23:AF24"/>
    <mergeCell ref="B25:F26"/>
    <mergeCell ref="G25:L25"/>
    <mergeCell ref="M25:U25"/>
    <mergeCell ref="V25:Z25"/>
    <mergeCell ref="B17:F17"/>
    <mergeCell ref="G17:P17"/>
    <mergeCell ref="Q17:T17"/>
    <mergeCell ref="B18:F20"/>
    <mergeCell ref="O18:AF18"/>
    <mergeCell ref="B27:F27"/>
    <mergeCell ref="G27:AF27"/>
    <mergeCell ref="A29:A35"/>
    <mergeCell ref="B29:F31"/>
    <mergeCell ref="G30:N31"/>
    <mergeCell ref="O30:AF30"/>
    <mergeCell ref="X31:AF31"/>
    <mergeCell ref="B32:F32"/>
    <mergeCell ref="G32:H33"/>
    <mergeCell ref="I32:N32"/>
    <mergeCell ref="B33:F33"/>
    <mergeCell ref="I33:N33"/>
    <mergeCell ref="O33:S33"/>
    <mergeCell ref="T33:AF33"/>
    <mergeCell ref="B34:F34"/>
    <mergeCell ref="G34:AF34"/>
    <mergeCell ref="B35:F35"/>
    <mergeCell ref="G35:AF35"/>
    <mergeCell ref="A37:A42"/>
    <mergeCell ref="B37:F38"/>
    <mergeCell ref="G37:P38"/>
    <mergeCell ref="B39:F39"/>
    <mergeCell ref="G39:P39"/>
    <mergeCell ref="B42:F42"/>
    <mergeCell ref="G42:AF42"/>
    <mergeCell ref="B45:E45"/>
    <mergeCell ref="A46:A51"/>
    <mergeCell ref="B46:B47"/>
    <mergeCell ref="C46:E47"/>
    <mergeCell ref="B48:B49"/>
    <mergeCell ref="C48:E49"/>
    <mergeCell ref="B50:B51"/>
    <mergeCell ref="C50:E51"/>
    <mergeCell ref="G51:AF51"/>
    <mergeCell ref="G15:P15"/>
    <mergeCell ref="U17:AF17"/>
    <mergeCell ref="G19:T20"/>
    <mergeCell ref="Q22:S22"/>
    <mergeCell ref="J22:P22"/>
    <mergeCell ref="AD22:AF22"/>
    <mergeCell ref="T22:AC22"/>
    <mergeCell ref="G44:AF48"/>
    <mergeCell ref="G49:AF50"/>
    <mergeCell ref="AA25:AF25"/>
    <mergeCell ref="G26:L26"/>
    <mergeCell ref="M26:N26"/>
    <mergeCell ref="V26:X26"/>
    <mergeCell ref="Y26:AF26"/>
    <mergeCell ref="U16:AF16"/>
  </mergeCells>
  <phoneticPr fontId="1"/>
  <printOptions horizontalCentered="1" verticalCentered="1"/>
  <pageMargins left="0.39370078740157483" right="0.35433070866141736" top="0" bottom="0" header="0" footer="0"/>
  <pageSetup paperSize="9" scale="90" fitToHeight="0" orientation="portrait" blackAndWhite="1"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75C82-4408-47FB-B06C-BEF0727B8E9C}">
  <sheetPr codeName="Sheet10">
    <tabColor theme="9" tint="0.79998168889431442"/>
    <pageSetUpPr fitToPage="1"/>
  </sheetPr>
  <dimension ref="A1:F44"/>
  <sheetViews>
    <sheetView view="pageBreakPreview" zoomScaleNormal="100" zoomScaleSheetLayoutView="100" workbookViewId="0">
      <selection activeCell="C19" sqref="C19:F19"/>
    </sheetView>
  </sheetViews>
  <sheetFormatPr defaultRowHeight="13.5" x14ac:dyDescent="0.4"/>
  <cols>
    <col min="1" max="2" width="14.875" style="127" customWidth="1"/>
    <col min="3" max="3" width="17.625" style="127" customWidth="1"/>
    <col min="4" max="4" width="12.625" style="127" customWidth="1"/>
    <col min="5" max="5" width="14.875" style="127" customWidth="1"/>
    <col min="6" max="6" width="19.5" style="127" customWidth="1"/>
    <col min="7" max="256" width="9" style="127"/>
    <col min="257" max="258" width="14.875" style="127" customWidth="1"/>
    <col min="259" max="259" width="17.625" style="127" customWidth="1"/>
    <col min="260" max="260" width="12.625" style="127" customWidth="1"/>
    <col min="261" max="261" width="14.875" style="127" customWidth="1"/>
    <col min="262" max="262" width="19.5" style="127" customWidth="1"/>
    <col min="263" max="512" width="9" style="127"/>
    <col min="513" max="514" width="14.875" style="127" customWidth="1"/>
    <col min="515" max="515" width="17.625" style="127" customWidth="1"/>
    <col min="516" max="516" width="12.625" style="127" customWidth="1"/>
    <col min="517" max="517" width="14.875" style="127" customWidth="1"/>
    <col min="518" max="518" width="19.5" style="127" customWidth="1"/>
    <col min="519" max="768" width="9" style="127"/>
    <col min="769" max="770" width="14.875" style="127" customWidth="1"/>
    <col min="771" max="771" width="17.625" style="127" customWidth="1"/>
    <col min="772" max="772" width="12.625" style="127" customWidth="1"/>
    <col min="773" max="773" width="14.875" style="127" customWidth="1"/>
    <col min="774" max="774" width="19.5" style="127" customWidth="1"/>
    <col min="775" max="1024" width="9" style="127"/>
    <col min="1025" max="1026" width="14.875" style="127" customWidth="1"/>
    <col min="1027" max="1027" width="17.625" style="127" customWidth="1"/>
    <col min="1028" max="1028" width="12.625" style="127" customWidth="1"/>
    <col min="1029" max="1029" width="14.875" style="127" customWidth="1"/>
    <col min="1030" max="1030" width="19.5" style="127" customWidth="1"/>
    <col min="1031" max="1280" width="9" style="127"/>
    <col min="1281" max="1282" width="14.875" style="127" customWidth="1"/>
    <col min="1283" max="1283" width="17.625" style="127" customWidth="1"/>
    <col min="1284" max="1284" width="12.625" style="127" customWidth="1"/>
    <col min="1285" max="1285" width="14.875" style="127" customWidth="1"/>
    <col min="1286" max="1286" width="19.5" style="127" customWidth="1"/>
    <col min="1287" max="1536" width="9" style="127"/>
    <col min="1537" max="1538" width="14.875" style="127" customWidth="1"/>
    <col min="1539" max="1539" width="17.625" style="127" customWidth="1"/>
    <col min="1540" max="1540" width="12.625" style="127" customWidth="1"/>
    <col min="1541" max="1541" width="14.875" style="127" customWidth="1"/>
    <col min="1542" max="1542" width="19.5" style="127" customWidth="1"/>
    <col min="1543" max="1792" width="9" style="127"/>
    <col min="1793" max="1794" width="14.875" style="127" customWidth="1"/>
    <col min="1795" max="1795" width="17.625" style="127" customWidth="1"/>
    <col min="1796" max="1796" width="12.625" style="127" customWidth="1"/>
    <col min="1797" max="1797" width="14.875" style="127" customWidth="1"/>
    <col min="1798" max="1798" width="19.5" style="127" customWidth="1"/>
    <col min="1799" max="2048" width="9" style="127"/>
    <col min="2049" max="2050" width="14.875" style="127" customWidth="1"/>
    <col min="2051" max="2051" width="17.625" style="127" customWidth="1"/>
    <col min="2052" max="2052" width="12.625" style="127" customWidth="1"/>
    <col min="2053" max="2053" width="14.875" style="127" customWidth="1"/>
    <col min="2054" max="2054" width="19.5" style="127" customWidth="1"/>
    <col min="2055" max="2304" width="9" style="127"/>
    <col min="2305" max="2306" width="14.875" style="127" customWidth="1"/>
    <col min="2307" max="2307" width="17.625" style="127" customWidth="1"/>
    <col min="2308" max="2308" width="12.625" style="127" customWidth="1"/>
    <col min="2309" max="2309" width="14.875" style="127" customWidth="1"/>
    <col min="2310" max="2310" width="19.5" style="127" customWidth="1"/>
    <col min="2311" max="2560" width="9" style="127"/>
    <col min="2561" max="2562" width="14.875" style="127" customWidth="1"/>
    <col min="2563" max="2563" width="17.625" style="127" customWidth="1"/>
    <col min="2564" max="2564" width="12.625" style="127" customWidth="1"/>
    <col min="2565" max="2565" width="14.875" style="127" customWidth="1"/>
    <col min="2566" max="2566" width="19.5" style="127" customWidth="1"/>
    <col min="2567" max="2816" width="9" style="127"/>
    <col min="2817" max="2818" width="14.875" style="127" customWidth="1"/>
    <col min="2819" max="2819" width="17.625" style="127" customWidth="1"/>
    <col min="2820" max="2820" width="12.625" style="127" customWidth="1"/>
    <col min="2821" max="2821" width="14.875" style="127" customWidth="1"/>
    <col min="2822" max="2822" width="19.5" style="127" customWidth="1"/>
    <col min="2823" max="3072" width="9" style="127"/>
    <col min="3073" max="3074" width="14.875" style="127" customWidth="1"/>
    <col min="3075" max="3075" width="17.625" style="127" customWidth="1"/>
    <col min="3076" max="3076" width="12.625" style="127" customWidth="1"/>
    <col min="3077" max="3077" width="14.875" style="127" customWidth="1"/>
    <col min="3078" max="3078" width="19.5" style="127" customWidth="1"/>
    <col min="3079" max="3328" width="9" style="127"/>
    <col min="3329" max="3330" width="14.875" style="127" customWidth="1"/>
    <col min="3331" max="3331" width="17.625" style="127" customWidth="1"/>
    <col min="3332" max="3332" width="12.625" style="127" customWidth="1"/>
    <col min="3333" max="3333" width="14.875" style="127" customWidth="1"/>
    <col min="3334" max="3334" width="19.5" style="127" customWidth="1"/>
    <col min="3335" max="3584" width="9" style="127"/>
    <col min="3585" max="3586" width="14.875" style="127" customWidth="1"/>
    <col min="3587" max="3587" width="17.625" style="127" customWidth="1"/>
    <col min="3588" max="3588" width="12.625" style="127" customWidth="1"/>
    <col min="3589" max="3589" width="14.875" style="127" customWidth="1"/>
    <col min="3590" max="3590" width="19.5" style="127" customWidth="1"/>
    <col min="3591" max="3840" width="9" style="127"/>
    <col min="3841" max="3842" width="14.875" style="127" customWidth="1"/>
    <col min="3843" max="3843" width="17.625" style="127" customWidth="1"/>
    <col min="3844" max="3844" width="12.625" style="127" customWidth="1"/>
    <col min="3845" max="3845" width="14.875" style="127" customWidth="1"/>
    <col min="3846" max="3846" width="19.5" style="127" customWidth="1"/>
    <col min="3847" max="4096" width="9" style="127"/>
    <col min="4097" max="4098" width="14.875" style="127" customWidth="1"/>
    <col min="4099" max="4099" width="17.625" style="127" customWidth="1"/>
    <col min="4100" max="4100" width="12.625" style="127" customWidth="1"/>
    <col min="4101" max="4101" width="14.875" style="127" customWidth="1"/>
    <col min="4102" max="4102" width="19.5" style="127" customWidth="1"/>
    <col min="4103" max="4352" width="9" style="127"/>
    <col min="4353" max="4354" width="14.875" style="127" customWidth="1"/>
    <col min="4355" max="4355" width="17.625" style="127" customWidth="1"/>
    <col min="4356" max="4356" width="12.625" style="127" customWidth="1"/>
    <col min="4357" max="4357" width="14.875" style="127" customWidth="1"/>
    <col min="4358" max="4358" width="19.5" style="127" customWidth="1"/>
    <col min="4359" max="4608" width="9" style="127"/>
    <col min="4609" max="4610" width="14.875" style="127" customWidth="1"/>
    <col min="4611" max="4611" width="17.625" style="127" customWidth="1"/>
    <col min="4612" max="4612" width="12.625" style="127" customWidth="1"/>
    <col min="4613" max="4613" width="14.875" style="127" customWidth="1"/>
    <col min="4614" max="4614" width="19.5" style="127" customWidth="1"/>
    <col min="4615" max="4864" width="9" style="127"/>
    <col min="4865" max="4866" width="14.875" style="127" customWidth="1"/>
    <col min="4867" max="4867" width="17.625" style="127" customWidth="1"/>
    <col min="4868" max="4868" width="12.625" style="127" customWidth="1"/>
    <col min="4869" max="4869" width="14.875" style="127" customWidth="1"/>
    <col min="4870" max="4870" width="19.5" style="127" customWidth="1"/>
    <col min="4871" max="5120" width="9" style="127"/>
    <col min="5121" max="5122" width="14.875" style="127" customWidth="1"/>
    <col min="5123" max="5123" width="17.625" style="127" customWidth="1"/>
    <col min="5124" max="5124" width="12.625" style="127" customWidth="1"/>
    <col min="5125" max="5125" width="14.875" style="127" customWidth="1"/>
    <col min="5126" max="5126" width="19.5" style="127" customWidth="1"/>
    <col min="5127" max="5376" width="9" style="127"/>
    <col min="5377" max="5378" width="14.875" style="127" customWidth="1"/>
    <col min="5379" max="5379" width="17.625" style="127" customWidth="1"/>
    <col min="5380" max="5380" width="12.625" style="127" customWidth="1"/>
    <col min="5381" max="5381" width="14.875" style="127" customWidth="1"/>
    <col min="5382" max="5382" width="19.5" style="127" customWidth="1"/>
    <col min="5383" max="5632" width="9" style="127"/>
    <col min="5633" max="5634" width="14.875" style="127" customWidth="1"/>
    <col min="5635" max="5635" width="17.625" style="127" customWidth="1"/>
    <col min="5636" max="5636" width="12.625" style="127" customWidth="1"/>
    <col min="5637" max="5637" width="14.875" style="127" customWidth="1"/>
    <col min="5638" max="5638" width="19.5" style="127" customWidth="1"/>
    <col min="5639" max="5888" width="9" style="127"/>
    <col min="5889" max="5890" width="14.875" style="127" customWidth="1"/>
    <col min="5891" max="5891" width="17.625" style="127" customWidth="1"/>
    <col min="5892" max="5892" width="12.625" style="127" customWidth="1"/>
    <col min="5893" max="5893" width="14.875" style="127" customWidth="1"/>
    <col min="5894" max="5894" width="19.5" style="127" customWidth="1"/>
    <col min="5895" max="6144" width="9" style="127"/>
    <col min="6145" max="6146" width="14.875" style="127" customWidth="1"/>
    <col min="6147" max="6147" width="17.625" style="127" customWidth="1"/>
    <col min="6148" max="6148" width="12.625" style="127" customWidth="1"/>
    <col min="6149" max="6149" width="14.875" style="127" customWidth="1"/>
    <col min="6150" max="6150" width="19.5" style="127" customWidth="1"/>
    <col min="6151" max="6400" width="9" style="127"/>
    <col min="6401" max="6402" width="14.875" style="127" customWidth="1"/>
    <col min="6403" max="6403" width="17.625" style="127" customWidth="1"/>
    <col min="6404" max="6404" width="12.625" style="127" customWidth="1"/>
    <col min="6405" max="6405" width="14.875" style="127" customWidth="1"/>
    <col min="6406" max="6406" width="19.5" style="127" customWidth="1"/>
    <col min="6407" max="6656" width="9" style="127"/>
    <col min="6657" max="6658" width="14.875" style="127" customWidth="1"/>
    <col min="6659" max="6659" width="17.625" style="127" customWidth="1"/>
    <col min="6660" max="6660" width="12.625" style="127" customWidth="1"/>
    <col min="6661" max="6661" width="14.875" style="127" customWidth="1"/>
    <col min="6662" max="6662" width="19.5" style="127" customWidth="1"/>
    <col min="6663" max="6912" width="9" style="127"/>
    <col min="6913" max="6914" width="14.875" style="127" customWidth="1"/>
    <col min="6915" max="6915" width="17.625" style="127" customWidth="1"/>
    <col min="6916" max="6916" width="12.625" style="127" customWidth="1"/>
    <col min="6917" max="6917" width="14.875" style="127" customWidth="1"/>
    <col min="6918" max="6918" width="19.5" style="127" customWidth="1"/>
    <col min="6919" max="7168" width="9" style="127"/>
    <col min="7169" max="7170" width="14.875" style="127" customWidth="1"/>
    <col min="7171" max="7171" width="17.625" style="127" customWidth="1"/>
    <col min="7172" max="7172" width="12.625" style="127" customWidth="1"/>
    <col min="7173" max="7173" width="14.875" style="127" customWidth="1"/>
    <col min="7174" max="7174" width="19.5" style="127" customWidth="1"/>
    <col min="7175" max="7424" width="9" style="127"/>
    <col min="7425" max="7426" width="14.875" style="127" customWidth="1"/>
    <col min="7427" max="7427" width="17.625" style="127" customWidth="1"/>
    <col min="7428" max="7428" width="12.625" style="127" customWidth="1"/>
    <col min="7429" max="7429" width="14.875" style="127" customWidth="1"/>
    <col min="7430" max="7430" width="19.5" style="127" customWidth="1"/>
    <col min="7431" max="7680" width="9" style="127"/>
    <col min="7681" max="7682" width="14.875" style="127" customWidth="1"/>
    <col min="7683" max="7683" width="17.625" style="127" customWidth="1"/>
    <col min="7684" max="7684" width="12.625" style="127" customWidth="1"/>
    <col min="7685" max="7685" width="14.875" style="127" customWidth="1"/>
    <col min="7686" max="7686" width="19.5" style="127" customWidth="1"/>
    <col min="7687" max="7936" width="9" style="127"/>
    <col min="7937" max="7938" width="14.875" style="127" customWidth="1"/>
    <col min="7939" max="7939" width="17.625" style="127" customWidth="1"/>
    <col min="7940" max="7940" width="12.625" style="127" customWidth="1"/>
    <col min="7941" max="7941" width="14.875" style="127" customWidth="1"/>
    <col min="7942" max="7942" width="19.5" style="127" customWidth="1"/>
    <col min="7943" max="8192" width="9" style="127"/>
    <col min="8193" max="8194" width="14.875" style="127" customWidth="1"/>
    <col min="8195" max="8195" width="17.625" style="127" customWidth="1"/>
    <col min="8196" max="8196" width="12.625" style="127" customWidth="1"/>
    <col min="8197" max="8197" width="14.875" style="127" customWidth="1"/>
    <col min="8198" max="8198" width="19.5" style="127" customWidth="1"/>
    <col min="8199" max="8448" width="9" style="127"/>
    <col min="8449" max="8450" width="14.875" style="127" customWidth="1"/>
    <col min="8451" max="8451" width="17.625" style="127" customWidth="1"/>
    <col min="8452" max="8452" width="12.625" style="127" customWidth="1"/>
    <col min="8453" max="8453" width="14.875" style="127" customWidth="1"/>
    <col min="8454" max="8454" width="19.5" style="127" customWidth="1"/>
    <col min="8455" max="8704" width="9" style="127"/>
    <col min="8705" max="8706" width="14.875" style="127" customWidth="1"/>
    <col min="8707" max="8707" width="17.625" style="127" customWidth="1"/>
    <col min="8708" max="8708" width="12.625" style="127" customWidth="1"/>
    <col min="8709" max="8709" width="14.875" style="127" customWidth="1"/>
    <col min="8710" max="8710" width="19.5" style="127" customWidth="1"/>
    <col min="8711" max="8960" width="9" style="127"/>
    <col min="8961" max="8962" width="14.875" style="127" customWidth="1"/>
    <col min="8963" max="8963" width="17.625" style="127" customWidth="1"/>
    <col min="8964" max="8964" width="12.625" style="127" customWidth="1"/>
    <col min="8965" max="8965" width="14.875" style="127" customWidth="1"/>
    <col min="8966" max="8966" width="19.5" style="127" customWidth="1"/>
    <col min="8967" max="9216" width="9" style="127"/>
    <col min="9217" max="9218" width="14.875" style="127" customWidth="1"/>
    <col min="9219" max="9219" width="17.625" style="127" customWidth="1"/>
    <col min="9220" max="9220" width="12.625" style="127" customWidth="1"/>
    <col min="9221" max="9221" width="14.875" style="127" customWidth="1"/>
    <col min="9222" max="9222" width="19.5" style="127" customWidth="1"/>
    <col min="9223" max="9472" width="9" style="127"/>
    <col min="9473" max="9474" width="14.875" style="127" customWidth="1"/>
    <col min="9475" max="9475" width="17.625" style="127" customWidth="1"/>
    <col min="9476" max="9476" width="12.625" style="127" customWidth="1"/>
    <col min="9477" max="9477" width="14.875" style="127" customWidth="1"/>
    <col min="9478" max="9478" width="19.5" style="127" customWidth="1"/>
    <col min="9479" max="9728" width="9" style="127"/>
    <col min="9729" max="9730" width="14.875" style="127" customWidth="1"/>
    <col min="9731" max="9731" width="17.625" style="127" customWidth="1"/>
    <col min="9732" max="9732" width="12.625" style="127" customWidth="1"/>
    <col min="9733" max="9733" width="14.875" style="127" customWidth="1"/>
    <col min="9734" max="9734" width="19.5" style="127" customWidth="1"/>
    <col min="9735" max="9984" width="9" style="127"/>
    <col min="9985" max="9986" width="14.875" style="127" customWidth="1"/>
    <col min="9987" max="9987" width="17.625" style="127" customWidth="1"/>
    <col min="9988" max="9988" width="12.625" style="127" customWidth="1"/>
    <col min="9989" max="9989" width="14.875" style="127" customWidth="1"/>
    <col min="9990" max="9990" width="19.5" style="127" customWidth="1"/>
    <col min="9991" max="10240" width="9" style="127"/>
    <col min="10241" max="10242" width="14.875" style="127" customWidth="1"/>
    <col min="10243" max="10243" width="17.625" style="127" customWidth="1"/>
    <col min="10244" max="10244" width="12.625" style="127" customWidth="1"/>
    <col min="10245" max="10245" width="14.875" style="127" customWidth="1"/>
    <col min="10246" max="10246" width="19.5" style="127" customWidth="1"/>
    <col min="10247" max="10496" width="9" style="127"/>
    <col min="10497" max="10498" width="14.875" style="127" customWidth="1"/>
    <col min="10499" max="10499" width="17.625" style="127" customWidth="1"/>
    <col min="10500" max="10500" width="12.625" style="127" customWidth="1"/>
    <col min="10501" max="10501" width="14.875" style="127" customWidth="1"/>
    <col min="10502" max="10502" width="19.5" style="127" customWidth="1"/>
    <col min="10503" max="10752" width="9" style="127"/>
    <col min="10753" max="10754" width="14.875" style="127" customWidth="1"/>
    <col min="10755" max="10755" width="17.625" style="127" customWidth="1"/>
    <col min="10756" max="10756" width="12.625" style="127" customWidth="1"/>
    <col min="10757" max="10757" width="14.875" style="127" customWidth="1"/>
    <col min="10758" max="10758" width="19.5" style="127" customWidth="1"/>
    <col min="10759" max="11008" width="9" style="127"/>
    <col min="11009" max="11010" width="14.875" style="127" customWidth="1"/>
    <col min="11011" max="11011" width="17.625" style="127" customWidth="1"/>
    <col min="11012" max="11012" width="12.625" style="127" customWidth="1"/>
    <col min="11013" max="11013" width="14.875" style="127" customWidth="1"/>
    <col min="11014" max="11014" width="19.5" style="127" customWidth="1"/>
    <col min="11015" max="11264" width="9" style="127"/>
    <col min="11265" max="11266" width="14.875" style="127" customWidth="1"/>
    <col min="11267" max="11267" width="17.625" style="127" customWidth="1"/>
    <col min="11268" max="11268" width="12.625" style="127" customWidth="1"/>
    <col min="11269" max="11269" width="14.875" style="127" customWidth="1"/>
    <col min="11270" max="11270" width="19.5" style="127" customWidth="1"/>
    <col min="11271" max="11520" width="9" style="127"/>
    <col min="11521" max="11522" width="14.875" style="127" customWidth="1"/>
    <col min="11523" max="11523" width="17.625" style="127" customWidth="1"/>
    <col min="11524" max="11524" width="12.625" style="127" customWidth="1"/>
    <col min="11525" max="11525" width="14.875" style="127" customWidth="1"/>
    <col min="11526" max="11526" width="19.5" style="127" customWidth="1"/>
    <col min="11527" max="11776" width="9" style="127"/>
    <col min="11777" max="11778" width="14.875" style="127" customWidth="1"/>
    <col min="11779" max="11779" width="17.625" style="127" customWidth="1"/>
    <col min="11780" max="11780" width="12.625" style="127" customWidth="1"/>
    <col min="11781" max="11781" width="14.875" style="127" customWidth="1"/>
    <col min="11782" max="11782" width="19.5" style="127" customWidth="1"/>
    <col min="11783" max="12032" width="9" style="127"/>
    <col min="12033" max="12034" width="14.875" style="127" customWidth="1"/>
    <col min="12035" max="12035" width="17.625" style="127" customWidth="1"/>
    <col min="12036" max="12036" width="12.625" style="127" customWidth="1"/>
    <col min="12037" max="12037" width="14.875" style="127" customWidth="1"/>
    <col min="12038" max="12038" width="19.5" style="127" customWidth="1"/>
    <col min="12039" max="12288" width="9" style="127"/>
    <col min="12289" max="12290" width="14.875" style="127" customWidth="1"/>
    <col min="12291" max="12291" width="17.625" style="127" customWidth="1"/>
    <col min="12292" max="12292" width="12.625" style="127" customWidth="1"/>
    <col min="12293" max="12293" width="14.875" style="127" customWidth="1"/>
    <col min="12294" max="12294" width="19.5" style="127" customWidth="1"/>
    <col min="12295" max="12544" width="9" style="127"/>
    <col min="12545" max="12546" width="14.875" style="127" customWidth="1"/>
    <col min="12547" max="12547" width="17.625" style="127" customWidth="1"/>
    <col min="12548" max="12548" width="12.625" style="127" customWidth="1"/>
    <col min="12549" max="12549" width="14.875" style="127" customWidth="1"/>
    <col min="12550" max="12550" width="19.5" style="127" customWidth="1"/>
    <col min="12551" max="12800" width="9" style="127"/>
    <col min="12801" max="12802" width="14.875" style="127" customWidth="1"/>
    <col min="12803" max="12803" width="17.625" style="127" customWidth="1"/>
    <col min="12804" max="12804" width="12.625" style="127" customWidth="1"/>
    <col min="12805" max="12805" width="14.875" style="127" customWidth="1"/>
    <col min="12806" max="12806" width="19.5" style="127" customWidth="1"/>
    <col min="12807" max="13056" width="9" style="127"/>
    <col min="13057" max="13058" width="14.875" style="127" customWidth="1"/>
    <col min="13059" max="13059" width="17.625" style="127" customWidth="1"/>
    <col min="13060" max="13060" width="12.625" style="127" customWidth="1"/>
    <col min="13061" max="13061" width="14.875" style="127" customWidth="1"/>
    <col min="13062" max="13062" width="19.5" style="127" customWidth="1"/>
    <col min="13063" max="13312" width="9" style="127"/>
    <col min="13313" max="13314" width="14.875" style="127" customWidth="1"/>
    <col min="13315" max="13315" width="17.625" style="127" customWidth="1"/>
    <col min="13316" max="13316" width="12.625" style="127" customWidth="1"/>
    <col min="13317" max="13317" width="14.875" style="127" customWidth="1"/>
    <col min="13318" max="13318" width="19.5" style="127" customWidth="1"/>
    <col min="13319" max="13568" width="9" style="127"/>
    <col min="13569" max="13570" width="14.875" style="127" customWidth="1"/>
    <col min="13571" max="13571" width="17.625" style="127" customWidth="1"/>
    <col min="13572" max="13572" width="12.625" style="127" customWidth="1"/>
    <col min="13573" max="13573" width="14.875" style="127" customWidth="1"/>
    <col min="13574" max="13574" width="19.5" style="127" customWidth="1"/>
    <col min="13575" max="13824" width="9" style="127"/>
    <col min="13825" max="13826" width="14.875" style="127" customWidth="1"/>
    <col min="13827" max="13827" width="17.625" style="127" customWidth="1"/>
    <col min="13828" max="13828" width="12.625" style="127" customWidth="1"/>
    <col min="13829" max="13829" width="14.875" style="127" customWidth="1"/>
    <col min="13830" max="13830" width="19.5" style="127" customWidth="1"/>
    <col min="13831" max="14080" width="9" style="127"/>
    <col min="14081" max="14082" width="14.875" style="127" customWidth="1"/>
    <col min="14083" max="14083" width="17.625" style="127" customWidth="1"/>
    <col min="14084" max="14084" width="12.625" style="127" customWidth="1"/>
    <col min="14085" max="14085" width="14.875" style="127" customWidth="1"/>
    <col min="14086" max="14086" width="19.5" style="127" customWidth="1"/>
    <col min="14087" max="14336" width="9" style="127"/>
    <col min="14337" max="14338" width="14.875" style="127" customWidth="1"/>
    <col min="14339" max="14339" width="17.625" style="127" customWidth="1"/>
    <col min="14340" max="14340" width="12.625" style="127" customWidth="1"/>
    <col min="14341" max="14341" width="14.875" style="127" customWidth="1"/>
    <col min="14342" max="14342" width="19.5" style="127" customWidth="1"/>
    <col min="14343" max="14592" width="9" style="127"/>
    <col min="14593" max="14594" width="14.875" style="127" customWidth="1"/>
    <col min="14595" max="14595" width="17.625" style="127" customWidth="1"/>
    <col min="14596" max="14596" width="12.625" style="127" customWidth="1"/>
    <col min="14597" max="14597" width="14.875" style="127" customWidth="1"/>
    <col min="14598" max="14598" width="19.5" style="127" customWidth="1"/>
    <col min="14599" max="14848" width="9" style="127"/>
    <col min="14849" max="14850" width="14.875" style="127" customWidth="1"/>
    <col min="14851" max="14851" width="17.625" style="127" customWidth="1"/>
    <col min="14852" max="14852" width="12.625" style="127" customWidth="1"/>
    <col min="14853" max="14853" width="14.875" style="127" customWidth="1"/>
    <col min="14854" max="14854" width="19.5" style="127" customWidth="1"/>
    <col min="14855" max="15104" width="9" style="127"/>
    <col min="15105" max="15106" width="14.875" style="127" customWidth="1"/>
    <col min="15107" max="15107" width="17.625" style="127" customWidth="1"/>
    <col min="15108" max="15108" width="12.625" style="127" customWidth="1"/>
    <col min="15109" max="15109" width="14.875" style="127" customWidth="1"/>
    <col min="15110" max="15110" width="19.5" style="127" customWidth="1"/>
    <col min="15111" max="15360" width="9" style="127"/>
    <col min="15361" max="15362" width="14.875" style="127" customWidth="1"/>
    <col min="15363" max="15363" width="17.625" style="127" customWidth="1"/>
    <col min="15364" max="15364" width="12.625" style="127" customWidth="1"/>
    <col min="15365" max="15365" width="14.875" style="127" customWidth="1"/>
    <col min="15366" max="15366" width="19.5" style="127" customWidth="1"/>
    <col min="15367" max="15616" width="9" style="127"/>
    <col min="15617" max="15618" width="14.875" style="127" customWidth="1"/>
    <col min="15619" max="15619" width="17.625" style="127" customWidth="1"/>
    <col min="15620" max="15620" width="12.625" style="127" customWidth="1"/>
    <col min="15621" max="15621" width="14.875" style="127" customWidth="1"/>
    <col min="15622" max="15622" width="19.5" style="127" customWidth="1"/>
    <col min="15623" max="15872" width="9" style="127"/>
    <col min="15873" max="15874" width="14.875" style="127" customWidth="1"/>
    <col min="15875" max="15875" width="17.625" style="127" customWidth="1"/>
    <col min="15876" max="15876" width="12.625" style="127" customWidth="1"/>
    <col min="15877" max="15877" width="14.875" style="127" customWidth="1"/>
    <col min="15878" max="15878" width="19.5" style="127" customWidth="1"/>
    <col min="15879" max="16128" width="9" style="127"/>
    <col min="16129" max="16130" width="14.875" style="127" customWidth="1"/>
    <col min="16131" max="16131" width="17.625" style="127" customWidth="1"/>
    <col min="16132" max="16132" width="12.625" style="127" customWidth="1"/>
    <col min="16133" max="16133" width="14.875" style="127" customWidth="1"/>
    <col min="16134" max="16134" width="19.5" style="127" customWidth="1"/>
    <col min="16135" max="16384" width="9" style="127"/>
  </cols>
  <sheetData>
    <row r="1" spans="1:6" x14ac:dyDescent="0.4">
      <c r="F1" s="151">
        <f ca="1">TODAY()</f>
        <v>46096</v>
      </c>
    </row>
    <row r="3" spans="1:6" ht="19.5" customHeight="1" x14ac:dyDescent="0.4">
      <c r="A3" s="1855" t="s">
        <v>357</v>
      </c>
      <c r="B3" s="1855"/>
      <c r="C3" s="1855"/>
      <c r="D3" s="1855"/>
      <c r="E3" s="1855"/>
      <c r="F3" s="1855"/>
    </row>
    <row r="4" spans="1:6" ht="12" customHeight="1" x14ac:dyDescent="0.4"/>
    <row r="5" spans="1:6" x14ac:dyDescent="0.4">
      <c r="A5" s="127" t="s">
        <v>358</v>
      </c>
    </row>
    <row r="6" spans="1:6" ht="12" customHeight="1" x14ac:dyDescent="0.4"/>
    <row r="7" spans="1:6" ht="15" customHeight="1" x14ac:dyDescent="0.4">
      <c r="C7" s="127" t="s">
        <v>359</v>
      </c>
    </row>
    <row r="8" spans="1:6" ht="5.0999999999999996" customHeight="1" x14ac:dyDescent="0.4"/>
    <row r="9" spans="1:6" ht="26.45" customHeight="1" x14ac:dyDescent="0.4">
      <c r="C9" s="128" t="s">
        <v>360</v>
      </c>
      <c r="D9" s="129" t="s">
        <v>361</v>
      </c>
    </row>
    <row r="10" spans="1:6" ht="26.45" customHeight="1" x14ac:dyDescent="0.4">
      <c r="C10" s="130" t="s">
        <v>362</v>
      </c>
      <c r="D10" s="127" t="s">
        <v>363</v>
      </c>
    </row>
    <row r="11" spans="1:6" ht="26.45" customHeight="1" x14ac:dyDescent="0.15">
      <c r="C11" s="131" t="s">
        <v>364</v>
      </c>
      <c r="D11" s="132" t="s">
        <v>365</v>
      </c>
    </row>
    <row r="13" spans="1:6" x14ac:dyDescent="0.4">
      <c r="A13" s="127" t="s">
        <v>366</v>
      </c>
    </row>
    <row r="15" spans="1:6" ht="24.95" customHeight="1" x14ac:dyDescent="0.4">
      <c r="A15" s="1838" t="s">
        <v>367</v>
      </c>
      <c r="B15" s="1856"/>
      <c r="C15" s="1840" t="s">
        <v>399</v>
      </c>
      <c r="D15" s="1840"/>
      <c r="E15" s="1840"/>
      <c r="F15" s="1841"/>
    </row>
    <row r="16" spans="1:6" ht="24.95" customHeight="1" x14ac:dyDescent="0.4">
      <c r="A16" s="1857"/>
      <c r="B16" s="1858"/>
      <c r="C16" s="1859" t="s">
        <v>400</v>
      </c>
      <c r="D16" s="1859"/>
      <c r="E16" s="1859"/>
      <c r="F16" s="1860"/>
    </row>
    <row r="17" spans="1:6" ht="27" customHeight="1" x14ac:dyDescent="0.4">
      <c r="A17" s="1861" t="s">
        <v>368</v>
      </c>
      <c r="B17" s="1862"/>
      <c r="C17" s="1863" t="s">
        <v>369</v>
      </c>
      <c r="D17" s="1864"/>
      <c r="E17" s="1864"/>
      <c r="F17" s="1865"/>
    </row>
    <row r="18" spans="1:6" ht="27" customHeight="1" x14ac:dyDescent="0.4">
      <c r="A18" s="1838" t="s">
        <v>370</v>
      </c>
      <c r="B18" s="133" t="s">
        <v>371</v>
      </c>
      <c r="C18" s="1840">
        <f>'[2]（最新）アセスメントシート'!AG3</f>
        <v>0</v>
      </c>
      <c r="D18" s="1840"/>
      <c r="E18" s="1840"/>
      <c r="F18" s="1841"/>
    </row>
    <row r="19" spans="1:6" ht="27" customHeight="1" x14ac:dyDescent="0.4">
      <c r="A19" s="1839"/>
      <c r="B19" s="134" t="s">
        <v>372</v>
      </c>
      <c r="C19" s="1842" t="s">
        <v>401</v>
      </c>
      <c r="D19" s="1842"/>
      <c r="E19" s="1842"/>
      <c r="F19" s="1843"/>
    </row>
    <row r="20" spans="1:6" ht="27" customHeight="1" x14ac:dyDescent="0.4">
      <c r="A20" s="1844" t="s">
        <v>373</v>
      </c>
      <c r="B20" s="135" t="s">
        <v>374</v>
      </c>
      <c r="C20" s="1847">
        <f>'[2]（最新）アセスメントシート'!D7</f>
        <v>0</v>
      </c>
      <c r="D20" s="1847"/>
      <c r="E20" s="1847"/>
      <c r="F20" s="1848"/>
    </row>
    <row r="21" spans="1:6" ht="27" customHeight="1" x14ac:dyDescent="0.4">
      <c r="A21" s="1845"/>
      <c r="B21" s="136" t="s">
        <v>375</v>
      </c>
      <c r="C21" s="1849">
        <f>'[2]（最新）アセスメントシート'!X5</f>
        <v>0</v>
      </c>
      <c r="D21" s="1850"/>
      <c r="E21" s="136" t="s">
        <v>376</v>
      </c>
      <c r="F21" s="137">
        <f>'[2]（最新）アセスメントシート'!E10</f>
        <v>0</v>
      </c>
    </row>
    <row r="22" spans="1:6" ht="27" customHeight="1" x14ac:dyDescent="0.4">
      <c r="A22" s="1845"/>
      <c r="B22" s="1851" t="s">
        <v>377</v>
      </c>
      <c r="C22" s="1851"/>
      <c r="D22" s="1852"/>
      <c r="E22" s="1852"/>
      <c r="F22" s="1853"/>
    </row>
    <row r="23" spans="1:6" ht="27" customHeight="1" x14ac:dyDescent="0.4">
      <c r="A23" s="1846"/>
      <c r="B23" s="138"/>
      <c r="C23" s="139"/>
      <c r="D23" s="140" t="s">
        <v>371</v>
      </c>
      <c r="E23" s="1831"/>
      <c r="F23" s="1854"/>
    </row>
    <row r="24" spans="1:6" ht="17.25" customHeight="1" x14ac:dyDescent="0.4">
      <c r="A24" s="1835" t="s">
        <v>378</v>
      </c>
      <c r="B24" s="1836"/>
      <c r="C24" s="1836"/>
      <c r="D24" s="1836"/>
      <c r="E24" s="1836"/>
      <c r="F24" s="1837"/>
    </row>
    <row r="25" spans="1:6" ht="17.25" customHeight="1" x14ac:dyDescent="0.4">
      <c r="A25" s="1823" t="s">
        <v>379</v>
      </c>
      <c r="B25" s="1824"/>
      <c r="C25" s="1824"/>
      <c r="D25" s="1824"/>
      <c r="E25" s="1824"/>
      <c r="F25" s="1825"/>
    </row>
    <row r="26" spans="1:6" ht="17.25" customHeight="1" x14ac:dyDescent="0.4">
      <c r="A26" s="1823" t="s">
        <v>380</v>
      </c>
      <c r="B26" s="1824"/>
      <c r="C26" s="1824"/>
      <c r="D26" s="1824"/>
      <c r="E26" s="1824"/>
      <c r="F26" s="1825"/>
    </row>
    <row r="27" spans="1:6" ht="17.25" customHeight="1" x14ac:dyDescent="0.4">
      <c r="A27" s="1823" t="s">
        <v>381</v>
      </c>
      <c r="B27" s="1824"/>
      <c r="C27" s="1824"/>
      <c r="D27" s="1824"/>
      <c r="E27" s="1824"/>
      <c r="F27" s="1825"/>
    </row>
    <row r="28" spans="1:6" ht="17.25" customHeight="1" x14ac:dyDescent="0.4">
      <c r="A28" s="1823" t="s">
        <v>382</v>
      </c>
      <c r="B28" s="1824"/>
      <c r="C28" s="1824"/>
      <c r="D28" s="1824"/>
      <c r="E28" s="1824"/>
      <c r="F28" s="1825"/>
    </row>
    <row r="29" spans="1:6" ht="17.25" customHeight="1" x14ac:dyDescent="0.4">
      <c r="A29" s="1823" t="s">
        <v>383</v>
      </c>
      <c r="B29" s="1824"/>
      <c r="C29" s="1824"/>
      <c r="D29" s="1824"/>
      <c r="E29" s="1824"/>
      <c r="F29" s="1825"/>
    </row>
    <row r="30" spans="1:6" ht="17.25" customHeight="1" x14ac:dyDescent="0.4">
      <c r="A30" s="1823" t="s">
        <v>384</v>
      </c>
      <c r="B30" s="1824"/>
      <c r="C30" s="1824"/>
      <c r="D30" s="1824"/>
      <c r="E30" s="1824"/>
      <c r="F30" s="1825"/>
    </row>
    <row r="31" spans="1:6" ht="17.25" customHeight="1" x14ac:dyDescent="0.4">
      <c r="A31" s="1823" t="s">
        <v>385</v>
      </c>
      <c r="B31" s="1824"/>
      <c r="C31" s="1824"/>
      <c r="D31" s="1824"/>
      <c r="E31" s="1824"/>
      <c r="F31" s="1825"/>
    </row>
    <row r="32" spans="1:6" ht="17.25" customHeight="1" x14ac:dyDescent="0.4">
      <c r="A32" s="141" t="s">
        <v>386</v>
      </c>
      <c r="F32" s="142"/>
    </row>
    <row r="33" spans="1:6" ht="17.25" customHeight="1" x14ac:dyDescent="0.4">
      <c r="A33" s="1823" t="s">
        <v>387</v>
      </c>
      <c r="B33" s="1824"/>
      <c r="C33" s="1824"/>
      <c r="D33" s="1824"/>
      <c r="E33" s="1824"/>
      <c r="F33" s="1825"/>
    </row>
    <row r="34" spans="1:6" ht="17.25" customHeight="1" x14ac:dyDescent="0.4">
      <c r="A34" s="1823" t="s">
        <v>388</v>
      </c>
      <c r="B34" s="1824"/>
      <c r="C34" s="1824"/>
      <c r="D34" s="1824"/>
      <c r="E34" s="1824"/>
      <c r="F34" s="1825"/>
    </row>
    <row r="35" spans="1:6" ht="17.25" customHeight="1" x14ac:dyDescent="0.4">
      <c r="A35" s="1835" t="s">
        <v>389</v>
      </c>
      <c r="B35" s="1836"/>
      <c r="C35" s="1836"/>
      <c r="D35" s="1836"/>
      <c r="E35" s="1836"/>
      <c r="F35" s="1837"/>
    </row>
    <row r="36" spans="1:6" ht="17.25" customHeight="1" x14ac:dyDescent="0.4">
      <c r="A36" s="1823" t="s">
        <v>390</v>
      </c>
      <c r="B36" s="1824"/>
      <c r="C36" s="1824"/>
      <c r="D36" s="1824"/>
      <c r="E36" s="1824"/>
      <c r="F36" s="1825"/>
    </row>
    <row r="37" spans="1:6" ht="17.25" customHeight="1" x14ac:dyDescent="0.4">
      <c r="A37" s="1823" t="s">
        <v>391</v>
      </c>
      <c r="B37" s="1824"/>
      <c r="C37" s="1824"/>
      <c r="D37" s="1824"/>
      <c r="E37" s="1824"/>
      <c r="F37" s="1825"/>
    </row>
    <row r="38" spans="1:6" ht="17.25" customHeight="1" x14ac:dyDescent="0.4">
      <c r="A38" s="1826" t="s">
        <v>392</v>
      </c>
      <c r="B38" s="1827"/>
      <c r="C38" s="1827"/>
      <c r="D38" s="1827"/>
      <c r="E38" s="1827"/>
      <c r="F38" s="1828"/>
    </row>
    <row r="39" spans="1:6" ht="18.75" customHeight="1" x14ac:dyDescent="0.4">
      <c r="A39" s="143" t="s">
        <v>393</v>
      </c>
      <c r="B39" s="144"/>
      <c r="C39" s="144"/>
      <c r="D39" s="144"/>
      <c r="E39" s="144"/>
      <c r="F39" s="144"/>
    </row>
    <row r="40" spans="1:6" ht="18" customHeight="1" x14ac:dyDescent="0.4">
      <c r="A40" s="145" t="s">
        <v>394</v>
      </c>
      <c r="B40" s="146" t="s">
        <v>395</v>
      </c>
      <c r="C40" s="146" t="s">
        <v>396</v>
      </c>
      <c r="D40" s="1829" t="s">
        <v>397</v>
      </c>
      <c r="E40" s="1830"/>
      <c r="F40" s="147" t="s">
        <v>398</v>
      </c>
    </row>
    <row r="41" spans="1:6" ht="40.5" customHeight="1" x14ac:dyDescent="0.4">
      <c r="A41" s="148"/>
      <c r="B41" s="149"/>
      <c r="C41" s="149"/>
      <c r="D41" s="1831"/>
      <c r="E41" s="1832"/>
      <c r="F41" s="1833"/>
    </row>
    <row r="42" spans="1:6" ht="45" customHeight="1" x14ac:dyDescent="0.4">
      <c r="E42" s="150"/>
      <c r="F42" s="1834"/>
    </row>
    <row r="43" spans="1:6" ht="22.5" customHeight="1" x14ac:dyDescent="0.4"/>
    <row r="44" spans="1:6" ht="22.5" customHeight="1" x14ac:dyDescent="0.4"/>
  </sheetData>
  <mergeCells count="31">
    <mergeCell ref="A3:F3"/>
    <mergeCell ref="A15:B16"/>
    <mergeCell ref="C15:F15"/>
    <mergeCell ref="C16:F16"/>
    <mergeCell ref="A17:B17"/>
    <mergeCell ref="C17:F17"/>
    <mergeCell ref="A18:A19"/>
    <mergeCell ref="C18:F18"/>
    <mergeCell ref="C19:F19"/>
    <mergeCell ref="A20:A23"/>
    <mergeCell ref="C20:F20"/>
    <mergeCell ref="C21:D21"/>
    <mergeCell ref="B22:F22"/>
    <mergeCell ref="E23:F23"/>
    <mergeCell ref="A36:F36"/>
    <mergeCell ref="A24:F24"/>
    <mergeCell ref="A25:F25"/>
    <mergeCell ref="A26:F26"/>
    <mergeCell ref="A27:F27"/>
    <mergeCell ref="A28:F28"/>
    <mergeCell ref="A29:F29"/>
    <mergeCell ref="A30:F30"/>
    <mergeCell ref="A31:F31"/>
    <mergeCell ref="A33:F33"/>
    <mergeCell ref="A34:F34"/>
    <mergeCell ref="A35:F35"/>
    <mergeCell ref="A37:F37"/>
    <mergeCell ref="A38:F38"/>
    <mergeCell ref="D40:E40"/>
    <mergeCell ref="D41:E41"/>
    <mergeCell ref="F41:F42"/>
  </mergeCells>
  <phoneticPr fontId="1"/>
  <printOptions horizontalCentered="1" verticalCentered="1"/>
  <pageMargins left="0.39370078740157483" right="0.35433070866141736" top="0.39370078740157483" bottom="0.35433070866141736" header="0.35433070866141736" footer="0.31496062992125984"/>
  <pageSetup paperSize="9" scale="93" fitToHeight="0" orientation="portrait" blackAndWhite="1"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E3CAF-24B8-41DB-93BD-A65B1B0C7ED3}">
  <sheetPr codeName="Sheet15">
    <tabColor theme="9" tint="0.59999389629810485"/>
  </sheetPr>
  <dimension ref="B1:O32"/>
  <sheetViews>
    <sheetView zoomScaleNormal="100" zoomScaleSheetLayoutView="100" workbookViewId="0">
      <selection activeCell="I13" sqref="I13"/>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10" customWidth="1"/>
    <col min="9" max="9" width="25.875" customWidth="1"/>
    <col min="10" max="10" width="9.625" customWidth="1"/>
  </cols>
  <sheetData>
    <row r="1" spans="2:8" x14ac:dyDescent="0.4">
      <c r="B1" s="198"/>
      <c r="C1" s="199"/>
      <c r="D1" s="199"/>
      <c r="E1" s="199"/>
      <c r="F1" s="199"/>
      <c r="G1" s="199"/>
      <c r="H1" s="199"/>
    </row>
    <row r="2" spans="2:8" x14ac:dyDescent="0.2">
      <c r="B2" s="1867" t="s">
        <v>937</v>
      </c>
      <c r="C2" s="1867"/>
      <c r="D2" s="1867"/>
      <c r="E2" s="1867"/>
      <c r="F2" s="1867"/>
      <c r="G2" s="1867"/>
      <c r="H2" s="1867"/>
    </row>
    <row r="3" spans="2:8" x14ac:dyDescent="0.4">
      <c r="B3" s="203"/>
      <c r="C3" s="198"/>
    </row>
    <row r="4" spans="2:8" x14ac:dyDescent="0.4">
      <c r="B4" s="205"/>
      <c r="C4" s="199"/>
      <c r="D4" s="199"/>
      <c r="E4" s="199"/>
      <c r="F4" s="199"/>
      <c r="G4" s="199"/>
      <c r="H4" s="199"/>
    </row>
    <row r="5" spans="2:8" s="292" customFormat="1" ht="19.5" x14ac:dyDescent="0.4">
      <c r="B5" s="298"/>
      <c r="C5" s="299" t="s">
        <v>631</v>
      </c>
      <c r="D5" s="300"/>
      <c r="E5" s="300"/>
      <c r="F5" s="300"/>
      <c r="G5" s="300"/>
      <c r="H5" s="302" t="s">
        <v>506</v>
      </c>
    </row>
    <row r="6" spans="2:8" x14ac:dyDescent="0.4">
      <c r="B6" s="214"/>
      <c r="C6" s="199"/>
      <c r="D6" s="199"/>
      <c r="E6" s="199"/>
      <c r="F6" s="199"/>
      <c r="G6" s="199"/>
      <c r="H6" s="199"/>
    </row>
    <row r="7" spans="2:8" s="292" customFormat="1" ht="19.5" x14ac:dyDescent="0.4">
      <c r="B7" s="298"/>
      <c r="C7" s="299" t="s">
        <v>655</v>
      </c>
      <c r="D7" s="1866">
        <v>45566</v>
      </c>
      <c r="E7" s="1866"/>
      <c r="F7" s="301"/>
      <c r="G7" s="301"/>
      <c r="H7" s="300"/>
    </row>
    <row r="8" spans="2:8" x14ac:dyDescent="0.4">
      <c r="B8" s="214"/>
      <c r="C8" s="199"/>
      <c r="D8" s="199"/>
      <c r="E8" s="199"/>
      <c r="F8" s="199"/>
      <c r="G8" s="199"/>
      <c r="H8" s="199"/>
    </row>
    <row r="10" spans="2:8" ht="24.95" customHeight="1" x14ac:dyDescent="0.4"/>
    <row r="11" spans="2:8" ht="24.95" customHeight="1" x14ac:dyDescent="0.4"/>
    <row r="12" spans="2:8" ht="24.95" customHeight="1" x14ac:dyDescent="0.4"/>
    <row r="22" spans="15:15" ht="20.100000000000001" customHeight="1" x14ac:dyDescent="0.4"/>
    <row r="24" spans="15:15" ht="20.100000000000001" customHeight="1" x14ac:dyDescent="0.4">
      <c r="O24" s="219"/>
    </row>
    <row r="29" spans="15:15" ht="14.25" customHeight="1" x14ac:dyDescent="0.4"/>
    <row r="30" spans="15:15" ht="18.75" customHeight="1" x14ac:dyDescent="0.4"/>
    <row r="32" spans="15:15" ht="17.100000000000001" customHeight="1" x14ac:dyDescent="0.4"/>
  </sheetData>
  <mergeCells count="2">
    <mergeCell ref="D7:E7"/>
    <mergeCell ref="B2:H2"/>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BD228-D951-47AE-86DD-3A4E3A86D2AD}">
  <sheetPr codeName="Sheet18">
    <tabColor theme="9" tint="0.79998168889431442"/>
  </sheetPr>
  <dimension ref="B1:R19"/>
  <sheetViews>
    <sheetView workbookViewId="0">
      <selection activeCell="U19" sqref="U19"/>
    </sheetView>
  </sheetViews>
  <sheetFormatPr defaultColWidth="5.25" defaultRowHeight="18.75" x14ac:dyDescent="0.4"/>
  <cols>
    <col min="1" max="1" width="1.5" customWidth="1"/>
    <col min="2" max="2" width="2.625" customWidth="1"/>
    <col min="3" max="17" width="5.25" customWidth="1"/>
    <col min="18" max="18" width="5.625" customWidth="1"/>
    <col min="19" max="19" width="1.5" customWidth="1"/>
  </cols>
  <sheetData>
    <row r="1" spans="2:18" ht="8.25" customHeight="1" x14ac:dyDescent="0.4"/>
    <row r="2" spans="2:18" ht="16.5" customHeight="1" x14ac:dyDescent="0.4">
      <c r="B2" s="1163" t="s">
        <v>1154</v>
      </c>
      <c r="C2" s="1164"/>
      <c r="D2" s="1868">
        <f ca="1">TODAY()</f>
        <v>46096</v>
      </c>
      <c r="E2" s="1868"/>
      <c r="F2" s="1869"/>
      <c r="G2" s="406" t="s">
        <v>1156</v>
      </c>
      <c r="H2" s="406"/>
      <c r="I2" s="406" t="str">
        <f>LEFT('[2]（最新）アセスメントシート'!AG3,2)</f>
        <v/>
      </c>
      <c r="J2" s="406"/>
      <c r="K2" s="508" t="s">
        <v>1157</v>
      </c>
      <c r="L2" s="588" t="s">
        <v>870</v>
      </c>
      <c r="M2" s="406" t="s">
        <v>1155</v>
      </c>
      <c r="N2" s="406"/>
      <c r="O2" s="406"/>
      <c r="P2" s="406"/>
      <c r="Q2" s="406"/>
      <c r="R2" s="453"/>
    </row>
    <row r="3" spans="2:18" ht="16.5" customHeight="1" x14ac:dyDescent="0.4">
      <c r="B3" s="1169"/>
      <c r="C3" s="1170"/>
      <c r="D3" s="1870"/>
      <c r="E3" s="1870"/>
      <c r="F3" s="1871"/>
      <c r="G3" s="408"/>
      <c r="H3" s="408"/>
      <c r="I3" s="408"/>
      <c r="J3" s="408"/>
      <c r="K3" s="510"/>
      <c r="L3" s="589"/>
      <c r="M3" s="408"/>
      <c r="N3" s="408"/>
      <c r="O3" s="408"/>
      <c r="P3" s="408"/>
      <c r="Q3" s="408"/>
      <c r="R3" s="454"/>
    </row>
    <row r="4" spans="2:18" ht="27.75" customHeight="1" x14ac:dyDescent="0.4">
      <c r="B4" s="423" t="s">
        <v>1158</v>
      </c>
      <c r="C4" s="424"/>
      <c r="D4" s="424"/>
      <c r="E4" s="424"/>
      <c r="F4" s="424"/>
      <c r="G4" s="424"/>
      <c r="H4" s="424"/>
      <c r="I4" s="424"/>
      <c r="J4" s="424"/>
      <c r="K4" s="424"/>
      <c r="L4" s="424"/>
      <c r="M4" s="424"/>
      <c r="N4" s="424"/>
      <c r="O4" s="424"/>
      <c r="P4" s="424"/>
      <c r="Q4" s="424"/>
      <c r="R4" s="1217"/>
    </row>
    <row r="5" spans="2:18" ht="24" customHeight="1" x14ac:dyDescent="0.4">
      <c r="B5" s="225"/>
      <c r="C5" s="508" t="s">
        <v>1159</v>
      </c>
      <c r="D5" s="508"/>
      <c r="E5" s="508"/>
      <c r="F5" s="406">
        <f>'[2]（最新）アセスメントシート'!D5</f>
        <v>0</v>
      </c>
      <c r="G5" s="406"/>
      <c r="H5" s="406"/>
      <c r="I5" s="406"/>
      <c r="J5" t="s">
        <v>422</v>
      </c>
      <c r="R5" s="184"/>
    </row>
    <row r="6" spans="2:18" ht="24" customHeight="1" x14ac:dyDescent="0.4">
      <c r="B6" s="225"/>
      <c r="C6" s="487" t="s">
        <v>1160</v>
      </c>
      <c r="D6" s="487"/>
      <c r="E6" s="487"/>
      <c r="F6" s="1273">
        <v>45799</v>
      </c>
      <c r="G6" s="1273"/>
      <c r="H6" s="1273"/>
      <c r="I6" s="1273"/>
      <c r="J6" s="487" t="s">
        <v>1161</v>
      </c>
      <c r="K6" s="487"/>
      <c r="L6" s="487"/>
      <c r="M6" s="498"/>
      <c r="N6" s="498"/>
      <c r="O6" s="498"/>
      <c r="P6" s="498"/>
      <c r="Q6" s="177"/>
      <c r="R6" s="184"/>
    </row>
    <row r="7" spans="2:18" ht="24" customHeight="1" x14ac:dyDescent="0.4">
      <c r="B7" s="225"/>
      <c r="C7" t="s">
        <v>1162</v>
      </c>
      <c r="H7" s="487" t="s">
        <v>1163</v>
      </c>
      <c r="I7" s="487"/>
      <c r="K7" s="487" t="s">
        <v>1164</v>
      </c>
      <c r="L7" s="487"/>
      <c r="N7" s="487" t="s">
        <v>1165</v>
      </c>
      <c r="O7" s="487"/>
      <c r="R7" s="184"/>
    </row>
    <row r="8" spans="2:18" ht="24" customHeight="1" x14ac:dyDescent="0.4">
      <c r="B8" s="225"/>
      <c r="C8" s="487" t="s">
        <v>1166</v>
      </c>
      <c r="D8" s="487"/>
      <c r="E8" s="487"/>
      <c r="F8" s="487"/>
      <c r="G8" s="487"/>
      <c r="H8" s="487"/>
      <c r="I8" s="487"/>
      <c r="J8" s="487"/>
      <c r="K8" s="487"/>
      <c r="L8" s="487"/>
      <c r="M8" s="487"/>
      <c r="N8" s="487"/>
      <c r="O8" s="487"/>
      <c r="P8" s="487"/>
      <c r="Q8" s="487"/>
      <c r="R8" s="597"/>
    </row>
    <row r="9" spans="2:18" ht="20.25" customHeight="1" x14ac:dyDescent="0.4">
      <c r="B9" s="225"/>
      <c r="D9" s="487" t="s">
        <v>1167</v>
      </c>
      <c r="E9" s="487"/>
      <c r="F9" s="487"/>
      <c r="G9" s="487"/>
      <c r="H9" s="487"/>
      <c r="I9" s="487"/>
      <c r="J9" s="487"/>
      <c r="K9" s="487"/>
      <c r="L9" s="487"/>
      <c r="M9" s="487"/>
      <c r="N9" s="487"/>
      <c r="O9" s="487"/>
      <c r="P9" s="487"/>
      <c r="Q9" s="487"/>
      <c r="R9" s="597"/>
    </row>
    <row r="10" spans="2:18" ht="20.25" customHeight="1" x14ac:dyDescent="0.4">
      <c r="B10" s="225"/>
      <c r="D10" s="487" t="s">
        <v>1168</v>
      </c>
      <c r="E10" s="487"/>
      <c r="F10" s="487"/>
      <c r="G10" s="487"/>
      <c r="H10" s="487"/>
      <c r="I10" s="487"/>
      <c r="J10" s="487"/>
      <c r="K10" s="487"/>
      <c r="L10" s="487"/>
      <c r="M10" s="487"/>
      <c r="N10" s="487"/>
      <c r="O10" s="487"/>
      <c r="P10" s="487"/>
      <c r="Q10" s="487"/>
      <c r="R10" s="597"/>
    </row>
    <row r="11" spans="2:18" ht="20.25" customHeight="1" x14ac:dyDescent="0.4">
      <c r="B11" s="225"/>
      <c r="D11" s="487" t="s">
        <v>1169</v>
      </c>
      <c r="E11" s="487"/>
      <c r="F11" s="487"/>
      <c r="G11" s="487"/>
      <c r="H11" s="487"/>
      <c r="I11" s="487"/>
      <c r="J11" s="487"/>
      <c r="K11" s="487"/>
      <c r="L11" s="487"/>
      <c r="M11" s="487"/>
      <c r="N11" s="487"/>
      <c r="O11" s="487"/>
      <c r="P11" s="487"/>
      <c r="Q11" s="487"/>
      <c r="R11" s="597"/>
    </row>
    <row r="12" spans="2:18" ht="20.25" customHeight="1" x14ac:dyDescent="0.4">
      <c r="B12" s="225"/>
      <c r="D12" s="487" t="s">
        <v>1170</v>
      </c>
      <c r="E12" s="487"/>
      <c r="F12" s="487"/>
      <c r="G12" s="487"/>
      <c r="H12" s="487"/>
      <c r="I12" s="487"/>
      <c r="J12" s="487"/>
      <c r="K12" s="487"/>
      <c r="L12" s="487"/>
      <c r="M12" s="487"/>
      <c r="N12" s="487"/>
      <c r="O12" s="487"/>
      <c r="P12" s="487"/>
      <c r="Q12" s="487"/>
      <c r="R12" s="597"/>
    </row>
    <row r="13" spans="2:18" ht="20.25" customHeight="1" x14ac:dyDescent="0.4">
      <c r="B13" s="225"/>
      <c r="D13" s="487" t="s">
        <v>1171</v>
      </c>
      <c r="E13" s="487"/>
      <c r="F13" s="487"/>
      <c r="G13" s="487"/>
      <c r="H13" s="487"/>
      <c r="I13" s="487"/>
      <c r="J13" s="487"/>
      <c r="K13" s="487"/>
      <c r="L13" s="487"/>
      <c r="M13" s="487"/>
      <c r="N13" s="487"/>
      <c r="O13" s="487"/>
      <c r="P13" s="487"/>
      <c r="Q13" s="487"/>
      <c r="R13" s="597"/>
    </row>
    <row r="14" spans="2:18" ht="20.25" customHeight="1" x14ac:dyDescent="0.4">
      <c r="B14" s="225"/>
      <c r="D14" s="487" t="s">
        <v>1172</v>
      </c>
      <c r="E14" s="487"/>
      <c r="F14" s="487"/>
      <c r="G14" s="487"/>
      <c r="H14" s="487"/>
      <c r="I14" s="487"/>
      <c r="J14" s="487"/>
      <c r="K14" s="487"/>
      <c r="L14" s="487"/>
      <c r="M14" s="487"/>
      <c r="N14" s="487"/>
      <c r="O14" s="487"/>
      <c r="P14" s="487"/>
      <c r="Q14" s="487"/>
      <c r="R14" s="597"/>
    </row>
    <row r="15" spans="2:18" ht="5.25" customHeight="1" thickBot="1" x14ac:dyDescent="0.45">
      <c r="B15" s="387"/>
      <c r="C15" s="363"/>
      <c r="D15" s="363"/>
      <c r="E15" s="363"/>
      <c r="F15" s="363"/>
      <c r="G15" s="363"/>
      <c r="H15" s="363"/>
      <c r="I15" s="363"/>
      <c r="J15" s="363"/>
      <c r="K15" s="363"/>
      <c r="L15" s="363"/>
      <c r="M15" s="363"/>
      <c r="N15" s="363"/>
      <c r="O15" s="363"/>
      <c r="P15" s="363"/>
      <c r="Q15" s="363"/>
      <c r="R15" s="388"/>
    </row>
    <row r="16" spans="2:18" ht="5.25" customHeight="1" thickTop="1" x14ac:dyDescent="0.4">
      <c r="B16" s="225"/>
      <c r="R16" s="184"/>
    </row>
    <row r="17" spans="2:18" ht="24" customHeight="1" x14ac:dyDescent="0.4">
      <c r="B17" s="225"/>
      <c r="C17" s="487" t="s">
        <v>1175</v>
      </c>
      <c r="D17" s="487"/>
      <c r="E17" s="487"/>
      <c r="F17" s="487"/>
      <c r="G17" s="487"/>
      <c r="H17" s="487"/>
      <c r="I17" s="487"/>
      <c r="J17" s="487"/>
      <c r="K17" s="487"/>
      <c r="L17" s="487"/>
      <c r="M17" s="487"/>
      <c r="N17" s="487"/>
      <c r="O17" s="487"/>
      <c r="P17" s="487"/>
      <c r="Q17" s="487"/>
      <c r="R17" s="597"/>
    </row>
    <row r="18" spans="2:18" ht="20.25" customHeight="1" x14ac:dyDescent="0.4">
      <c r="B18" s="225"/>
      <c r="D18" t="s">
        <v>1173</v>
      </c>
      <c r="R18" s="184"/>
    </row>
    <row r="19" spans="2:18" ht="20.25" customHeight="1" x14ac:dyDescent="0.4">
      <c r="B19" s="227"/>
      <c r="C19" s="192"/>
      <c r="D19" s="192" t="s">
        <v>1174</v>
      </c>
      <c r="E19" s="192"/>
      <c r="F19" s="192"/>
      <c r="G19" s="192"/>
      <c r="H19" s="192"/>
      <c r="I19" s="192"/>
      <c r="J19" s="192"/>
      <c r="K19" s="192"/>
      <c r="L19" s="192"/>
      <c r="M19" s="192"/>
      <c r="N19" s="192"/>
      <c r="O19" s="192"/>
      <c r="P19" s="192"/>
      <c r="Q19" s="192"/>
      <c r="R19" s="228"/>
    </row>
  </sheetData>
  <mergeCells count="25">
    <mergeCell ref="C8:R8"/>
    <mergeCell ref="C17:R17"/>
    <mergeCell ref="D9:R9"/>
    <mergeCell ref="D10:R10"/>
    <mergeCell ref="D11:R11"/>
    <mergeCell ref="D12:R12"/>
    <mergeCell ref="D13:R13"/>
    <mergeCell ref="D14:R14"/>
    <mergeCell ref="C6:E6"/>
    <mergeCell ref="F6:I6"/>
    <mergeCell ref="J6:L6"/>
    <mergeCell ref="M6:P6"/>
    <mergeCell ref="H7:I7"/>
    <mergeCell ref="K7:L7"/>
    <mergeCell ref="N7:O7"/>
    <mergeCell ref="B4:R4"/>
    <mergeCell ref="F5:I5"/>
    <mergeCell ref="B2:C3"/>
    <mergeCell ref="C5:E5"/>
    <mergeCell ref="D2:F3"/>
    <mergeCell ref="M2:R3"/>
    <mergeCell ref="L2:L3"/>
    <mergeCell ref="G2:H3"/>
    <mergeCell ref="K2:K3"/>
    <mergeCell ref="I2:J3"/>
  </mergeCells>
  <phoneticPr fontId="1"/>
  <pageMargins left="0.23622047244094491" right="0.23622047244094491" top="0.35433070866141736"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Check Box 3">
              <controlPr defaultSize="0" autoFill="0" autoLine="0" autoPict="0">
                <anchor moveWithCells="1">
                  <from>
                    <xdr:col>6</xdr:col>
                    <xdr:colOff>95250</xdr:colOff>
                    <xdr:row>6</xdr:row>
                    <xdr:rowOff>19050</xdr:rowOff>
                  </from>
                  <to>
                    <xdr:col>6</xdr:col>
                    <xdr:colOff>361950</xdr:colOff>
                    <xdr:row>6</xdr:row>
                    <xdr:rowOff>266700</xdr:rowOff>
                  </to>
                </anchor>
              </controlPr>
            </control>
          </mc:Choice>
        </mc:AlternateContent>
        <mc:AlternateContent xmlns:mc="http://schemas.openxmlformats.org/markup-compatibility/2006">
          <mc:Choice Requires="x14">
            <control shapeId="69636" r:id="rId5" name="Check Box 4">
              <controlPr defaultSize="0" autoFill="0" autoLine="0" autoPict="0">
                <anchor moveWithCells="1">
                  <from>
                    <xdr:col>9</xdr:col>
                    <xdr:colOff>95250</xdr:colOff>
                    <xdr:row>6</xdr:row>
                    <xdr:rowOff>19050</xdr:rowOff>
                  </from>
                  <to>
                    <xdr:col>9</xdr:col>
                    <xdr:colOff>361950</xdr:colOff>
                    <xdr:row>6</xdr:row>
                    <xdr:rowOff>266700</xdr:rowOff>
                  </to>
                </anchor>
              </controlPr>
            </control>
          </mc:Choice>
        </mc:AlternateContent>
        <mc:AlternateContent xmlns:mc="http://schemas.openxmlformats.org/markup-compatibility/2006">
          <mc:Choice Requires="x14">
            <control shapeId="69637" r:id="rId6" name="Check Box 5">
              <controlPr defaultSize="0" autoFill="0" autoLine="0" autoPict="0">
                <anchor moveWithCells="1">
                  <from>
                    <xdr:col>12</xdr:col>
                    <xdr:colOff>95250</xdr:colOff>
                    <xdr:row>6</xdr:row>
                    <xdr:rowOff>19050</xdr:rowOff>
                  </from>
                  <to>
                    <xdr:col>12</xdr:col>
                    <xdr:colOff>361950</xdr:colOff>
                    <xdr:row>6</xdr:row>
                    <xdr:rowOff>266700</xdr:rowOff>
                  </to>
                </anchor>
              </controlPr>
            </control>
          </mc:Choice>
        </mc:AlternateContent>
        <mc:AlternateContent xmlns:mc="http://schemas.openxmlformats.org/markup-compatibility/2006">
          <mc:Choice Requires="x14">
            <control shapeId="69647" r:id="rId7" name="Check Box 15">
              <controlPr defaultSize="0" autoFill="0" autoLine="0" autoPict="0">
                <anchor moveWithCells="1">
                  <from>
                    <xdr:col>2</xdr:col>
                    <xdr:colOff>95250</xdr:colOff>
                    <xdr:row>8</xdr:row>
                    <xdr:rowOff>9525</xdr:rowOff>
                  </from>
                  <to>
                    <xdr:col>2</xdr:col>
                    <xdr:colOff>333375</xdr:colOff>
                    <xdr:row>9</xdr:row>
                    <xdr:rowOff>0</xdr:rowOff>
                  </to>
                </anchor>
              </controlPr>
            </control>
          </mc:Choice>
        </mc:AlternateContent>
        <mc:AlternateContent xmlns:mc="http://schemas.openxmlformats.org/markup-compatibility/2006">
          <mc:Choice Requires="x14">
            <control shapeId="69648" r:id="rId8" name="Check Box 16">
              <controlPr defaultSize="0" autoFill="0" autoLine="0" autoPict="0">
                <anchor moveWithCells="1">
                  <from>
                    <xdr:col>2</xdr:col>
                    <xdr:colOff>95250</xdr:colOff>
                    <xdr:row>9</xdr:row>
                    <xdr:rowOff>9525</xdr:rowOff>
                  </from>
                  <to>
                    <xdr:col>2</xdr:col>
                    <xdr:colOff>333375</xdr:colOff>
                    <xdr:row>10</xdr:row>
                    <xdr:rowOff>0</xdr:rowOff>
                  </to>
                </anchor>
              </controlPr>
            </control>
          </mc:Choice>
        </mc:AlternateContent>
        <mc:AlternateContent xmlns:mc="http://schemas.openxmlformats.org/markup-compatibility/2006">
          <mc:Choice Requires="x14">
            <control shapeId="69649" r:id="rId9" name="Check Box 17">
              <controlPr defaultSize="0" autoFill="0" autoLine="0" autoPict="0">
                <anchor moveWithCells="1">
                  <from>
                    <xdr:col>2</xdr:col>
                    <xdr:colOff>95250</xdr:colOff>
                    <xdr:row>10</xdr:row>
                    <xdr:rowOff>9525</xdr:rowOff>
                  </from>
                  <to>
                    <xdr:col>2</xdr:col>
                    <xdr:colOff>333375</xdr:colOff>
                    <xdr:row>11</xdr:row>
                    <xdr:rowOff>0</xdr:rowOff>
                  </to>
                </anchor>
              </controlPr>
            </control>
          </mc:Choice>
        </mc:AlternateContent>
        <mc:AlternateContent xmlns:mc="http://schemas.openxmlformats.org/markup-compatibility/2006">
          <mc:Choice Requires="x14">
            <control shapeId="69650" r:id="rId10" name="Check Box 18">
              <controlPr defaultSize="0" autoFill="0" autoLine="0" autoPict="0">
                <anchor moveWithCells="1">
                  <from>
                    <xdr:col>2</xdr:col>
                    <xdr:colOff>95250</xdr:colOff>
                    <xdr:row>11</xdr:row>
                    <xdr:rowOff>0</xdr:rowOff>
                  </from>
                  <to>
                    <xdr:col>2</xdr:col>
                    <xdr:colOff>333375</xdr:colOff>
                    <xdr:row>11</xdr:row>
                    <xdr:rowOff>247650</xdr:rowOff>
                  </to>
                </anchor>
              </controlPr>
            </control>
          </mc:Choice>
        </mc:AlternateContent>
        <mc:AlternateContent xmlns:mc="http://schemas.openxmlformats.org/markup-compatibility/2006">
          <mc:Choice Requires="x14">
            <control shapeId="69651" r:id="rId11" name="Check Box 19">
              <controlPr defaultSize="0" autoFill="0" autoLine="0" autoPict="0">
                <anchor moveWithCells="1">
                  <from>
                    <xdr:col>2</xdr:col>
                    <xdr:colOff>95250</xdr:colOff>
                    <xdr:row>12</xdr:row>
                    <xdr:rowOff>0</xdr:rowOff>
                  </from>
                  <to>
                    <xdr:col>2</xdr:col>
                    <xdr:colOff>333375</xdr:colOff>
                    <xdr:row>12</xdr:row>
                    <xdr:rowOff>247650</xdr:rowOff>
                  </to>
                </anchor>
              </controlPr>
            </control>
          </mc:Choice>
        </mc:AlternateContent>
        <mc:AlternateContent xmlns:mc="http://schemas.openxmlformats.org/markup-compatibility/2006">
          <mc:Choice Requires="x14">
            <control shapeId="69652" r:id="rId12" name="Check Box 20">
              <controlPr defaultSize="0" autoFill="0" autoLine="0" autoPict="0">
                <anchor moveWithCells="1">
                  <from>
                    <xdr:col>2</xdr:col>
                    <xdr:colOff>95250</xdr:colOff>
                    <xdr:row>13</xdr:row>
                    <xdr:rowOff>0</xdr:rowOff>
                  </from>
                  <to>
                    <xdr:col>2</xdr:col>
                    <xdr:colOff>333375</xdr:colOff>
                    <xdr:row>13</xdr:row>
                    <xdr:rowOff>247650</xdr:rowOff>
                  </to>
                </anchor>
              </controlPr>
            </control>
          </mc:Choice>
        </mc:AlternateContent>
        <mc:AlternateContent xmlns:mc="http://schemas.openxmlformats.org/markup-compatibility/2006">
          <mc:Choice Requires="x14">
            <control shapeId="69654" r:id="rId13" name="Check Box 22">
              <controlPr defaultSize="0" autoFill="0" autoLine="0" autoPict="0">
                <anchor moveWithCells="1">
                  <from>
                    <xdr:col>2</xdr:col>
                    <xdr:colOff>95250</xdr:colOff>
                    <xdr:row>17</xdr:row>
                    <xdr:rowOff>9525</xdr:rowOff>
                  </from>
                  <to>
                    <xdr:col>2</xdr:col>
                    <xdr:colOff>333375</xdr:colOff>
                    <xdr:row>18</xdr:row>
                    <xdr:rowOff>0</xdr:rowOff>
                  </to>
                </anchor>
              </controlPr>
            </control>
          </mc:Choice>
        </mc:AlternateContent>
        <mc:AlternateContent xmlns:mc="http://schemas.openxmlformats.org/markup-compatibility/2006">
          <mc:Choice Requires="x14">
            <control shapeId="69655" r:id="rId14" name="Check Box 23">
              <controlPr defaultSize="0" autoFill="0" autoLine="0" autoPict="0">
                <anchor moveWithCells="1">
                  <from>
                    <xdr:col>2</xdr:col>
                    <xdr:colOff>95250</xdr:colOff>
                    <xdr:row>18</xdr:row>
                    <xdr:rowOff>9525</xdr:rowOff>
                  </from>
                  <to>
                    <xdr:col>2</xdr:col>
                    <xdr:colOff>333375</xdr:colOff>
                    <xdr:row>19</xdr:row>
                    <xdr:rowOff>0</xdr:rowOff>
                  </to>
                </anchor>
              </controlPr>
            </control>
          </mc:Choice>
        </mc:AlternateContent>
        <mc:AlternateContent xmlns:mc="http://schemas.openxmlformats.org/markup-compatibility/2006">
          <mc:Choice Requires="x14">
            <control shapeId="69656" r:id="rId15" name="Check Box 24">
              <controlPr defaultSize="0" autoFill="0" autoLine="0" autoPict="0">
                <anchor moveWithCells="1">
                  <from>
                    <xdr:col>6</xdr:col>
                    <xdr:colOff>95250</xdr:colOff>
                    <xdr:row>6</xdr:row>
                    <xdr:rowOff>19050</xdr:rowOff>
                  </from>
                  <to>
                    <xdr:col>6</xdr:col>
                    <xdr:colOff>361950</xdr:colOff>
                    <xdr:row>6</xdr:row>
                    <xdr:rowOff>266700</xdr:rowOff>
                  </to>
                </anchor>
              </controlPr>
            </control>
          </mc:Choice>
        </mc:AlternateContent>
        <mc:AlternateContent xmlns:mc="http://schemas.openxmlformats.org/markup-compatibility/2006">
          <mc:Choice Requires="x14">
            <control shapeId="69657" r:id="rId16" name="Check Box 25">
              <controlPr defaultSize="0" autoFill="0" autoLine="0" autoPict="0">
                <anchor moveWithCells="1">
                  <from>
                    <xdr:col>9</xdr:col>
                    <xdr:colOff>95250</xdr:colOff>
                    <xdr:row>6</xdr:row>
                    <xdr:rowOff>19050</xdr:rowOff>
                  </from>
                  <to>
                    <xdr:col>9</xdr:col>
                    <xdr:colOff>361950</xdr:colOff>
                    <xdr:row>6</xdr:row>
                    <xdr:rowOff>266700</xdr:rowOff>
                  </to>
                </anchor>
              </controlPr>
            </control>
          </mc:Choice>
        </mc:AlternateContent>
        <mc:AlternateContent xmlns:mc="http://schemas.openxmlformats.org/markup-compatibility/2006">
          <mc:Choice Requires="x14">
            <control shapeId="69658" r:id="rId17" name="Check Box 26">
              <controlPr defaultSize="0" autoFill="0" autoLine="0" autoPict="0">
                <anchor moveWithCells="1">
                  <from>
                    <xdr:col>12</xdr:col>
                    <xdr:colOff>95250</xdr:colOff>
                    <xdr:row>6</xdr:row>
                    <xdr:rowOff>19050</xdr:rowOff>
                  </from>
                  <to>
                    <xdr:col>12</xdr:col>
                    <xdr:colOff>361950</xdr:colOff>
                    <xdr:row>6</xdr:row>
                    <xdr:rowOff>266700</xdr:rowOff>
                  </to>
                </anchor>
              </controlPr>
            </control>
          </mc:Choice>
        </mc:AlternateContent>
        <mc:AlternateContent xmlns:mc="http://schemas.openxmlformats.org/markup-compatibility/2006">
          <mc:Choice Requires="x14">
            <control shapeId="69659" r:id="rId18" name="Check Box 27">
              <controlPr defaultSize="0" autoFill="0" autoLine="0" autoPict="0">
                <anchor moveWithCells="1">
                  <from>
                    <xdr:col>2</xdr:col>
                    <xdr:colOff>95250</xdr:colOff>
                    <xdr:row>8</xdr:row>
                    <xdr:rowOff>9525</xdr:rowOff>
                  </from>
                  <to>
                    <xdr:col>2</xdr:col>
                    <xdr:colOff>333375</xdr:colOff>
                    <xdr:row>9</xdr:row>
                    <xdr:rowOff>0</xdr:rowOff>
                  </to>
                </anchor>
              </controlPr>
            </control>
          </mc:Choice>
        </mc:AlternateContent>
        <mc:AlternateContent xmlns:mc="http://schemas.openxmlformats.org/markup-compatibility/2006">
          <mc:Choice Requires="x14">
            <control shapeId="69660" r:id="rId19" name="Check Box 28">
              <controlPr defaultSize="0" autoFill="0" autoLine="0" autoPict="0">
                <anchor moveWithCells="1">
                  <from>
                    <xdr:col>2</xdr:col>
                    <xdr:colOff>95250</xdr:colOff>
                    <xdr:row>9</xdr:row>
                    <xdr:rowOff>9525</xdr:rowOff>
                  </from>
                  <to>
                    <xdr:col>2</xdr:col>
                    <xdr:colOff>333375</xdr:colOff>
                    <xdr:row>10</xdr:row>
                    <xdr:rowOff>0</xdr:rowOff>
                  </to>
                </anchor>
              </controlPr>
            </control>
          </mc:Choice>
        </mc:AlternateContent>
        <mc:AlternateContent xmlns:mc="http://schemas.openxmlformats.org/markup-compatibility/2006">
          <mc:Choice Requires="x14">
            <control shapeId="69661" r:id="rId20" name="Check Box 29">
              <controlPr defaultSize="0" autoFill="0" autoLine="0" autoPict="0">
                <anchor moveWithCells="1">
                  <from>
                    <xdr:col>2</xdr:col>
                    <xdr:colOff>95250</xdr:colOff>
                    <xdr:row>10</xdr:row>
                    <xdr:rowOff>9525</xdr:rowOff>
                  </from>
                  <to>
                    <xdr:col>2</xdr:col>
                    <xdr:colOff>333375</xdr:colOff>
                    <xdr:row>11</xdr:row>
                    <xdr:rowOff>0</xdr:rowOff>
                  </to>
                </anchor>
              </controlPr>
            </control>
          </mc:Choice>
        </mc:AlternateContent>
        <mc:AlternateContent xmlns:mc="http://schemas.openxmlformats.org/markup-compatibility/2006">
          <mc:Choice Requires="x14">
            <control shapeId="69662" r:id="rId21" name="Check Box 30">
              <controlPr defaultSize="0" autoFill="0" autoLine="0" autoPict="0">
                <anchor moveWithCells="1">
                  <from>
                    <xdr:col>2</xdr:col>
                    <xdr:colOff>95250</xdr:colOff>
                    <xdr:row>11</xdr:row>
                    <xdr:rowOff>0</xdr:rowOff>
                  </from>
                  <to>
                    <xdr:col>2</xdr:col>
                    <xdr:colOff>333375</xdr:colOff>
                    <xdr:row>11</xdr:row>
                    <xdr:rowOff>247650</xdr:rowOff>
                  </to>
                </anchor>
              </controlPr>
            </control>
          </mc:Choice>
        </mc:AlternateContent>
        <mc:AlternateContent xmlns:mc="http://schemas.openxmlformats.org/markup-compatibility/2006">
          <mc:Choice Requires="x14">
            <control shapeId="69663" r:id="rId22" name="Check Box 31">
              <controlPr defaultSize="0" autoFill="0" autoLine="0" autoPict="0">
                <anchor moveWithCells="1">
                  <from>
                    <xdr:col>2</xdr:col>
                    <xdr:colOff>95250</xdr:colOff>
                    <xdr:row>12</xdr:row>
                    <xdr:rowOff>0</xdr:rowOff>
                  </from>
                  <to>
                    <xdr:col>2</xdr:col>
                    <xdr:colOff>333375</xdr:colOff>
                    <xdr:row>12</xdr:row>
                    <xdr:rowOff>247650</xdr:rowOff>
                  </to>
                </anchor>
              </controlPr>
            </control>
          </mc:Choice>
        </mc:AlternateContent>
        <mc:AlternateContent xmlns:mc="http://schemas.openxmlformats.org/markup-compatibility/2006">
          <mc:Choice Requires="x14">
            <control shapeId="69664" r:id="rId23" name="Check Box 32">
              <controlPr defaultSize="0" autoFill="0" autoLine="0" autoPict="0">
                <anchor moveWithCells="1">
                  <from>
                    <xdr:col>2</xdr:col>
                    <xdr:colOff>95250</xdr:colOff>
                    <xdr:row>13</xdr:row>
                    <xdr:rowOff>0</xdr:rowOff>
                  </from>
                  <to>
                    <xdr:col>2</xdr:col>
                    <xdr:colOff>333375</xdr:colOff>
                    <xdr:row>13</xdr:row>
                    <xdr:rowOff>247650</xdr:rowOff>
                  </to>
                </anchor>
              </controlPr>
            </control>
          </mc:Choice>
        </mc:AlternateContent>
        <mc:AlternateContent xmlns:mc="http://schemas.openxmlformats.org/markup-compatibility/2006">
          <mc:Choice Requires="x14">
            <control shapeId="69665" r:id="rId24" name="Check Box 33">
              <controlPr defaultSize="0" autoFill="0" autoLine="0" autoPict="0">
                <anchor moveWithCells="1">
                  <from>
                    <xdr:col>2</xdr:col>
                    <xdr:colOff>95250</xdr:colOff>
                    <xdr:row>17</xdr:row>
                    <xdr:rowOff>9525</xdr:rowOff>
                  </from>
                  <to>
                    <xdr:col>2</xdr:col>
                    <xdr:colOff>333375</xdr:colOff>
                    <xdr:row>18</xdr:row>
                    <xdr:rowOff>0</xdr:rowOff>
                  </to>
                </anchor>
              </controlPr>
            </control>
          </mc:Choice>
        </mc:AlternateContent>
        <mc:AlternateContent xmlns:mc="http://schemas.openxmlformats.org/markup-compatibility/2006">
          <mc:Choice Requires="x14">
            <control shapeId="69666" r:id="rId25" name="Check Box 34">
              <controlPr defaultSize="0" autoFill="0" autoLine="0" autoPict="0">
                <anchor moveWithCells="1">
                  <from>
                    <xdr:col>2</xdr:col>
                    <xdr:colOff>95250</xdr:colOff>
                    <xdr:row>18</xdr:row>
                    <xdr:rowOff>9525</xdr:rowOff>
                  </from>
                  <to>
                    <xdr:col>2</xdr:col>
                    <xdr:colOff>333375</xdr:colOff>
                    <xdr:row>19</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FCDED-B296-4395-B4B4-F76E53496232}">
  <sheetPr codeName="Sheet14"/>
  <dimension ref="A1:U47"/>
  <sheetViews>
    <sheetView topLeftCell="A16" workbookViewId="0">
      <selection activeCell="L40" sqref="L40"/>
    </sheetView>
  </sheetViews>
  <sheetFormatPr defaultColWidth="6" defaultRowHeight="9.75" x14ac:dyDescent="0.4"/>
  <cols>
    <col min="1" max="16384" width="6" style="193"/>
  </cols>
  <sheetData>
    <row r="1" spans="1:21" x14ac:dyDescent="0.4">
      <c r="A1" s="193" t="s">
        <v>80</v>
      </c>
      <c r="E1" s="194" t="s">
        <v>403</v>
      </c>
      <c r="F1" s="194"/>
      <c r="G1" s="194"/>
      <c r="H1" s="194" t="s">
        <v>510</v>
      </c>
      <c r="I1" s="193" t="s">
        <v>480</v>
      </c>
      <c r="J1" s="193" t="s">
        <v>493</v>
      </c>
      <c r="K1" s="193" t="s">
        <v>497</v>
      </c>
      <c r="L1" s="193" t="s">
        <v>507</v>
      </c>
      <c r="N1" s="193" t="s">
        <v>511</v>
      </c>
      <c r="O1" s="193" t="s">
        <v>513</v>
      </c>
      <c r="P1" s="193" t="s">
        <v>685</v>
      </c>
      <c r="Q1" s="193" t="s">
        <v>686</v>
      </c>
      <c r="R1" s="193" t="s">
        <v>790</v>
      </c>
      <c r="S1" s="193" t="s">
        <v>923</v>
      </c>
      <c r="T1" s="193" t="s">
        <v>921</v>
      </c>
      <c r="U1" s="193" t="s">
        <v>934</v>
      </c>
    </row>
    <row r="2" spans="1:21" x14ac:dyDescent="0.4">
      <c r="A2" s="193" t="s">
        <v>71</v>
      </c>
      <c r="E2" s="194" t="s">
        <v>404</v>
      </c>
      <c r="F2" s="194"/>
      <c r="G2" s="194"/>
      <c r="H2" s="194" t="s">
        <v>509</v>
      </c>
      <c r="I2" s="193" t="s">
        <v>481</v>
      </c>
      <c r="J2" s="193" t="s">
        <v>494</v>
      </c>
      <c r="K2" s="193" t="s">
        <v>498</v>
      </c>
      <c r="L2" s="193" t="s">
        <v>508</v>
      </c>
      <c r="N2" s="193" t="s">
        <v>512</v>
      </c>
      <c r="O2" s="193" t="s">
        <v>514</v>
      </c>
      <c r="Q2" s="193" t="s">
        <v>687</v>
      </c>
      <c r="R2" s="193" t="s">
        <v>791</v>
      </c>
      <c r="S2" s="193">
        <v>1</v>
      </c>
      <c r="T2" s="193" t="s">
        <v>922</v>
      </c>
      <c r="U2" s="193" t="s">
        <v>935</v>
      </c>
    </row>
    <row r="3" spans="1:21" x14ac:dyDescent="0.4">
      <c r="A3" s="193" t="s">
        <v>72</v>
      </c>
      <c r="E3" s="194" t="s">
        <v>406</v>
      </c>
      <c r="F3" s="194"/>
      <c r="G3" s="194"/>
      <c r="H3" s="194"/>
      <c r="I3" s="193" t="s">
        <v>482</v>
      </c>
      <c r="J3" s="193" t="s">
        <v>495</v>
      </c>
      <c r="K3" s="193" t="s">
        <v>499</v>
      </c>
      <c r="Q3" s="193" t="s">
        <v>688</v>
      </c>
      <c r="R3" s="193" t="s">
        <v>792</v>
      </c>
      <c r="S3" s="193">
        <v>2</v>
      </c>
      <c r="U3" s="193" t="s">
        <v>936</v>
      </c>
    </row>
    <row r="4" spans="1:21" x14ac:dyDescent="0.4">
      <c r="A4" s="193" t="s">
        <v>81</v>
      </c>
      <c r="E4" s="194" t="s">
        <v>407</v>
      </c>
      <c r="F4" s="194"/>
      <c r="G4" s="194"/>
      <c r="H4" s="194"/>
      <c r="I4" s="193" t="s">
        <v>483</v>
      </c>
      <c r="K4" s="193" t="s">
        <v>500</v>
      </c>
      <c r="Q4" s="193" t="s">
        <v>689</v>
      </c>
      <c r="R4" s="193" t="s">
        <v>793</v>
      </c>
      <c r="S4" s="193">
        <v>3</v>
      </c>
    </row>
    <row r="5" spans="1:21" x14ac:dyDescent="0.4">
      <c r="A5" s="193" t="s">
        <v>74</v>
      </c>
      <c r="E5" s="194" t="s">
        <v>1177</v>
      </c>
      <c r="F5" s="194"/>
      <c r="G5" s="194"/>
      <c r="H5" s="194"/>
      <c r="I5" s="193" t="s">
        <v>484</v>
      </c>
      <c r="K5" s="193" t="s">
        <v>501</v>
      </c>
      <c r="Q5" s="193" t="s">
        <v>690</v>
      </c>
      <c r="R5" s="193" t="s">
        <v>785</v>
      </c>
      <c r="S5" s="193">
        <v>4</v>
      </c>
    </row>
    <row r="6" spans="1:21" x14ac:dyDescent="0.4">
      <c r="A6" s="195" t="s">
        <v>86</v>
      </c>
      <c r="E6" s="194"/>
      <c r="F6" s="194"/>
      <c r="G6" s="194"/>
      <c r="H6" s="194"/>
      <c r="I6" s="193" t="s">
        <v>485</v>
      </c>
      <c r="K6" s="193" t="s">
        <v>502</v>
      </c>
      <c r="Q6" s="193" t="s">
        <v>691</v>
      </c>
      <c r="S6" s="193">
        <v>5</v>
      </c>
    </row>
    <row r="7" spans="1:21" x14ac:dyDescent="0.4">
      <c r="A7" s="193" t="s">
        <v>83</v>
      </c>
      <c r="E7" s="194"/>
      <c r="F7" s="194"/>
      <c r="G7" s="194"/>
      <c r="H7" s="194"/>
      <c r="I7" s="193" t="s">
        <v>486</v>
      </c>
      <c r="K7" s="193" t="s">
        <v>503</v>
      </c>
      <c r="S7" s="193">
        <v>6</v>
      </c>
    </row>
    <row r="8" spans="1:21" x14ac:dyDescent="0.4">
      <c r="A8" s="193" t="s">
        <v>75</v>
      </c>
      <c r="E8" s="194"/>
      <c r="F8" s="194"/>
      <c r="G8" s="194"/>
      <c r="H8" s="194"/>
      <c r="I8" s="193" t="s">
        <v>487</v>
      </c>
      <c r="K8" s="193" t="s">
        <v>504</v>
      </c>
    </row>
    <row r="9" spans="1:21" x14ac:dyDescent="0.4">
      <c r="A9" s="193" t="s">
        <v>76</v>
      </c>
      <c r="K9" s="193" t="s">
        <v>505</v>
      </c>
    </row>
    <row r="10" spans="1:21" x14ac:dyDescent="0.4">
      <c r="A10" s="193" t="s">
        <v>77</v>
      </c>
      <c r="K10" s="193" t="s">
        <v>506</v>
      </c>
    </row>
    <row r="11" spans="1:21" x14ac:dyDescent="0.4">
      <c r="A11" s="193" t="s">
        <v>78</v>
      </c>
    </row>
    <row r="12" spans="1:21" x14ac:dyDescent="0.4">
      <c r="A12" s="193" t="s">
        <v>79</v>
      </c>
    </row>
    <row r="13" spans="1:21" x14ac:dyDescent="0.4">
      <c r="A13" s="193" t="s">
        <v>70</v>
      </c>
    </row>
    <row r="14" spans="1:21" x14ac:dyDescent="0.4">
      <c r="A14" s="193" t="s">
        <v>73</v>
      </c>
    </row>
    <row r="15" spans="1:21" x14ac:dyDescent="0.4">
      <c r="A15" s="193" t="s">
        <v>82</v>
      </c>
    </row>
    <row r="18" spans="1:21" x14ac:dyDescent="0.4">
      <c r="A18" s="193" t="s">
        <v>515</v>
      </c>
      <c r="B18" s="193" t="s">
        <v>520</v>
      </c>
      <c r="C18" s="193" t="s">
        <v>522</v>
      </c>
      <c r="D18" s="193" t="s">
        <v>524</v>
      </c>
      <c r="E18" s="193" t="s">
        <v>527</v>
      </c>
      <c r="F18" s="193" t="s">
        <v>529</v>
      </c>
      <c r="G18" s="193" t="s">
        <v>531</v>
      </c>
      <c r="H18" s="193" t="s">
        <v>534</v>
      </c>
      <c r="I18" s="193" t="s">
        <v>509</v>
      </c>
      <c r="J18" s="193" t="s">
        <v>509</v>
      </c>
      <c r="K18" s="193" t="s">
        <v>509</v>
      </c>
      <c r="L18" s="193" t="s">
        <v>561</v>
      </c>
      <c r="M18" s="193" t="s">
        <v>561</v>
      </c>
      <c r="N18" s="193" t="s">
        <v>568</v>
      </c>
      <c r="O18" s="193" t="s">
        <v>571</v>
      </c>
      <c r="P18" s="193" t="s">
        <v>574</v>
      </c>
      <c r="Q18" s="193" t="s">
        <v>578</v>
      </c>
    </row>
    <row r="19" spans="1:21" x14ac:dyDescent="0.4">
      <c r="A19" s="193" t="s">
        <v>516</v>
      </c>
      <c r="B19" s="193" t="s">
        <v>521</v>
      </c>
      <c r="C19" s="193" t="s">
        <v>523</v>
      </c>
      <c r="D19" s="193" t="s">
        <v>525</v>
      </c>
      <c r="E19" s="193" t="s">
        <v>528</v>
      </c>
      <c r="F19" s="193" t="s">
        <v>530</v>
      </c>
      <c r="G19" s="193" t="s">
        <v>532</v>
      </c>
      <c r="H19" s="193" t="s">
        <v>535</v>
      </c>
      <c r="I19" s="193" t="s">
        <v>540</v>
      </c>
      <c r="J19" s="193" t="s">
        <v>544</v>
      </c>
      <c r="K19" s="193" t="s">
        <v>549</v>
      </c>
      <c r="L19" s="193" t="s">
        <v>562</v>
      </c>
      <c r="M19" s="193" t="s">
        <v>565</v>
      </c>
      <c r="N19" s="193" t="s">
        <v>569</v>
      </c>
      <c r="O19" s="193" t="s">
        <v>572</v>
      </c>
      <c r="P19" s="193" t="s">
        <v>575</v>
      </c>
      <c r="Q19" s="193" t="s">
        <v>579</v>
      </c>
    </row>
    <row r="20" spans="1:21" x14ac:dyDescent="0.4">
      <c r="A20" s="193" t="s">
        <v>517</v>
      </c>
      <c r="D20" s="193" t="s">
        <v>526</v>
      </c>
      <c r="G20" s="193" t="s">
        <v>533</v>
      </c>
      <c r="H20" s="193" t="s">
        <v>536</v>
      </c>
      <c r="I20" s="193" t="s">
        <v>541</v>
      </c>
      <c r="J20" s="193" t="s">
        <v>545</v>
      </c>
      <c r="K20" s="193" t="s">
        <v>550</v>
      </c>
      <c r="L20" s="193" t="s">
        <v>563</v>
      </c>
      <c r="M20" s="193" t="s">
        <v>566</v>
      </c>
      <c r="N20" s="193" t="s">
        <v>570</v>
      </c>
      <c r="O20" s="193" t="s">
        <v>573</v>
      </c>
      <c r="P20" s="193" t="s">
        <v>576</v>
      </c>
      <c r="Q20" s="193" t="s">
        <v>580</v>
      </c>
    </row>
    <row r="21" spans="1:21" x14ac:dyDescent="0.4">
      <c r="A21" s="193" t="s">
        <v>518</v>
      </c>
      <c r="H21" s="193" t="s">
        <v>537</v>
      </c>
      <c r="I21" s="193" t="s">
        <v>542</v>
      </c>
      <c r="J21" s="193" t="s">
        <v>546</v>
      </c>
      <c r="K21" s="193" t="s">
        <v>551</v>
      </c>
      <c r="L21" s="193" t="s">
        <v>564</v>
      </c>
      <c r="M21" s="193" t="s">
        <v>567</v>
      </c>
      <c r="O21" s="193" t="s">
        <v>570</v>
      </c>
      <c r="P21" s="193" t="s">
        <v>577</v>
      </c>
      <c r="Q21" s="193" t="s">
        <v>581</v>
      </c>
    </row>
    <row r="22" spans="1:21" x14ac:dyDescent="0.4">
      <c r="A22" s="193" t="s">
        <v>519</v>
      </c>
      <c r="H22" s="193" t="s">
        <v>538</v>
      </c>
      <c r="I22" s="193" t="s">
        <v>543</v>
      </c>
      <c r="J22" s="193" t="s">
        <v>547</v>
      </c>
      <c r="K22" s="193" t="s">
        <v>552</v>
      </c>
    </row>
    <row r="23" spans="1:21" x14ac:dyDescent="0.4">
      <c r="H23" s="193" t="s">
        <v>539</v>
      </c>
      <c r="J23" s="193" t="s">
        <v>548</v>
      </c>
      <c r="K23" s="193" t="s">
        <v>553</v>
      </c>
    </row>
    <row r="24" spans="1:21" x14ac:dyDescent="0.4">
      <c r="K24" s="193" t="s">
        <v>554</v>
      </c>
    </row>
    <row r="25" spans="1:21" x14ac:dyDescent="0.4">
      <c r="K25" s="193" t="s">
        <v>555</v>
      </c>
    </row>
    <row r="26" spans="1:21" x14ac:dyDescent="0.4">
      <c r="K26" s="193" t="s">
        <v>556</v>
      </c>
    </row>
    <row r="27" spans="1:21" x14ac:dyDescent="0.4">
      <c r="K27" s="193" t="s">
        <v>557</v>
      </c>
    </row>
    <row r="28" spans="1:21" x14ac:dyDescent="0.4">
      <c r="K28" s="193" t="s">
        <v>558</v>
      </c>
    </row>
    <row r="29" spans="1:21" x14ac:dyDescent="0.4">
      <c r="K29" s="193" t="s">
        <v>559</v>
      </c>
    </row>
    <row r="30" spans="1:21" x14ac:dyDescent="0.4">
      <c r="K30" s="193" t="s">
        <v>560</v>
      </c>
    </row>
    <row r="32" spans="1:21" x14ac:dyDescent="0.4">
      <c r="A32" s="193" t="s">
        <v>582</v>
      </c>
      <c r="B32" s="193" t="s">
        <v>571</v>
      </c>
      <c r="C32" s="193" t="s">
        <v>588</v>
      </c>
      <c r="D32" s="193" t="s">
        <v>588</v>
      </c>
      <c r="E32" s="193" t="s">
        <v>595</v>
      </c>
      <c r="F32" s="193" t="s">
        <v>599</v>
      </c>
      <c r="G32" s="193" t="s">
        <v>601</v>
      </c>
      <c r="H32" s="193" t="s">
        <v>604</v>
      </c>
      <c r="I32" s="193" t="s">
        <v>608</v>
      </c>
      <c r="J32" s="193" t="s">
        <v>611</v>
      </c>
      <c r="K32" s="193" t="s">
        <v>616</v>
      </c>
      <c r="L32" s="193" t="s">
        <v>619</v>
      </c>
      <c r="M32" s="193" t="s">
        <v>619</v>
      </c>
      <c r="O32" s="193" t="s">
        <v>887</v>
      </c>
      <c r="Q32" s="193" t="s">
        <v>890</v>
      </c>
      <c r="R32" s="193" t="s">
        <v>900</v>
      </c>
      <c r="S32" s="193" t="s">
        <v>903</v>
      </c>
      <c r="T32" s="193" t="s">
        <v>927</v>
      </c>
      <c r="U32" s="193" t="s">
        <v>930</v>
      </c>
    </row>
    <row r="33" spans="1:21" x14ac:dyDescent="0.4">
      <c r="A33" s="193" t="s">
        <v>583</v>
      </c>
      <c r="B33" s="193" t="s">
        <v>587</v>
      </c>
      <c r="C33" s="193" t="s">
        <v>589</v>
      </c>
      <c r="D33" s="193" t="s">
        <v>592</v>
      </c>
      <c r="E33" s="193" t="s">
        <v>596</v>
      </c>
      <c r="F33" s="193" t="s">
        <v>600</v>
      </c>
      <c r="G33" s="193" t="s">
        <v>602</v>
      </c>
      <c r="H33" s="193" t="s">
        <v>605</v>
      </c>
      <c r="I33" s="193" t="s">
        <v>609</v>
      </c>
      <c r="J33" s="193" t="s">
        <v>612</v>
      </c>
      <c r="K33" s="193" t="s">
        <v>617</v>
      </c>
      <c r="L33" s="193" t="s">
        <v>620</v>
      </c>
      <c r="M33" s="193" t="s">
        <v>623</v>
      </c>
      <c r="O33" s="193" t="s">
        <v>888</v>
      </c>
      <c r="R33" s="193" t="s">
        <v>901</v>
      </c>
      <c r="S33" s="193" t="s">
        <v>904</v>
      </c>
      <c r="T33" s="193" t="s">
        <v>928</v>
      </c>
      <c r="U33" s="193" t="s">
        <v>931</v>
      </c>
    </row>
    <row r="34" spans="1:21" x14ac:dyDescent="0.4">
      <c r="A34" s="193" t="s">
        <v>584</v>
      </c>
      <c r="B34" s="193" t="s">
        <v>570</v>
      </c>
      <c r="C34" s="193" t="s">
        <v>590</v>
      </c>
      <c r="D34" s="193" t="s">
        <v>594</v>
      </c>
      <c r="E34" s="193" t="s">
        <v>597</v>
      </c>
      <c r="G34" s="193" t="s">
        <v>603</v>
      </c>
      <c r="H34" s="193" t="s">
        <v>606</v>
      </c>
      <c r="I34" s="193" t="s">
        <v>610</v>
      </c>
      <c r="J34" s="193" t="s">
        <v>613</v>
      </c>
      <c r="K34" s="193" t="s">
        <v>618</v>
      </c>
      <c r="L34" s="193" t="s">
        <v>621</v>
      </c>
      <c r="M34" s="193" t="s">
        <v>621</v>
      </c>
      <c r="O34" s="193" t="s">
        <v>889</v>
      </c>
      <c r="T34" s="193" t="s">
        <v>929</v>
      </c>
      <c r="U34" s="193" t="s">
        <v>932</v>
      </c>
    </row>
    <row r="35" spans="1:21" x14ac:dyDescent="0.4">
      <c r="A35" s="193" t="s">
        <v>585</v>
      </c>
      <c r="C35" s="193" t="s">
        <v>591</v>
      </c>
      <c r="D35" s="193" t="s">
        <v>593</v>
      </c>
      <c r="E35" s="193" t="s">
        <v>598</v>
      </c>
      <c r="H35" s="193" t="s">
        <v>607</v>
      </c>
      <c r="J35" s="193" t="s">
        <v>614</v>
      </c>
      <c r="L35" s="193" t="s">
        <v>622</v>
      </c>
      <c r="M35" s="193" t="s">
        <v>622</v>
      </c>
      <c r="U35" s="193" t="s">
        <v>933</v>
      </c>
    </row>
    <row r="36" spans="1:21" x14ac:dyDescent="0.4">
      <c r="A36" s="193" t="s">
        <v>586</v>
      </c>
      <c r="D36" s="193" t="s">
        <v>591</v>
      </c>
      <c r="J36" s="193" t="s">
        <v>560</v>
      </c>
    </row>
    <row r="37" spans="1:21" x14ac:dyDescent="0.4">
      <c r="J37" s="193" t="s">
        <v>615</v>
      </c>
    </row>
    <row r="39" spans="1:21" x14ac:dyDescent="0.4">
      <c r="A39" s="355" t="s">
        <v>1046</v>
      </c>
      <c r="P39" s="193" t="s">
        <v>1223</v>
      </c>
    </row>
    <row r="40" spans="1:21" ht="14.25" x14ac:dyDescent="0.4">
      <c r="A40" s="354" t="s">
        <v>1047</v>
      </c>
      <c r="F40" s="193" t="s">
        <v>1063</v>
      </c>
      <c r="G40" s="193" t="s">
        <v>1064</v>
      </c>
      <c r="H40" s="193" t="s">
        <v>1191</v>
      </c>
      <c r="J40" s="193" t="s">
        <v>1203</v>
      </c>
      <c r="L40" s="193" t="s">
        <v>1203</v>
      </c>
      <c r="N40" s="193" t="s">
        <v>1204</v>
      </c>
      <c r="P40" s="193" t="s">
        <v>1216</v>
      </c>
    </row>
    <row r="41" spans="1:21" ht="14.25" x14ac:dyDescent="0.4">
      <c r="A41" s="354" t="s">
        <v>1048</v>
      </c>
      <c r="F41" s="193" t="s">
        <v>1065</v>
      </c>
      <c r="G41" s="193" t="s">
        <v>1066</v>
      </c>
      <c r="J41" s="193" t="s">
        <v>1204</v>
      </c>
      <c r="L41" s="193" t="s">
        <v>1211</v>
      </c>
      <c r="N41" s="193" t="s">
        <v>1205</v>
      </c>
      <c r="P41" s="193" t="s">
        <v>1217</v>
      </c>
    </row>
    <row r="42" spans="1:21" ht="14.25" x14ac:dyDescent="0.4">
      <c r="A42" s="354" t="s">
        <v>1049</v>
      </c>
      <c r="F42" s="193" t="s">
        <v>1067</v>
      </c>
      <c r="G42" s="193" t="s">
        <v>1068</v>
      </c>
      <c r="J42" s="193" t="s">
        <v>1205</v>
      </c>
      <c r="L42" s="193" t="s">
        <v>1206</v>
      </c>
      <c r="N42" s="193" t="s">
        <v>1206</v>
      </c>
      <c r="P42" s="193" t="s">
        <v>1215</v>
      </c>
    </row>
    <row r="43" spans="1:21" ht="14.25" x14ac:dyDescent="0.4">
      <c r="A43" s="354" t="s">
        <v>1050</v>
      </c>
      <c r="F43" s="193" t="s">
        <v>1069</v>
      </c>
      <c r="G43" s="193" t="s">
        <v>1070</v>
      </c>
      <c r="J43" s="193" t="s">
        <v>1206</v>
      </c>
      <c r="L43" s="193" t="s">
        <v>1212</v>
      </c>
      <c r="N43" s="193" t="s">
        <v>1209</v>
      </c>
      <c r="P43" s="193" t="s">
        <v>1218</v>
      </c>
    </row>
    <row r="44" spans="1:21" ht="14.25" x14ac:dyDescent="0.4">
      <c r="A44" s="354" t="s">
        <v>1051</v>
      </c>
      <c r="F44" s="193" t="s">
        <v>1071</v>
      </c>
      <c r="G44" s="193" t="s">
        <v>1072</v>
      </c>
      <c r="J44" s="193" t="s">
        <v>1209</v>
      </c>
      <c r="N44" s="193" t="s">
        <v>1207</v>
      </c>
      <c r="P44" s="395" t="s">
        <v>1219</v>
      </c>
    </row>
    <row r="45" spans="1:21" x14ac:dyDescent="0.4">
      <c r="F45" s="193" t="s">
        <v>1073</v>
      </c>
      <c r="G45" s="193" t="s">
        <v>1074</v>
      </c>
      <c r="J45" s="193" t="s">
        <v>1207</v>
      </c>
      <c r="N45" s="193" t="s">
        <v>1208</v>
      </c>
      <c r="P45" s="193" t="s">
        <v>1220</v>
      </c>
    </row>
    <row r="46" spans="1:21" x14ac:dyDescent="0.4">
      <c r="F46" s="193" t="s">
        <v>1075</v>
      </c>
      <c r="G46" s="193" t="s">
        <v>1076</v>
      </c>
      <c r="J46" s="193" t="s">
        <v>1208</v>
      </c>
      <c r="P46" s="193" t="s">
        <v>1221</v>
      </c>
    </row>
    <row r="47" spans="1:21" x14ac:dyDescent="0.4">
      <c r="F47" s="193" t="s">
        <v>1077</v>
      </c>
      <c r="G47" s="193" t="s">
        <v>574</v>
      </c>
      <c r="J47" s="193" t="s">
        <v>1210</v>
      </c>
      <c r="P47" s="395" t="s">
        <v>1222</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EAC2-F0CC-4D84-99D8-9102A5E815B0}">
  <sheetPr codeName="Sheet11">
    <tabColor theme="9" tint="0.59999389629810485"/>
  </sheetPr>
  <dimension ref="B1:O47"/>
  <sheetViews>
    <sheetView view="pageBreakPreview" zoomScaleNormal="100" zoomScaleSheetLayoutView="100" workbookViewId="0">
      <selection activeCell="C13" sqref="C13:H14"/>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8" t="s">
        <v>624</v>
      </c>
      <c r="C1" s="199"/>
      <c r="D1" s="199"/>
      <c r="E1" s="199"/>
      <c r="F1" s="199"/>
      <c r="G1" s="199"/>
      <c r="H1" s="199"/>
    </row>
    <row r="2" spans="2:8" x14ac:dyDescent="0.2">
      <c r="B2" s="1867" t="s">
        <v>625</v>
      </c>
      <c r="C2" s="1867"/>
      <c r="D2" s="1867"/>
      <c r="E2" s="1867"/>
      <c r="F2" s="1867"/>
      <c r="G2" s="1867"/>
      <c r="H2" s="1867"/>
    </row>
    <row r="3" spans="2:8" x14ac:dyDescent="0.2">
      <c r="B3" s="200"/>
      <c r="C3" s="200"/>
      <c r="D3" s="200"/>
      <c r="E3" s="200"/>
      <c r="F3" s="200"/>
      <c r="G3" s="200"/>
      <c r="H3" s="200"/>
    </row>
    <row r="4" spans="2:8" x14ac:dyDescent="0.4">
      <c r="B4" s="199" t="s">
        <v>626</v>
      </c>
      <c r="C4" s="199"/>
      <c r="D4" s="201"/>
      <c r="E4" s="201"/>
      <c r="F4" s="201"/>
      <c r="G4" s="202"/>
      <c r="H4" s="201"/>
    </row>
    <row r="5" spans="2:8" x14ac:dyDescent="0.4">
      <c r="B5" s="202" t="s">
        <v>627</v>
      </c>
      <c r="C5" s="199"/>
      <c r="D5" s="201"/>
      <c r="E5" s="201"/>
      <c r="F5" s="201"/>
      <c r="G5" s="202"/>
      <c r="H5" s="201"/>
    </row>
    <row r="7" spans="2:8" x14ac:dyDescent="0.4">
      <c r="B7" s="203">
        <v>1</v>
      </c>
      <c r="C7" s="198" t="s">
        <v>628</v>
      </c>
      <c r="D7" s="1879" t="s">
        <v>629</v>
      </c>
      <c r="E7" s="1879"/>
      <c r="F7" s="1879"/>
      <c r="G7" s="1880"/>
      <c r="H7" s="1880"/>
    </row>
    <row r="8" spans="2:8" x14ac:dyDescent="0.4">
      <c r="B8" s="203"/>
      <c r="C8" s="1881" t="s">
        <v>630</v>
      </c>
      <c r="D8" s="1883"/>
      <c r="E8" s="1883"/>
      <c r="F8" s="1883"/>
      <c r="G8" s="864"/>
      <c r="H8" s="864"/>
    </row>
    <row r="9" spans="2:8" ht="11.25" customHeight="1" x14ac:dyDescent="0.4">
      <c r="B9" s="203"/>
      <c r="C9" s="1882"/>
      <c r="D9" s="1884"/>
      <c r="E9" s="1884"/>
      <c r="F9" s="1884"/>
      <c r="G9" s="1885"/>
      <c r="H9" s="1885"/>
    </row>
    <row r="10" spans="2:8" x14ac:dyDescent="0.4">
      <c r="B10" s="205"/>
      <c r="C10" s="199"/>
      <c r="D10" s="199"/>
      <c r="E10" s="199"/>
      <c r="F10" s="199"/>
      <c r="G10" s="199"/>
      <c r="H10" s="199"/>
    </row>
    <row r="11" spans="2:8" x14ac:dyDescent="0.4">
      <c r="B11" s="203">
        <v>2</v>
      </c>
      <c r="C11" s="198" t="s">
        <v>631</v>
      </c>
      <c r="D11" s="199"/>
      <c r="E11" s="199"/>
      <c r="F11" s="199"/>
      <c r="G11" s="199"/>
      <c r="H11" s="198" t="str">
        <f>'[2]確認書（原本）'!H5</f>
        <v>区分変更</v>
      </c>
    </row>
    <row r="12" spans="2:8" x14ac:dyDescent="0.4">
      <c r="B12" s="205"/>
      <c r="C12" s="1886" t="s">
        <v>632</v>
      </c>
      <c r="D12" s="1886"/>
      <c r="E12" s="1886"/>
      <c r="F12" s="1886"/>
      <c r="G12" s="1886"/>
      <c r="H12" s="1886"/>
    </row>
    <row r="13" spans="2:8" x14ac:dyDescent="0.4">
      <c r="B13" s="205"/>
      <c r="C13" s="1887" t="s">
        <v>633</v>
      </c>
      <c r="D13" s="1887"/>
      <c r="E13" s="1887"/>
      <c r="F13" s="1887"/>
      <c r="G13" s="1887"/>
      <c r="H13" s="1887"/>
    </row>
    <row r="14" spans="2:8" x14ac:dyDescent="0.4">
      <c r="B14" s="205"/>
      <c r="C14" s="1887"/>
      <c r="D14" s="1887"/>
      <c r="E14" s="1887"/>
      <c r="F14" s="1887"/>
      <c r="G14" s="1887"/>
      <c r="H14" s="1887"/>
    </row>
    <row r="15" spans="2:8" x14ac:dyDescent="0.4">
      <c r="B15" s="205"/>
      <c r="C15" s="1887"/>
      <c r="D15" s="1887"/>
      <c r="E15" s="1887"/>
      <c r="F15" s="1887"/>
      <c r="G15" s="1887"/>
      <c r="H15" s="1887"/>
    </row>
    <row r="16" spans="2:8" x14ac:dyDescent="0.4">
      <c r="B16" s="205"/>
      <c r="C16" s="1887"/>
      <c r="D16" s="1887"/>
      <c r="E16" s="1887"/>
      <c r="F16" s="1887"/>
      <c r="G16" s="1887"/>
      <c r="H16" s="1887"/>
    </row>
    <row r="17" spans="2:8" x14ac:dyDescent="0.4">
      <c r="B17" s="205"/>
      <c r="C17" s="199"/>
      <c r="D17" s="199"/>
      <c r="E17" s="199"/>
      <c r="F17" s="199"/>
      <c r="G17" s="199"/>
      <c r="H17" s="199"/>
    </row>
    <row r="18" spans="2:8" x14ac:dyDescent="0.4">
      <c r="B18" s="203">
        <v>3</v>
      </c>
      <c r="C18" s="198" t="s">
        <v>634</v>
      </c>
      <c r="D18" s="199"/>
      <c r="E18" s="199"/>
      <c r="F18" s="199"/>
      <c r="G18" s="199"/>
      <c r="H18" s="199"/>
    </row>
    <row r="19" spans="2:8" ht="17.100000000000001" customHeight="1" x14ac:dyDescent="0.4">
      <c r="B19" s="207"/>
      <c r="C19" s="1888" t="s">
        <v>223</v>
      </c>
      <c r="D19" s="1888"/>
      <c r="E19" s="1873" t="s">
        <v>635</v>
      </c>
      <c r="F19" s="1874"/>
      <c r="G19" s="1875"/>
      <c r="H19" s="208" t="s">
        <v>636</v>
      </c>
    </row>
    <row r="20" spans="2:8" ht="24.95" customHeight="1" x14ac:dyDescent="0.4">
      <c r="B20" s="209">
        <v>1</v>
      </c>
      <c r="C20" s="1872">
        <v>2470600210</v>
      </c>
      <c r="D20" s="1872"/>
      <c r="E20" s="1876" t="s">
        <v>637</v>
      </c>
      <c r="F20" s="1877"/>
      <c r="G20" s="1878"/>
      <c r="H20" s="210" t="s">
        <v>638</v>
      </c>
    </row>
    <row r="21" spans="2:8" ht="24.95" customHeight="1" x14ac:dyDescent="0.4">
      <c r="B21" s="209">
        <v>2</v>
      </c>
      <c r="C21" s="1872">
        <v>2470501756</v>
      </c>
      <c r="D21" s="1872"/>
      <c r="E21" s="1876" t="s">
        <v>639</v>
      </c>
      <c r="F21" s="1877"/>
      <c r="G21" s="1878"/>
      <c r="H21" s="210" t="s">
        <v>640</v>
      </c>
    </row>
    <row r="22" spans="2:8" ht="24.95" customHeight="1" x14ac:dyDescent="0.4">
      <c r="B22" s="209">
        <v>3</v>
      </c>
      <c r="C22" s="1872">
        <v>2470505161</v>
      </c>
      <c r="D22" s="1872"/>
      <c r="E22" s="1876" t="s">
        <v>641</v>
      </c>
      <c r="F22" s="1877"/>
      <c r="G22" s="1878"/>
      <c r="H22" s="210" t="s">
        <v>642</v>
      </c>
    </row>
    <row r="23" spans="2:8" ht="24.95" customHeight="1" x14ac:dyDescent="0.4">
      <c r="B23" s="209">
        <v>4</v>
      </c>
      <c r="C23" s="1872">
        <v>2470506375</v>
      </c>
      <c r="D23" s="1872"/>
      <c r="E23" s="1876" t="s">
        <v>643</v>
      </c>
      <c r="F23" s="1877"/>
      <c r="G23" s="1878"/>
      <c r="H23" s="210" t="s">
        <v>644</v>
      </c>
    </row>
    <row r="24" spans="2:8" ht="24.95" customHeight="1" x14ac:dyDescent="0.4">
      <c r="B24" s="209">
        <v>5</v>
      </c>
      <c r="C24" s="1872">
        <v>2470501921</v>
      </c>
      <c r="D24" s="1872"/>
      <c r="E24" s="1876" t="s">
        <v>645</v>
      </c>
      <c r="F24" s="1877"/>
      <c r="G24" s="1878"/>
      <c r="H24" s="210" t="s">
        <v>646</v>
      </c>
    </row>
    <row r="25" spans="2:8" x14ac:dyDescent="0.4">
      <c r="B25" s="211" t="s">
        <v>647</v>
      </c>
      <c r="C25" s="212" t="s">
        <v>648</v>
      </c>
      <c r="D25" s="202"/>
      <c r="E25" s="202"/>
      <c r="F25" s="202"/>
      <c r="G25" s="202"/>
      <c r="H25" s="199"/>
    </row>
    <row r="26" spans="2:8" x14ac:dyDescent="0.4">
      <c r="B26" s="213" t="s">
        <v>647</v>
      </c>
      <c r="C26" s="212" t="s">
        <v>649</v>
      </c>
      <c r="D26" s="202"/>
      <c r="E26" s="202"/>
      <c r="F26" s="202"/>
      <c r="G26" s="202"/>
      <c r="H26" s="199"/>
    </row>
    <row r="27" spans="2:8" x14ac:dyDescent="0.4">
      <c r="B27" s="213" t="s">
        <v>647</v>
      </c>
      <c r="C27" s="212" t="s">
        <v>650</v>
      </c>
      <c r="D27" s="202"/>
      <c r="E27" s="202"/>
      <c r="F27" s="202"/>
      <c r="G27" s="202"/>
      <c r="H27" s="199"/>
    </row>
    <row r="28" spans="2:8" x14ac:dyDescent="0.4">
      <c r="B28" s="214"/>
      <c r="C28" s="199"/>
      <c r="D28" s="199"/>
      <c r="E28" s="199"/>
      <c r="F28" s="199"/>
      <c r="G28" s="199"/>
      <c r="H28" s="199"/>
    </row>
    <row r="29" spans="2:8" x14ac:dyDescent="0.4">
      <c r="B29" s="203">
        <v>4</v>
      </c>
      <c r="C29" s="198" t="s">
        <v>651</v>
      </c>
      <c r="D29" s="199"/>
      <c r="E29" s="199"/>
      <c r="F29" s="199"/>
      <c r="G29" s="199"/>
      <c r="H29" s="199"/>
    </row>
    <row r="30" spans="2:8" x14ac:dyDescent="0.4">
      <c r="B30" s="214"/>
      <c r="C30" s="198" t="s">
        <v>652</v>
      </c>
      <c r="D30" s="199"/>
      <c r="E30" s="199"/>
      <c r="F30" s="199"/>
      <c r="G30" s="199"/>
      <c r="H30" s="199"/>
    </row>
    <row r="31" spans="2:8" x14ac:dyDescent="0.4">
      <c r="B31" s="214"/>
      <c r="C31" s="198" t="s">
        <v>653</v>
      </c>
      <c r="D31" s="199"/>
      <c r="E31" s="199"/>
      <c r="F31" s="199"/>
      <c r="G31" s="199"/>
      <c r="H31" s="199"/>
    </row>
    <row r="32" spans="2:8" x14ac:dyDescent="0.4">
      <c r="B32" s="214"/>
      <c r="C32" s="198" t="s">
        <v>654</v>
      </c>
      <c r="D32" s="199"/>
      <c r="E32" s="199"/>
      <c r="F32" s="199"/>
      <c r="G32" s="199"/>
      <c r="H32" s="199"/>
    </row>
    <row r="33" spans="2:15" x14ac:dyDescent="0.4">
      <c r="B33" s="214"/>
      <c r="C33" s="199"/>
      <c r="D33" s="199"/>
      <c r="E33" s="199"/>
      <c r="F33" s="199"/>
      <c r="G33" s="199"/>
      <c r="H33" s="199"/>
    </row>
    <row r="34" spans="2:15" ht="20.100000000000001" customHeight="1" x14ac:dyDescent="0.4">
      <c r="B34" s="203">
        <v>5</v>
      </c>
      <c r="C34" s="198" t="s">
        <v>655</v>
      </c>
      <c r="D34" s="1896">
        <f>'[2]確認書（原本）'!D7</f>
        <v>45566</v>
      </c>
      <c r="E34" s="1896"/>
      <c r="F34" s="220"/>
      <c r="G34" s="220"/>
      <c r="H34" s="199"/>
    </row>
    <row r="35" spans="2:15" x14ac:dyDescent="0.4">
      <c r="B35" s="214"/>
      <c r="C35" s="199"/>
      <c r="D35" s="199"/>
      <c r="E35" s="199"/>
      <c r="F35" s="199"/>
      <c r="G35" s="199"/>
      <c r="H35" s="199"/>
    </row>
    <row r="36" spans="2:15" ht="20.100000000000001" customHeight="1" x14ac:dyDescent="0.4">
      <c r="B36" s="203">
        <v>6</v>
      </c>
      <c r="C36" s="198" t="s">
        <v>656</v>
      </c>
      <c r="D36" s="1892" t="s">
        <v>657</v>
      </c>
      <c r="E36" s="1892"/>
      <c r="F36" s="1893">
        <f>'[2]（最新）アセスメントシート'!AG3</f>
        <v>0</v>
      </c>
      <c r="G36" s="1893"/>
      <c r="O36" s="219"/>
    </row>
    <row r="37" spans="2:15" x14ac:dyDescent="0.4">
      <c r="B37" s="214"/>
      <c r="C37" s="199"/>
      <c r="D37" s="199"/>
      <c r="E37" s="199"/>
      <c r="F37" s="199"/>
    </row>
    <row r="38" spans="2:15" x14ac:dyDescent="0.4">
      <c r="B38" s="203">
        <v>7</v>
      </c>
      <c r="C38" s="198" t="s">
        <v>658</v>
      </c>
      <c r="D38" s="199"/>
      <c r="E38" s="199"/>
      <c r="F38" s="199"/>
    </row>
    <row r="39" spans="2:15" x14ac:dyDescent="0.4">
      <c r="B39" s="214"/>
      <c r="C39" s="198" t="s">
        <v>659</v>
      </c>
      <c r="D39" s="199"/>
      <c r="E39" s="199"/>
      <c r="F39" s="199"/>
    </row>
    <row r="40" spans="2:15" x14ac:dyDescent="0.4">
      <c r="B40" s="214"/>
      <c r="C40" s="198" t="s">
        <v>660</v>
      </c>
      <c r="D40" s="199"/>
      <c r="E40" s="199"/>
      <c r="F40" s="199"/>
    </row>
    <row r="41" spans="2:15" ht="14.25" customHeight="1" x14ac:dyDescent="0.4">
      <c r="B41" s="214"/>
      <c r="C41" s="199"/>
      <c r="D41" s="199"/>
      <c r="E41" s="199"/>
      <c r="F41" s="199"/>
    </row>
    <row r="42" spans="2:15" ht="18.75" customHeight="1" x14ac:dyDescent="0.4">
      <c r="B42" s="214"/>
      <c r="C42" s="1895">
        <f>D34</f>
        <v>45566</v>
      </c>
      <c r="D42" s="1894"/>
      <c r="E42" s="199"/>
      <c r="F42" s="199"/>
    </row>
    <row r="43" spans="2:15" x14ac:dyDescent="0.4">
      <c r="B43" s="214"/>
      <c r="C43" s="199"/>
      <c r="D43" s="199"/>
      <c r="E43" s="199"/>
      <c r="F43" s="199"/>
    </row>
    <row r="44" spans="2:15" ht="17.100000000000001" customHeight="1" x14ac:dyDescent="0.4">
      <c r="B44" s="214"/>
      <c r="C44" s="198" t="s">
        <v>661</v>
      </c>
      <c r="D44" s="1894">
        <f>'[2]（最新）アセスメントシート'!D5</f>
        <v>0</v>
      </c>
      <c r="E44" s="1894"/>
      <c r="F44" s="1894"/>
      <c r="G44" s="206" t="s">
        <v>665</v>
      </c>
      <c r="H44" s="215" t="s">
        <v>662</v>
      </c>
    </row>
    <row r="46" spans="2:15" x14ac:dyDescent="0.4">
      <c r="B46" s="1889" t="s">
        <v>663</v>
      </c>
      <c r="C46" s="1890"/>
      <c r="D46" s="1890"/>
      <c r="E46" s="1890"/>
      <c r="F46" s="1890"/>
      <c r="G46" s="1890"/>
      <c r="H46" s="1891"/>
    </row>
    <row r="47" spans="2:15" x14ac:dyDescent="0.4">
      <c r="B47" s="217" t="s">
        <v>664</v>
      </c>
      <c r="C47" s="218"/>
      <c r="D47" s="218"/>
      <c r="E47" s="218"/>
      <c r="F47" s="218"/>
    </row>
  </sheetData>
  <mergeCells count="28">
    <mergeCell ref="B46:H46"/>
    <mergeCell ref="C21:D21"/>
    <mergeCell ref="C22:D22"/>
    <mergeCell ref="C23:D23"/>
    <mergeCell ref="C24:D24"/>
    <mergeCell ref="E21:G21"/>
    <mergeCell ref="E22:G22"/>
    <mergeCell ref="E23:G23"/>
    <mergeCell ref="E24:G24"/>
    <mergeCell ref="D36:E36"/>
    <mergeCell ref="F36:G36"/>
    <mergeCell ref="D44:F44"/>
    <mergeCell ref="C42:D42"/>
    <mergeCell ref="D34:E34"/>
    <mergeCell ref="C20:D20"/>
    <mergeCell ref="E19:G19"/>
    <mergeCell ref="E20:G20"/>
    <mergeCell ref="B2:H2"/>
    <mergeCell ref="D7:H7"/>
    <mergeCell ref="C8:C9"/>
    <mergeCell ref="D8:H8"/>
    <mergeCell ref="D9:H9"/>
    <mergeCell ref="C12:H12"/>
    <mergeCell ref="C13:H13"/>
    <mergeCell ref="C14:H14"/>
    <mergeCell ref="C15:H15"/>
    <mergeCell ref="C16:H16"/>
    <mergeCell ref="C19:D1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2DD5-09A6-43E5-A743-C336321FDC05}">
  <sheetPr codeName="Sheet12">
    <tabColor theme="9" tint="0.79998168889431442"/>
  </sheetPr>
  <dimension ref="B1:O47"/>
  <sheetViews>
    <sheetView view="pageBreakPreview" zoomScaleNormal="100" zoomScaleSheetLayoutView="100" workbookViewId="0">
      <selection activeCell="H11" sqref="H11"/>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8" t="s">
        <v>624</v>
      </c>
      <c r="C1" s="199"/>
      <c r="D1" s="199"/>
      <c r="E1" s="199"/>
      <c r="F1" s="199"/>
      <c r="G1" s="199"/>
      <c r="H1" s="199"/>
    </row>
    <row r="2" spans="2:8" x14ac:dyDescent="0.2">
      <c r="B2" s="1867" t="s">
        <v>625</v>
      </c>
      <c r="C2" s="1867"/>
      <c r="D2" s="1867"/>
      <c r="E2" s="1867"/>
      <c r="F2" s="1867"/>
      <c r="G2" s="1867"/>
      <c r="H2" s="1867"/>
    </row>
    <row r="3" spans="2:8" x14ac:dyDescent="0.2">
      <c r="B3" s="200"/>
      <c r="C3" s="200"/>
      <c r="D3" s="200"/>
      <c r="E3" s="200"/>
      <c r="F3" s="200"/>
      <c r="G3" s="200"/>
      <c r="H3" s="200"/>
    </row>
    <row r="4" spans="2:8" x14ac:dyDescent="0.4">
      <c r="B4" s="199" t="s">
        <v>626</v>
      </c>
      <c r="C4" s="199"/>
      <c r="D4" s="201"/>
      <c r="E4" s="201"/>
      <c r="F4" s="201"/>
      <c r="G4" s="202"/>
      <c r="H4" s="201"/>
    </row>
    <row r="5" spans="2:8" x14ac:dyDescent="0.4">
      <c r="B5" s="202" t="s">
        <v>627</v>
      </c>
      <c r="C5" s="199"/>
      <c r="D5" s="201"/>
      <c r="E5" s="201"/>
      <c r="F5" s="201"/>
      <c r="G5" s="202"/>
      <c r="H5" s="201"/>
    </row>
    <row r="7" spans="2:8" x14ac:dyDescent="0.4">
      <c r="B7" s="203">
        <v>1</v>
      </c>
      <c r="C7" s="198" t="s">
        <v>628</v>
      </c>
      <c r="D7" s="1879" t="s">
        <v>629</v>
      </c>
      <c r="E7" s="1879"/>
      <c r="F7" s="1879"/>
      <c r="G7" s="1880"/>
      <c r="H7" s="1880"/>
    </row>
    <row r="8" spans="2:8" x14ac:dyDescent="0.4">
      <c r="B8" s="203"/>
      <c r="C8" s="1881" t="s">
        <v>630</v>
      </c>
      <c r="D8" s="1883"/>
      <c r="E8" s="1883"/>
      <c r="F8" s="1883"/>
      <c r="G8" s="864"/>
      <c r="H8" s="864"/>
    </row>
    <row r="9" spans="2:8" ht="11.25" customHeight="1" x14ac:dyDescent="0.4">
      <c r="B9" s="203"/>
      <c r="C9" s="1882"/>
      <c r="D9" s="1884"/>
      <c r="E9" s="1884"/>
      <c r="F9" s="1884"/>
      <c r="G9" s="1885"/>
      <c r="H9" s="1885"/>
    </row>
    <row r="10" spans="2:8" x14ac:dyDescent="0.4">
      <c r="B10" s="205"/>
      <c r="C10" s="199"/>
      <c r="D10" s="199"/>
      <c r="E10" s="199"/>
      <c r="F10" s="199"/>
      <c r="G10" s="199"/>
      <c r="H10" s="199"/>
    </row>
    <row r="11" spans="2:8" x14ac:dyDescent="0.4">
      <c r="B11" s="203">
        <v>2</v>
      </c>
      <c r="C11" s="198" t="s">
        <v>631</v>
      </c>
      <c r="D11" s="199"/>
      <c r="E11" s="199"/>
      <c r="F11" s="199"/>
      <c r="G11" s="199"/>
      <c r="H11" s="198" t="str">
        <f>'[2]確認書（原本）'!H5</f>
        <v>区分変更</v>
      </c>
    </row>
    <row r="12" spans="2:8" x14ac:dyDescent="0.4">
      <c r="B12" s="205"/>
      <c r="C12" s="1886" t="s">
        <v>632</v>
      </c>
      <c r="D12" s="1886"/>
      <c r="E12" s="1886"/>
      <c r="F12" s="1886"/>
      <c r="G12" s="1886"/>
      <c r="H12" s="1886"/>
    </row>
    <row r="13" spans="2:8" x14ac:dyDescent="0.4">
      <c r="B13" s="205"/>
      <c r="C13" s="1887" t="s">
        <v>633</v>
      </c>
      <c r="D13" s="1887"/>
      <c r="E13" s="1887"/>
      <c r="F13" s="1887"/>
      <c r="G13" s="1887"/>
      <c r="H13" s="1887"/>
    </row>
    <row r="14" spans="2:8" x14ac:dyDescent="0.4">
      <c r="B14" s="205"/>
      <c r="C14" s="1887"/>
      <c r="D14" s="1887"/>
      <c r="E14" s="1887"/>
      <c r="F14" s="1887"/>
      <c r="G14" s="1887"/>
      <c r="H14" s="1887"/>
    </row>
    <row r="15" spans="2:8" x14ac:dyDescent="0.4">
      <c r="B15" s="205"/>
      <c r="C15" s="1887"/>
      <c r="D15" s="1887"/>
      <c r="E15" s="1887"/>
      <c r="F15" s="1887"/>
      <c r="G15" s="1887"/>
      <c r="H15" s="1887"/>
    </row>
    <row r="16" spans="2:8" x14ac:dyDescent="0.4">
      <c r="B16" s="205"/>
      <c r="C16" s="1887"/>
      <c r="D16" s="1887"/>
      <c r="E16" s="1887"/>
      <c r="F16" s="1887"/>
      <c r="G16" s="1887"/>
      <c r="H16" s="1887"/>
    </row>
    <row r="17" spans="2:8" x14ac:dyDescent="0.4">
      <c r="B17" s="205"/>
      <c r="C17" s="199"/>
      <c r="D17" s="199"/>
      <c r="E17" s="199"/>
      <c r="F17" s="199"/>
      <c r="G17" s="199"/>
      <c r="H17" s="199"/>
    </row>
    <row r="18" spans="2:8" x14ac:dyDescent="0.4">
      <c r="B18" s="203">
        <v>3</v>
      </c>
      <c r="C18" s="198" t="s">
        <v>634</v>
      </c>
      <c r="D18" s="199"/>
      <c r="E18" s="199"/>
      <c r="F18" s="199"/>
      <c r="G18" s="199"/>
      <c r="H18" s="199"/>
    </row>
    <row r="19" spans="2:8" ht="17.100000000000001" customHeight="1" x14ac:dyDescent="0.4">
      <c r="B19" s="207"/>
      <c r="C19" s="1888" t="s">
        <v>223</v>
      </c>
      <c r="D19" s="1888"/>
      <c r="E19" s="1873" t="s">
        <v>635</v>
      </c>
      <c r="F19" s="1874"/>
      <c r="G19" s="1875"/>
      <c r="H19" s="208" t="s">
        <v>636</v>
      </c>
    </row>
    <row r="20" spans="2:8" ht="24.95" customHeight="1" x14ac:dyDescent="0.4">
      <c r="B20" s="209">
        <v>1</v>
      </c>
      <c r="C20" s="1872">
        <v>2470503901</v>
      </c>
      <c r="D20" s="1872"/>
      <c r="E20" s="1876" t="s">
        <v>671</v>
      </c>
      <c r="F20" s="1877"/>
      <c r="G20" s="1878"/>
      <c r="H20" s="221" t="s">
        <v>666</v>
      </c>
    </row>
    <row r="21" spans="2:8" ht="24.95" customHeight="1" x14ac:dyDescent="0.4">
      <c r="B21" s="209">
        <v>2</v>
      </c>
      <c r="C21" s="1872">
        <v>2470501947</v>
      </c>
      <c r="D21" s="1872"/>
      <c r="E21" s="1876" t="s">
        <v>672</v>
      </c>
      <c r="F21" s="1877"/>
      <c r="G21" s="1878"/>
      <c r="H21" s="210" t="s">
        <v>667</v>
      </c>
    </row>
    <row r="22" spans="2:8" ht="24.95" customHeight="1" x14ac:dyDescent="0.4">
      <c r="B22" s="209">
        <v>3</v>
      </c>
      <c r="C22" s="1872">
        <v>2470501756</v>
      </c>
      <c r="D22" s="1872"/>
      <c r="E22" s="1876" t="s">
        <v>673</v>
      </c>
      <c r="F22" s="1877"/>
      <c r="G22" s="1878"/>
      <c r="H22" s="210" t="s">
        <v>668</v>
      </c>
    </row>
    <row r="23" spans="2:8" ht="24.95" customHeight="1" x14ac:dyDescent="0.4">
      <c r="B23" s="209">
        <v>4</v>
      </c>
      <c r="C23" s="1872">
        <v>2470503158</v>
      </c>
      <c r="D23" s="1872"/>
      <c r="E23" s="1876" t="s">
        <v>674</v>
      </c>
      <c r="F23" s="1877"/>
      <c r="G23" s="1878"/>
      <c r="H23" s="210" t="s">
        <v>669</v>
      </c>
    </row>
    <row r="24" spans="2:8" ht="24.95" customHeight="1" x14ac:dyDescent="0.4">
      <c r="B24" s="209">
        <v>5</v>
      </c>
      <c r="C24" s="1872">
        <v>2470503745</v>
      </c>
      <c r="D24" s="1872"/>
      <c r="E24" s="1876" t="s">
        <v>675</v>
      </c>
      <c r="F24" s="1877"/>
      <c r="G24" s="1878"/>
      <c r="H24" s="210" t="s">
        <v>670</v>
      </c>
    </row>
    <row r="25" spans="2:8" x14ac:dyDescent="0.4">
      <c r="B25" s="211" t="s">
        <v>647</v>
      </c>
      <c r="C25" s="212" t="s">
        <v>648</v>
      </c>
      <c r="D25" s="202"/>
      <c r="E25" s="202"/>
      <c r="F25" s="202"/>
      <c r="G25" s="202"/>
      <c r="H25" s="199"/>
    </row>
    <row r="26" spans="2:8" x14ac:dyDescent="0.4">
      <c r="B26" s="213" t="s">
        <v>647</v>
      </c>
      <c r="C26" s="212" t="s">
        <v>649</v>
      </c>
      <c r="D26" s="202"/>
      <c r="E26" s="202"/>
      <c r="F26" s="202"/>
      <c r="G26" s="202"/>
      <c r="H26" s="199"/>
    </row>
    <row r="27" spans="2:8" x14ac:dyDescent="0.4">
      <c r="B27" s="213" t="s">
        <v>647</v>
      </c>
      <c r="C27" s="212" t="s">
        <v>650</v>
      </c>
      <c r="D27" s="202"/>
      <c r="E27" s="202"/>
      <c r="F27" s="202"/>
      <c r="G27" s="202"/>
      <c r="H27" s="199"/>
    </row>
    <row r="28" spans="2:8" x14ac:dyDescent="0.4">
      <c r="B28" s="214"/>
      <c r="C28" s="199"/>
      <c r="D28" s="199"/>
      <c r="E28" s="199"/>
      <c r="F28" s="199"/>
      <c r="G28" s="199"/>
      <c r="H28" s="199"/>
    </row>
    <row r="29" spans="2:8" x14ac:dyDescent="0.4">
      <c r="B29" s="203">
        <v>4</v>
      </c>
      <c r="C29" s="198" t="s">
        <v>651</v>
      </c>
      <c r="D29" s="199"/>
      <c r="E29" s="199"/>
      <c r="F29" s="199"/>
      <c r="G29" s="199"/>
      <c r="H29" s="199"/>
    </row>
    <row r="30" spans="2:8" x14ac:dyDescent="0.4">
      <c r="B30" s="214"/>
      <c r="C30" s="198" t="s">
        <v>652</v>
      </c>
      <c r="D30" s="199"/>
      <c r="E30" s="199"/>
      <c r="F30" s="199"/>
      <c r="G30" s="199"/>
      <c r="H30" s="199"/>
    </row>
    <row r="31" spans="2:8" x14ac:dyDescent="0.4">
      <c r="B31" s="214"/>
      <c r="C31" s="198" t="s">
        <v>653</v>
      </c>
      <c r="D31" s="199"/>
      <c r="E31" s="199"/>
      <c r="F31" s="199"/>
      <c r="G31" s="199"/>
      <c r="H31" s="199"/>
    </row>
    <row r="32" spans="2:8" x14ac:dyDescent="0.4">
      <c r="B32" s="214"/>
      <c r="C32" s="198" t="s">
        <v>654</v>
      </c>
      <c r="D32" s="199"/>
      <c r="E32" s="199"/>
      <c r="F32" s="199"/>
      <c r="G32" s="199"/>
      <c r="H32" s="199"/>
    </row>
    <row r="33" spans="2:15" x14ac:dyDescent="0.4">
      <c r="B33" s="214"/>
      <c r="C33" s="199"/>
      <c r="D33" s="199"/>
      <c r="E33" s="199"/>
      <c r="F33" s="199"/>
      <c r="G33" s="199"/>
      <c r="H33" s="199"/>
    </row>
    <row r="34" spans="2:15" ht="20.100000000000001" customHeight="1" x14ac:dyDescent="0.4">
      <c r="B34" s="203">
        <v>5</v>
      </c>
      <c r="C34" s="198" t="s">
        <v>655</v>
      </c>
      <c r="D34" s="1896">
        <f>'[2]確認書（原本）'!D7</f>
        <v>45566</v>
      </c>
      <c r="E34" s="1896"/>
      <c r="F34" s="220"/>
      <c r="G34" s="220"/>
      <c r="H34" s="199"/>
    </row>
    <row r="35" spans="2:15" x14ac:dyDescent="0.4">
      <c r="B35" s="214"/>
      <c r="C35" s="199"/>
      <c r="D35" s="199"/>
      <c r="E35" s="199"/>
      <c r="F35" s="199"/>
      <c r="G35" s="199"/>
      <c r="H35" s="199"/>
    </row>
    <row r="36" spans="2:15" ht="20.100000000000001" customHeight="1" x14ac:dyDescent="0.4">
      <c r="B36" s="203">
        <v>6</v>
      </c>
      <c r="C36" s="198" t="s">
        <v>656</v>
      </c>
      <c r="D36" s="1892" t="s">
        <v>657</v>
      </c>
      <c r="E36" s="1892"/>
      <c r="F36" s="1893">
        <f>'[2]（最新）アセスメントシート'!AG3</f>
        <v>0</v>
      </c>
      <c r="G36" s="1893"/>
      <c r="O36" s="219"/>
    </row>
    <row r="37" spans="2:15" x14ac:dyDescent="0.4">
      <c r="B37" s="214"/>
      <c r="C37" s="199"/>
      <c r="D37" s="199"/>
      <c r="E37" s="199"/>
      <c r="F37" s="199"/>
    </row>
    <row r="38" spans="2:15" x14ac:dyDescent="0.4">
      <c r="B38" s="203">
        <v>7</v>
      </c>
      <c r="C38" s="198" t="s">
        <v>658</v>
      </c>
      <c r="D38" s="199"/>
      <c r="E38" s="199"/>
      <c r="F38" s="199"/>
    </row>
    <row r="39" spans="2:15" x14ac:dyDescent="0.4">
      <c r="B39" s="214"/>
      <c r="C39" s="198" t="s">
        <v>659</v>
      </c>
      <c r="D39" s="199"/>
      <c r="E39" s="199"/>
      <c r="F39" s="199"/>
    </row>
    <row r="40" spans="2:15" x14ac:dyDescent="0.4">
      <c r="B40" s="214"/>
      <c r="C40" s="198" t="s">
        <v>660</v>
      </c>
      <c r="D40" s="199"/>
      <c r="E40" s="199"/>
      <c r="F40" s="199"/>
    </row>
    <row r="41" spans="2:15" ht="14.25" customHeight="1" x14ac:dyDescent="0.4">
      <c r="B41" s="214"/>
      <c r="C41" s="199"/>
      <c r="D41" s="199"/>
      <c r="E41" s="199"/>
      <c r="F41" s="199"/>
    </row>
    <row r="42" spans="2:15" ht="18.75" customHeight="1" x14ac:dyDescent="0.4">
      <c r="B42" s="214"/>
      <c r="C42" s="1895">
        <f>D34</f>
        <v>45566</v>
      </c>
      <c r="D42" s="1894"/>
      <c r="E42" s="199"/>
      <c r="F42" s="199"/>
    </row>
    <row r="43" spans="2:15" x14ac:dyDescent="0.4">
      <c r="B43" s="214"/>
      <c r="C43" s="199"/>
      <c r="D43" s="199"/>
      <c r="E43" s="199"/>
      <c r="F43" s="199"/>
    </row>
    <row r="44" spans="2:15" ht="17.100000000000001" customHeight="1" x14ac:dyDescent="0.4">
      <c r="B44" s="214"/>
      <c r="C44" s="198" t="s">
        <v>661</v>
      </c>
      <c r="D44" s="1894">
        <f>'[2]（最新）アセスメントシート'!D5</f>
        <v>0</v>
      </c>
      <c r="E44" s="1894"/>
      <c r="F44" s="1894"/>
      <c r="G44" s="206" t="s">
        <v>665</v>
      </c>
      <c r="H44" s="215" t="s">
        <v>662</v>
      </c>
    </row>
    <row r="46" spans="2:15" x14ac:dyDescent="0.4">
      <c r="B46" s="1889" t="s">
        <v>663</v>
      </c>
      <c r="C46" s="1890"/>
      <c r="D46" s="1890"/>
      <c r="E46" s="1890"/>
      <c r="F46" s="1890"/>
      <c r="G46" s="1890"/>
      <c r="H46" s="1891"/>
    </row>
    <row r="47" spans="2:15" x14ac:dyDescent="0.4">
      <c r="B47" s="217" t="s">
        <v>664</v>
      </c>
      <c r="C47" s="218"/>
      <c r="D47" s="218"/>
      <c r="E47" s="218"/>
      <c r="F47" s="218"/>
    </row>
  </sheetData>
  <mergeCells count="28">
    <mergeCell ref="C42:D42"/>
    <mergeCell ref="D44:F44"/>
    <mergeCell ref="B46:H46"/>
    <mergeCell ref="C23:D23"/>
    <mergeCell ref="E23:G23"/>
    <mergeCell ref="C24:D24"/>
    <mergeCell ref="E24:G24"/>
    <mergeCell ref="D34:E34"/>
    <mergeCell ref="D36:E36"/>
    <mergeCell ref="F36:G36"/>
    <mergeCell ref="C20:D20"/>
    <mergeCell ref="E20:G20"/>
    <mergeCell ref="C21:D21"/>
    <mergeCell ref="E21:G21"/>
    <mergeCell ref="C22:D22"/>
    <mergeCell ref="E22:G22"/>
    <mergeCell ref="C13:H13"/>
    <mergeCell ref="C14:H14"/>
    <mergeCell ref="C15:H15"/>
    <mergeCell ref="C16:H16"/>
    <mergeCell ref="C19:D19"/>
    <mergeCell ref="E19:G19"/>
    <mergeCell ref="C12:H12"/>
    <mergeCell ref="B2:H2"/>
    <mergeCell ref="D7:H7"/>
    <mergeCell ref="C8:C9"/>
    <mergeCell ref="D8:H8"/>
    <mergeCell ref="D9:H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3CE07-A110-4C89-980B-C00A0D554F56}">
  <sheetPr codeName="Sheet13">
    <tabColor theme="9" tint="0.59999389629810485"/>
  </sheetPr>
  <dimension ref="B1:O47"/>
  <sheetViews>
    <sheetView view="pageBreakPreview" topLeftCell="A28" zoomScaleNormal="100" zoomScaleSheetLayoutView="100" workbookViewId="0">
      <selection activeCell="C28" sqref="C28"/>
    </sheetView>
  </sheetViews>
  <sheetFormatPr defaultRowHeight="18.75" x14ac:dyDescent="0.4"/>
  <cols>
    <col min="1" max="1" width="3" customWidth="1"/>
    <col min="2" max="2" width="5" customWidth="1"/>
    <col min="3" max="3" width="12.625" customWidth="1"/>
    <col min="4" max="4" width="6.625" customWidth="1"/>
    <col min="5" max="5" width="15.375" customWidth="1"/>
    <col min="6" max="6" width="11.125" customWidth="1"/>
    <col min="7" max="7" width="4.125" customWidth="1"/>
    <col min="8" max="8" width="31.25" customWidth="1"/>
    <col min="9" max="10" width="9.625" customWidth="1"/>
  </cols>
  <sheetData>
    <row r="1" spans="2:8" x14ac:dyDescent="0.4">
      <c r="B1" s="198" t="s">
        <v>624</v>
      </c>
      <c r="C1" s="199"/>
      <c r="D1" s="199"/>
      <c r="E1" s="199"/>
      <c r="F1" s="199"/>
      <c r="G1" s="199"/>
      <c r="H1" s="199"/>
    </row>
    <row r="2" spans="2:8" x14ac:dyDescent="0.2">
      <c r="B2" s="1867" t="s">
        <v>625</v>
      </c>
      <c r="C2" s="1867"/>
      <c r="D2" s="1867"/>
      <c r="E2" s="1867"/>
      <c r="F2" s="1867"/>
      <c r="G2" s="1867"/>
      <c r="H2" s="1867"/>
    </row>
    <row r="3" spans="2:8" x14ac:dyDescent="0.2">
      <c r="B3" s="200"/>
      <c r="C3" s="200"/>
      <c r="D3" s="200"/>
      <c r="E3" s="200"/>
      <c r="F3" s="200"/>
      <c r="G3" s="200"/>
      <c r="H3" s="200"/>
    </row>
    <row r="4" spans="2:8" x14ac:dyDescent="0.4">
      <c r="B4" s="199" t="s">
        <v>626</v>
      </c>
      <c r="C4" s="199"/>
      <c r="D4" s="201"/>
      <c r="E4" s="201"/>
      <c r="F4" s="201"/>
      <c r="G4" s="202"/>
      <c r="H4" s="201"/>
    </row>
    <row r="5" spans="2:8" x14ac:dyDescent="0.4">
      <c r="B5" s="202" t="s">
        <v>627</v>
      </c>
      <c r="C5" s="199"/>
      <c r="D5" s="201"/>
      <c r="E5" s="201"/>
      <c r="F5" s="201"/>
      <c r="G5" s="202"/>
      <c r="H5" s="201"/>
    </row>
    <row r="7" spans="2:8" x14ac:dyDescent="0.4">
      <c r="B7" s="203">
        <v>1</v>
      </c>
      <c r="C7" s="198" t="s">
        <v>628</v>
      </c>
      <c r="D7" s="1879" t="s">
        <v>629</v>
      </c>
      <c r="E7" s="1879"/>
      <c r="F7" s="1879"/>
      <c r="G7" s="1880"/>
      <c r="H7" s="1880"/>
    </row>
    <row r="8" spans="2:8" x14ac:dyDescent="0.4">
      <c r="B8" s="203"/>
      <c r="C8" s="1881" t="s">
        <v>630</v>
      </c>
      <c r="D8" s="1883"/>
      <c r="E8" s="1883"/>
      <c r="F8" s="1883"/>
      <c r="G8" s="864"/>
      <c r="H8" s="864"/>
    </row>
    <row r="9" spans="2:8" ht="11.25" customHeight="1" x14ac:dyDescent="0.4">
      <c r="B9" s="203"/>
      <c r="C9" s="1882"/>
      <c r="D9" s="1884"/>
      <c r="E9" s="1884"/>
      <c r="F9" s="1884"/>
      <c r="G9" s="1885"/>
      <c r="H9" s="1885"/>
    </row>
    <row r="10" spans="2:8" x14ac:dyDescent="0.4">
      <c r="B10" s="205"/>
      <c r="C10" s="199"/>
      <c r="D10" s="199"/>
      <c r="E10" s="199"/>
      <c r="F10" s="199"/>
      <c r="G10" s="199"/>
      <c r="H10" s="199"/>
    </row>
    <row r="11" spans="2:8" x14ac:dyDescent="0.4">
      <c r="B11" s="203">
        <v>2</v>
      </c>
      <c r="C11" s="198" t="s">
        <v>631</v>
      </c>
      <c r="D11" s="199"/>
      <c r="E11" s="199"/>
      <c r="F11" s="199"/>
      <c r="G11" s="199"/>
      <c r="H11" s="198" t="str">
        <f>'[2]確認書（原本）'!H5</f>
        <v>区分変更</v>
      </c>
    </row>
    <row r="12" spans="2:8" x14ac:dyDescent="0.4">
      <c r="B12" s="205"/>
      <c r="C12" s="1886" t="s">
        <v>632</v>
      </c>
      <c r="D12" s="1886"/>
      <c r="E12" s="1886"/>
      <c r="F12" s="1886"/>
      <c r="G12" s="1886"/>
      <c r="H12" s="1886"/>
    </row>
    <row r="13" spans="2:8" x14ac:dyDescent="0.4">
      <c r="B13" s="205"/>
      <c r="C13" s="1887" t="s">
        <v>633</v>
      </c>
      <c r="D13" s="1887"/>
      <c r="E13" s="1887"/>
      <c r="F13" s="1887"/>
      <c r="G13" s="1887"/>
      <c r="H13" s="1887"/>
    </row>
    <row r="14" spans="2:8" x14ac:dyDescent="0.4">
      <c r="B14" s="205"/>
      <c r="C14" s="1887"/>
      <c r="D14" s="1887"/>
      <c r="E14" s="1887"/>
      <c r="F14" s="1887"/>
      <c r="G14" s="1887"/>
      <c r="H14" s="1887"/>
    </row>
    <row r="15" spans="2:8" x14ac:dyDescent="0.4">
      <c r="B15" s="205"/>
      <c r="C15" s="1887"/>
      <c r="D15" s="1887"/>
      <c r="E15" s="1887"/>
      <c r="F15" s="1887"/>
      <c r="G15" s="1887"/>
      <c r="H15" s="1887"/>
    </row>
    <row r="16" spans="2:8" x14ac:dyDescent="0.4">
      <c r="B16" s="205"/>
      <c r="C16" s="1887"/>
      <c r="D16" s="1887"/>
      <c r="E16" s="1887"/>
      <c r="F16" s="1887"/>
      <c r="G16" s="1887"/>
      <c r="H16" s="1887"/>
    </row>
    <row r="17" spans="2:8" x14ac:dyDescent="0.4">
      <c r="B17" s="205"/>
      <c r="C17" s="199"/>
      <c r="D17" s="199"/>
      <c r="E17" s="199"/>
      <c r="F17" s="199"/>
      <c r="G17" s="199"/>
      <c r="H17" s="199"/>
    </row>
    <row r="18" spans="2:8" x14ac:dyDescent="0.4">
      <c r="B18" s="203">
        <v>3</v>
      </c>
      <c r="C18" s="198" t="s">
        <v>634</v>
      </c>
      <c r="D18" s="199"/>
      <c r="E18" s="199"/>
      <c r="F18" s="199"/>
      <c r="G18" s="199"/>
      <c r="H18" s="199"/>
    </row>
    <row r="19" spans="2:8" ht="17.100000000000001" customHeight="1" x14ac:dyDescent="0.4">
      <c r="B19" s="207"/>
      <c r="C19" s="1888" t="s">
        <v>223</v>
      </c>
      <c r="D19" s="1888"/>
      <c r="E19" s="1873" t="s">
        <v>635</v>
      </c>
      <c r="F19" s="1874"/>
      <c r="G19" s="1875"/>
      <c r="H19" s="208" t="s">
        <v>636</v>
      </c>
    </row>
    <row r="20" spans="2:8" ht="24.95" customHeight="1" x14ac:dyDescent="0.4">
      <c r="B20" s="209">
        <v>1</v>
      </c>
      <c r="C20" s="1872">
        <v>2470504321</v>
      </c>
      <c r="D20" s="1872"/>
      <c r="E20" s="1876" t="s">
        <v>676</v>
      </c>
      <c r="F20" s="1877"/>
      <c r="G20" s="1878"/>
      <c r="H20" s="210" t="s">
        <v>638</v>
      </c>
    </row>
    <row r="21" spans="2:8" ht="24.95" customHeight="1" x14ac:dyDescent="0.4">
      <c r="B21" s="209">
        <v>2</v>
      </c>
      <c r="C21" s="1872">
        <v>2470500030</v>
      </c>
      <c r="D21" s="1872"/>
      <c r="E21" s="1876" t="s">
        <v>677</v>
      </c>
      <c r="F21" s="1877"/>
      <c r="G21" s="1878"/>
      <c r="H21" s="210" t="s">
        <v>681</v>
      </c>
    </row>
    <row r="22" spans="2:8" ht="24.95" customHeight="1" x14ac:dyDescent="0.4">
      <c r="B22" s="209">
        <v>3</v>
      </c>
      <c r="C22" s="1872">
        <v>2470500220</v>
      </c>
      <c r="D22" s="1872"/>
      <c r="E22" s="1876" t="s">
        <v>678</v>
      </c>
      <c r="F22" s="1877"/>
      <c r="G22" s="1878"/>
      <c r="H22" s="210" t="s">
        <v>682</v>
      </c>
    </row>
    <row r="23" spans="2:8" ht="24.95" customHeight="1" x14ac:dyDescent="0.4">
      <c r="B23" s="209">
        <v>4</v>
      </c>
      <c r="C23" s="1897">
        <v>2470600046</v>
      </c>
      <c r="D23" s="1872"/>
      <c r="E23" s="1876" t="s">
        <v>679</v>
      </c>
      <c r="F23" s="1877"/>
      <c r="G23" s="1878"/>
      <c r="H23" s="210" t="s">
        <v>683</v>
      </c>
    </row>
    <row r="24" spans="2:8" ht="24.95" customHeight="1" x14ac:dyDescent="0.4">
      <c r="B24" s="209">
        <v>5</v>
      </c>
      <c r="C24" s="1872">
        <v>2472400395</v>
      </c>
      <c r="D24" s="1872"/>
      <c r="E24" s="1876" t="s">
        <v>680</v>
      </c>
      <c r="F24" s="1877"/>
      <c r="G24" s="1878"/>
      <c r="H24" s="210" t="s">
        <v>684</v>
      </c>
    </row>
    <row r="25" spans="2:8" x14ac:dyDescent="0.4">
      <c r="B25" s="211" t="s">
        <v>647</v>
      </c>
      <c r="C25" s="212" t="s">
        <v>648</v>
      </c>
      <c r="D25" s="202"/>
      <c r="E25" s="202"/>
      <c r="F25" s="202"/>
      <c r="G25" s="202"/>
      <c r="H25" s="199"/>
    </row>
    <row r="26" spans="2:8" x14ac:dyDescent="0.4">
      <c r="B26" s="213" t="s">
        <v>647</v>
      </c>
      <c r="C26" s="212" t="s">
        <v>649</v>
      </c>
      <c r="D26" s="202"/>
      <c r="E26" s="202"/>
      <c r="F26" s="202"/>
      <c r="G26" s="202"/>
      <c r="H26" s="199"/>
    </row>
    <row r="27" spans="2:8" x14ac:dyDescent="0.4">
      <c r="B27" s="213" t="s">
        <v>647</v>
      </c>
      <c r="C27" s="212" t="s">
        <v>650</v>
      </c>
      <c r="D27" s="202"/>
      <c r="E27" s="202"/>
      <c r="F27" s="202"/>
      <c r="G27" s="202"/>
      <c r="H27" s="199"/>
    </row>
    <row r="28" spans="2:8" x14ac:dyDescent="0.4">
      <c r="B28" s="214"/>
      <c r="C28" s="199"/>
      <c r="D28" s="199"/>
      <c r="E28" s="199"/>
      <c r="F28" s="199"/>
      <c r="G28" s="199"/>
      <c r="H28" s="199"/>
    </row>
    <row r="29" spans="2:8" x14ac:dyDescent="0.4">
      <c r="B29" s="203">
        <v>4</v>
      </c>
      <c r="C29" s="198" t="s">
        <v>651</v>
      </c>
      <c r="D29" s="199"/>
      <c r="E29" s="199"/>
      <c r="F29" s="199"/>
      <c r="G29" s="199"/>
      <c r="H29" s="199"/>
    </row>
    <row r="30" spans="2:8" x14ac:dyDescent="0.4">
      <c r="B30" s="214"/>
      <c r="C30" s="198" t="s">
        <v>652</v>
      </c>
      <c r="D30" s="199"/>
      <c r="E30" s="199"/>
      <c r="F30" s="199"/>
      <c r="G30" s="199"/>
      <c r="H30" s="199"/>
    </row>
    <row r="31" spans="2:8" x14ac:dyDescent="0.4">
      <c r="B31" s="214"/>
      <c r="C31" s="198" t="s">
        <v>653</v>
      </c>
      <c r="D31" s="199"/>
      <c r="E31" s="199"/>
      <c r="F31" s="199"/>
      <c r="G31" s="199"/>
      <c r="H31" s="199"/>
    </row>
    <row r="32" spans="2:8" x14ac:dyDescent="0.4">
      <c r="B32" s="214"/>
      <c r="C32" s="198" t="s">
        <v>654</v>
      </c>
      <c r="D32" s="199"/>
      <c r="E32" s="199"/>
      <c r="F32" s="199"/>
      <c r="G32" s="199"/>
      <c r="H32" s="199"/>
    </row>
    <row r="33" spans="2:15" x14ac:dyDescent="0.4">
      <c r="B33" s="214"/>
      <c r="C33" s="199"/>
      <c r="D33" s="199"/>
      <c r="E33" s="199"/>
      <c r="F33" s="199"/>
      <c r="G33" s="199"/>
      <c r="H33" s="199"/>
    </row>
    <row r="34" spans="2:15" ht="20.100000000000001" customHeight="1" x14ac:dyDescent="0.4">
      <c r="B34" s="203">
        <v>5</v>
      </c>
      <c r="C34" s="198" t="s">
        <v>655</v>
      </c>
      <c r="D34" s="1896">
        <f>'[2]確認書（原本）'!D7</f>
        <v>45566</v>
      </c>
      <c r="E34" s="1896"/>
      <c r="F34" s="220"/>
      <c r="G34" s="220"/>
      <c r="H34" s="199"/>
    </row>
    <row r="35" spans="2:15" x14ac:dyDescent="0.4">
      <c r="B35" s="214"/>
      <c r="C35" s="199"/>
      <c r="D35" s="199"/>
      <c r="E35" s="199"/>
      <c r="F35" s="199"/>
      <c r="G35" s="199"/>
      <c r="H35" s="199"/>
    </row>
    <row r="36" spans="2:15" ht="20.100000000000001" customHeight="1" x14ac:dyDescent="0.4">
      <c r="B36" s="203">
        <v>6</v>
      </c>
      <c r="C36" s="198" t="s">
        <v>656</v>
      </c>
      <c r="D36" s="1892" t="s">
        <v>657</v>
      </c>
      <c r="E36" s="1892"/>
      <c r="F36" s="1893">
        <f>'[2]（最新）アセスメントシート'!AG3</f>
        <v>0</v>
      </c>
      <c r="G36" s="1893"/>
      <c r="O36" s="219"/>
    </row>
    <row r="37" spans="2:15" x14ac:dyDescent="0.4">
      <c r="B37" s="214"/>
      <c r="C37" s="199"/>
      <c r="D37" s="199"/>
      <c r="E37" s="199"/>
      <c r="F37" s="199"/>
    </row>
    <row r="38" spans="2:15" x14ac:dyDescent="0.4">
      <c r="B38" s="203">
        <v>7</v>
      </c>
      <c r="C38" s="198" t="s">
        <v>658</v>
      </c>
      <c r="D38" s="199"/>
      <c r="E38" s="199"/>
      <c r="F38" s="199"/>
    </row>
    <row r="39" spans="2:15" x14ac:dyDescent="0.4">
      <c r="B39" s="214"/>
      <c r="C39" s="198" t="s">
        <v>659</v>
      </c>
      <c r="D39" s="199"/>
      <c r="E39" s="199"/>
      <c r="F39" s="199"/>
    </row>
    <row r="40" spans="2:15" x14ac:dyDescent="0.4">
      <c r="B40" s="214"/>
      <c r="C40" s="198" t="s">
        <v>660</v>
      </c>
      <c r="D40" s="199"/>
      <c r="E40" s="199"/>
      <c r="F40" s="199"/>
    </row>
    <row r="41" spans="2:15" ht="14.25" customHeight="1" x14ac:dyDescent="0.4">
      <c r="B41" s="214"/>
      <c r="C41" s="199"/>
      <c r="D41" s="199"/>
      <c r="E41" s="199"/>
      <c r="F41" s="199"/>
    </row>
    <row r="42" spans="2:15" ht="18.75" customHeight="1" x14ac:dyDescent="0.4">
      <c r="B42" s="214"/>
      <c r="C42" s="1895">
        <f>D34</f>
        <v>45566</v>
      </c>
      <c r="D42" s="1894"/>
      <c r="E42" s="199"/>
      <c r="F42" s="199"/>
    </row>
    <row r="43" spans="2:15" x14ac:dyDescent="0.4">
      <c r="B43" s="214"/>
      <c r="C43" s="199"/>
      <c r="D43" s="199"/>
      <c r="E43" s="199"/>
      <c r="F43" s="199"/>
    </row>
    <row r="44" spans="2:15" ht="17.100000000000001" customHeight="1" x14ac:dyDescent="0.4">
      <c r="B44" s="214"/>
      <c r="C44" s="198" t="s">
        <v>661</v>
      </c>
      <c r="D44" s="1894">
        <f>'[2]（最新）アセスメントシート'!D5</f>
        <v>0</v>
      </c>
      <c r="E44" s="1894"/>
      <c r="F44" s="1894"/>
      <c r="G44" s="206" t="s">
        <v>665</v>
      </c>
      <c r="H44" s="215" t="s">
        <v>662</v>
      </c>
    </row>
    <row r="46" spans="2:15" x14ac:dyDescent="0.4">
      <c r="B46" s="1889" t="s">
        <v>663</v>
      </c>
      <c r="C46" s="1890"/>
      <c r="D46" s="1890"/>
      <c r="E46" s="1890"/>
      <c r="F46" s="1890"/>
      <c r="G46" s="1890"/>
      <c r="H46" s="1891"/>
    </row>
    <row r="47" spans="2:15" x14ac:dyDescent="0.4">
      <c r="B47" s="217" t="s">
        <v>664</v>
      </c>
      <c r="C47" s="218"/>
      <c r="D47" s="218"/>
      <c r="E47" s="218"/>
      <c r="F47" s="218"/>
    </row>
  </sheetData>
  <mergeCells count="28">
    <mergeCell ref="C42:D42"/>
    <mergeCell ref="D44:F44"/>
    <mergeCell ref="B46:H46"/>
    <mergeCell ref="C23:D23"/>
    <mergeCell ref="E23:G23"/>
    <mergeCell ref="C24:D24"/>
    <mergeCell ref="E24:G24"/>
    <mergeCell ref="D34:E34"/>
    <mergeCell ref="D36:E36"/>
    <mergeCell ref="F36:G36"/>
    <mergeCell ref="C20:D20"/>
    <mergeCell ref="E20:G20"/>
    <mergeCell ref="C21:D21"/>
    <mergeCell ref="E21:G21"/>
    <mergeCell ref="C22:D22"/>
    <mergeCell ref="E22:G22"/>
    <mergeCell ref="C13:H13"/>
    <mergeCell ref="C14:H14"/>
    <mergeCell ref="C15:H15"/>
    <mergeCell ref="C16:H16"/>
    <mergeCell ref="C19:D19"/>
    <mergeCell ref="E19:G19"/>
    <mergeCell ref="C12:H12"/>
    <mergeCell ref="B2:H2"/>
    <mergeCell ref="D7:H7"/>
    <mergeCell ref="C8:C9"/>
    <mergeCell ref="D8:H8"/>
    <mergeCell ref="D9:H9"/>
  </mergeCells>
  <phoneticPr fontId="1"/>
  <pageMargins left="0.70866141732283472" right="0.70866141732283472" top="0.74803149606299213" bottom="0.74803149606299213" header="0.31496062992125984" footer="0.31496062992125984"/>
  <pageSetup paperSize="9" scale="80" orientation="portrait" blackAndWhite="1"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15</vt:i4>
      </vt:variant>
    </vt:vector>
  </HeadingPairs>
  <TitlesOfParts>
    <vt:vector size="36" baseType="lpstr">
      <vt:lpstr>救急医療情報</vt:lpstr>
      <vt:lpstr>チェックシート</vt:lpstr>
      <vt:lpstr>HOME</vt:lpstr>
      <vt:lpstr>（最新）アセスメントシート</vt:lpstr>
      <vt:lpstr>居宅届</vt:lpstr>
      <vt:lpstr>居宅届 (予防)</vt:lpstr>
      <vt:lpstr>フェースシート</vt:lpstr>
      <vt:lpstr>医療・介護連携シート</vt:lpstr>
      <vt:lpstr>(貼付作成)入院時情報提供</vt:lpstr>
      <vt:lpstr>(手入力)入院時情報提供</vt:lpstr>
      <vt:lpstr>モニタリングシート</vt:lpstr>
      <vt:lpstr>担会案内</vt:lpstr>
      <vt:lpstr>更新・新規申請書</vt:lpstr>
      <vt:lpstr>区分変更申請書 </vt:lpstr>
      <vt:lpstr>資料提供申請書</vt:lpstr>
      <vt:lpstr>確認書（原本）</vt:lpstr>
      <vt:lpstr>入退去連絡</vt:lpstr>
      <vt:lpstr>リスト</vt:lpstr>
      <vt:lpstr>確認書（ヘルパー）</vt:lpstr>
      <vt:lpstr>確認書（デイ）</vt:lpstr>
      <vt:lpstr>確認書（福祉用具）</vt:lpstr>
      <vt:lpstr>'（最新）アセスメントシート'!Print_Area</vt:lpstr>
      <vt:lpstr>'(手入力)入院時情報提供'!Print_Area</vt:lpstr>
      <vt:lpstr>'(貼付作成)入院時情報提供'!Print_Area</vt:lpstr>
      <vt:lpstr>フェースシート!Print_Area</vt:lpstr>
      <vt:lpstr>モニタリングシート!Print_Area</vt:lpstr>
      <vt:lpstr>'確認書（デイ）'!Print_Area</vt:lpstr>
      <vt:lpstr>'確認書（ヘルパー）'!Print_Area</vt:lpstr>
      <vt:lpstr>'確認書（福祉用具）'!Print_Area</vt:lpstr>
      <vt:lpstr>救急医療情報!Print_Area</vt:lpstr>
      <vt:lpstr>居宅届!Print_Area</vt:lpstr>
      <vt:lpstr>'居宅届 (予防)'!Print_Area</vt:lpstr>
      <vt:lpstr>'区分変更申請書 '!Print_Area</vt:lpstr>
      <vt:lpstr>更新・新規申請書!Print_Area</vt:lpstr>
      <vt:lpstr>資料提供申請書!Print_Area</vt:lpstr>
      <vt:lpstr>担会案内!Print_Area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usr022</dc:creator>
  <cp:lastModifiedBy>usr007</cp:lastModifiedBy>
  <cp:lastPrinted>2026-03-12T02:15:05Z</cp:lastPrinted>
  <dcterms:created xsi:type="dcterms:W3CDTF">2018-05-09T06:03:28Z</dcterms:created>
  <dcterms:modified xsi:type="dcterms:W3CDTF">2026-03-15T08:41:42Z</dcterms:modified>
</cp:coreProperties>
</file>