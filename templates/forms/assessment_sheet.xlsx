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E:\CareManagementTool\templates\forms\"/>
    </mc:Choice>
  </mc:AlternateContent>
  <xr:revisionPtr revIDLastSave="0" documentId="13_ncr:1_{3B41480D-726F-4562-9ABB-81E494549120}" xr6:coauthVersionLast="47" xr6:coauthVersionMax="47" xr10:uidLastSave="{00000000-0000-0000-0000-000000000000}"/>
  <bookViews>
    <workbookView xWindow="-120" yWindow="-120" windowWidth="29040" windowHeight="15720" firstSheet="4" activeTab="4" xr2:uid="{00000000-000D-0000-FFFF-FFFF00000000}"/>
  </bookViews>
  <sheets>
    <sheet name="編集用｜昭和ろまん" sheetId="2" state="hidden" r:id="rId1"/>
    <sheet name="データ集約" sheetId="3" state="hidden" r:id="rId2"/>
    <sheet name="利用者一覧" sheetId="4" state="hidden" r:id="rId3"/>
    <sheet name="削除禁止" sheetId="5" state="hidden" r:id="rId4"/>
    <sheet name="原本" sheetId="6" r:id="rId5"/>
  </sheets>
  <calcPr calcId="191029"/>
</workbook>
</file>

<file path=xl/calcChain.xml><?xml version="1.0" encoding="utf-8"?>
<calcChain xmlns="http://schemas.openxmlformats.org/spreadsheetml/2006/main">
  <c r="I43" i="4" l="1"/>
  <c r="G43" i="4"/>
  <c r="F43" i="4"/>
  <c r="E43" i="4"/>
  <c r="D43" i="4"/>
  <c r="C43" i="4"/>
  <c r="B43" i="4"/>
  <c r="A43" i="4"/>
  <c r="I42" i="4"/>
  <c r="G42" i="4"/>
  <c r="F42" i="4"/>
  <c r="E42" i="4"/>
  <c r="D42" i="4"/>
  <c r="C42" i="4"/>
  <c r="B42" i="4"/>
  <c r="A42" i="4"/>
  <c r="I41" i="4"/>
  <c r="G41" i="4"/>
  <c r="F41" i="4"/>
  <c r="E41" i="4"/>
  <c r="D41" i="4"/>
  <c r="C41" i="4"/>
  <c r="B41" i="4"/>
  <c r="A41" i="4"/>
  <c r="I40" i="4"/>
  <c r="H40" i="4"/>
  <c r="G40" i="4"/>
  <c r="F40" i="4"/>
  <c r="E40" i="4"/>
  <c r="D40" i="4"/>
  <c r="C40" i="4"/>
  <c r="A40" i="4"/>
  <c r="I39" i="4"/>
  <c r="G39" i="4"/>
  <c r="F39" i="4"/>
  <c r="E39" i="4"/>
  <c r="D39" i="4"/>
  <c r="C39" i="4"/>
  <c r="B39" i="4"/>
  <c r="A39" i="4"/>
  <c r="I38" i="4"/>
  <c r="G38" i="4"/>
  <c r="F38" i="4"/>
  <c r="E38" i="4"/>
  <c r="D38" i="4"/>
  <c r="C38" i="4"/>
  <c r="B38" i="4"/>
  <c r="A38" i="4"/>
  <c r="I37" i="4"/>
  <c r="G37" i="4"/>
  <c r="F37" i="4"/>
  <c r="E37" i="4"/>
  <c r="D37" i="4"/>
  <c r="C37" i="4"/>
  <c r="B37" i="4"/>
  <c r="A37" i="4"/>
  <c r="I36" i="4"/>
  <c r="G36" i="4"/>
  <c r="F36" i="4"/>
  <c r="E36" i="4"/>
  <c r="D36" i="4"/>
  <c r="C36" i="4"/>
  <c r="B36" i="4"/>
  <c r="A36" i="4"/>
  <c r="I35" i="4"/>
  <c r="G35" i="4"/>
  <c r="F35" i="4"/>
  <c r="E35" i="4"/>
  <c r="D35" i="4"/>
  <c r="C35" i="4"/>
  <c r="B35" i="4"/>
  <c r="A35" i="4"/>
  <c r="I34" i="4"/>
  <c r="H34" i="4"/>
  <c r="G34" i="4"/>
  <c r="F34" i="4"/>
  <c r="E34" i="4"/>
  <c r="D34" i="4"/>
  <c r="C34" i="4"/>
  <c r="A34" i="4"/>
  <c r="I33" i="4"/>
  <c r="H33" i="4"/>
  <c r="G33" i="4"/>
  <c r="F33" i="4"/>
  <c r="E33" i="4"/>
  <c r="D33" i="4"/>
  <c r="C33" i="4"/>
  <c r="B33" i="4"/>
  <c r="A33" i="4"/>
  <c r="I32" i="4"/>
  <c r="H32" i="4"/>
  <c r="G32" i="4"/>
  <c r="F32" i="4"/>
  <c r="E32" i="4"/>
  <c r="D32" i="4"/>
  <c r="C32" i="4"/>
  <c r="B32" i="4"/>
  <c r="A32" i="4"/>
  <c r="I31" i="4"/>
  <c r="G31" i="4"/>
  <c r="F31" i="4"/>
  <c r="E31" i="4"/>
  <c r="D31" i="4"/>
  <c r="C31" i="4"/>
  <c r="B31" i="4"/>
  <c r="A31" i="4"/>
  <c r="I30" i="4"/>
  <c r="G30" i="4"/>
  <c r="F30" i="4"/>
  <c r="E30" i="4"/>
  <c r="D30" i="4"/>
  <c r="C30" i="4"/>
  <c r="B30" i="4"/>
  <c r="A30" i="4"/>
  <c r="I29" i="4"/>
  <c r="G29" i="4"/>
  <c r="F29" i="4"/>
  <c r="E29" i="4"/>
  <c r="D29" i="4"/>
  <c r="C29" i="4"/>
  <c r="A29" i="4"/>
  <c r="I28" i="4"/>
  <c r="G28" i="4"/>
  <c r="F28" i="4"/>
  <c r="E28" i="4"/>
  <c r="D28" i="4"/>
  <c r="C28" i="4"/>
  <c r="B28" i="4"/>
  <c r="A28" i="4"/>
  <c r="I27" i="4"/>
  <c r="G27" i="4"/>
  <c r="F27" i="4"/>
  <c r="E27" i="4"/>
  <c r="D27" i="4"/>
  <c r="C27" i="4"/>
  <c r="B27" i="4"/>
  <c r="A27" i="4"/>
  <c r="I26" i="4"/>
  <c r="G26" i="4"/>
  <c r="F26" i="4"/>
  <c r="E26" i="4"/>
  <c r="D26" i="4"/>
  <c r="C26" i="4"/>
  <c r="B26" i="4"/>
  <c r="A26" i="4"/>
  <c r="I25" i="4"/>
  <c r="G25" i="4"/>
  <c r="F25" i="4"/>
  <c r="E25" i="4"/>
  <c r="D25" i="4"/>
  <c r="C25" i="4"/>
  <c r="B25" i="4"/>
  <c r="A25" i="4"/>
  <c r="I24" i="4"/>
  <c r="G24" i="4"/>
  <c r="F24" i="4"/>
  <c r="E24" i="4"/>
  <c r="D24" i="4"/>
  <c r="C24" i="4"/>
  <c r="B24" i="4"/>
  <c r="A24" i="4"/>
  <c r="I23" i="4"/>
  <c r="G23" i="4"/>
  <c r="F23" i="4"/>
  <c r="E23" i="4"/>
  <c r="D23" i="4"/>
  <c r="C23" i="4"/>
  <c r="B23" i="4"/>
  <c r="A23" i="4"/>
  <c r="I22" i="4"/>
  <c r="G22" i="4"/>
  <c r="F22" i="4"/>
  <c r="E22" i="4"/>
  <c r="D22" i="4"/>
  <c r="C22" i="4"/>
  <c r="B22" i="4"/>
  <c r="A22" i="4"/>
  <c r="I21" i="4"/>
  <c r="G21" i="4"/>
  <c r="F21" i="4"/>
  <c r="E21" i="4"/>
  <c r="D21" i="4"/>
  <c r="C21" i="4"/>
  <c r="B21" i="4"/>
  <c r="A21" i="4"/>
  <c r="I20" i="4"/>
  <c r="G20" i="4"/>
  <c r="F20" i="4"/>
  <c r="E20" i="4"/>
  <c r="D20" i="4"/>
  <c r="C20" i="4"/>
  <c r="B20" i="4"/>
  <c r="A20" i="4"/>
  <c r="I19" i="4"/>
  <c r="G19" i="4"/>
  <c r="F19" i="4"/>
  <c r="E19" i="4"/>
  <c r="D19" i="4"/>
  <c r="C19" i="4"/>
  <c r="B19" i="4"/>
  <c r="A19" i="4"/>
  <c r="I18" i="4"/>
  <c r="G18" i="4"/>
  <c r="F18" i="4"/>
  <c r="E18" i="4"/>
  <c r="D18" i="4"/>
  <c r="C18" i="4"/>
  <c r="B18" i="4"/>
  <c r="A18" i="4"/>
  <c r="I17" i="4"/>
  <c r="G17" i="4"/>
  <c r="F17" i="4"/>
  <c r="E17" i="4"/>
  <c r="D17" i="4"/>
  <c r="C17" i="4"/>
  <c r="B17" i="4"/>
  <c r="A17" i="4"/>
  <c r="I16" i="4"/>
  <c r="H16" i="4"/>
  <c r="G16" i="4"/>
  <c r="F16" i="4"/>
  <c r="E16" i="4"/>
  <c r="D16" i="4"/>
  <c r="C16" i="4"/>
  <c r="A16" i="4"/>
  <c r="I15" i="4"/>
  <c r="G15" i="4"/>
  <c r="F15" i="4"/>
  <c r="E15" i="4"/>
  <c r="D15" i="4"/>
  <c r="C15" i="4"/>
  <c r="B15" i="4"/>
  <c r="A15" i="4"/>
  <c r="I14" i="4"/>
  <c r="G14" i="4"/>
  <c r="F14" i="4"/>
  <c r="E14" i="4"/>
  <c r="D14" i="4"/>
  <c r="C14" i="4"/>
  <c r="B14" i="4"/>
  <c r="A14" i="4"/>
  <c r="I13" i="4"/>
  <c r="G13" i="4"/>
  <c r="F13" i="4"/>
  <c r="E13" i="4"/>
  <c r="D13" i="4"/>
  <c r="C13" i="4"/>
  <c r="B13" i="4"/>
  <c r="A13" i="4"/>
  <c r="I12" i="4"/>
  <c r="G12" i="4"/>
  <c r="F12" i="4"/>
  <c r="E12" i="4"/>
  <c r="D12" i="4"/>
  <c r="C12" i="4"/>
  <c r="B12" i="4"/>
  <c r="A12" i="4"/>
  <c r="I11" i="4"/>
  <c r="G11" i="4"/>
  <c r="F11" i="4"/>
  <c r="E11" i="4"/>
  <c r="D11" i="4"/>
  <c r="C11" i="4"/>
  <c r="B11" i="4"/>
  <c r="A11" i="4"/>
  <c r="I10" i="4"/>
  <c r="G10" i="4"/>
  <c r="F10" i="4"/>
  <c r="E10" i="4"/>
  <c r="D10" i="4"/>
  <c r="C10" i="4"/>
  <c r="B10" i="4"/>
  <c r="A10" i="4"/>
  <c r="I9" i="4"/>
  <c r="H9" i="4"/>
  <c r="G9" i="4"/>
  <c r="F9" i="4"/>
  <c r="E9" i="4"/>
  <c r="D9" i="4"/>
  <c r="C9" i="4"/>
  <c r="B9" i="4"/>
  <c r="A9" i="4"/>
  <c r="I8" i="4"/>
  <c r="G8" i="4"/>
  <c r="F8" i="4"/>
  <c r="E8" i="4"/>
  <c r="D8" i="4"/>
  <c r="C8" i="4"/>
  <c r="B8" i="4"/>
  <c r="I7" i="4"/>
  <c r="G7" i="4"/>
  <c r="F7" i="4"/>
  <c r="E7" i="4"/>
  <c r="D7" i="4"/>
  <c r="C7" i="4"/>
  <c r="B7" i="4"/>
  <c r="I6" i="4"/>
  <c r="G6" i="4"/>
  <c r="F6" i="4"/>
  <c r="E6" i="4"/>
  <c r="D6" i="4"/>
  <c r="C6" i="4"/>
  <c r="B6" i="4"/>
  <c r="I5" i="4"/>
  <c r="G5" i="4"/>
  <c r="F5" i="4"/>
  <c r="E5" i="4"/>
  <c r="D5" i="4"/>
  <c r="C5" i="4"/>
  <c r="B5" i="4"/>
  <c r="I4" i="4"/>
  <c r="G4" i="4"/>
  <c r="F4" i="4"/>
  <c r="E4" i="4"/>
  <c r="D4" i="4"/>
  <c r="C4" i="4"/>
  <c r="B4" i="4"/>
  <c r="I3" i="4"/>
  <c r="G3" i="4"/>
  <c r="F3" i="4"/>
  <c r="E3" i="4"/>
  <c r="D3" i="4"/>
  <c r="C3" i="4"/>
  <c r="B3" i="4"/>
  <c r="I2" i="4"/>
  <c r="E2" i="4"/>
  <c r="D2" i="4"/>
  <c r="C2" i="4"/>
  <c r="B2" i="4"/>
  <c r="A2" i="4"/>
  <c r="I1" i="4"/>
  <c r="H1" i="4"/>
  <c r="G1" i="4"/>
  <c r="F1" i="4"/>
  <c r="E1" i="4"/>
  <c r="D1" i="4"/>
  <c r="C1" i="4"/>
  <c r="B1" i="4"/>
  <c r="A1" i="4"/>
  <c r="GH41" i="3"/>
  <c r="GG41" i="3"/>
  <c r="GD41" i="3"/>
  <c r="GC41" i="3"/>
  <c r="GB41" i="3"/>
  <c r="GA41" i="3"/>
  <c r="FZ41" i="3"/>
  <c r="FY41" i="3"/>
  <c r="FX41" i="3"/>
  <c r="FU41" i="3"/>
  <c r="FT41" i="3"/>
  <c r="FS41" i="3"/>
  <c r="FR41" i="3"/>
  <c r="FP41" i="3"/>
  <c r="FN41" i="3"/>
  <c r="FL41" i="3"/>
  <c r="FK41" i="3"/>
  <c r="FI41" i="3"/>
  <c r="FH41" i="3"/>
  <c r="FG41" i="3"/>
  <c r="FE41" i="3"/>
  <c r="FD41" i="3"/>
  <c r="FC41" i="3"/>
  <c r="FB41" i="3"/>
  <c r="EZ41" i="3"/>
  <c r="EW41" i="3"/>
  <c r="EV41" i="3"/>
  <c r="EU41" i="3"/>
  <c r="ET41" i="3"/>
  <c r="ER41" i="3"/>
  <c r="EQ41" i="3"/>
  <c r="EP41" i="3"/>
  <c r="EO41" i="3"/>
  <c r="EN41" i="3"/>
  <c r="EM41" i="3"/>
  <c r="EL41" i="3"/>
  <c r="EK41" i="3"/>
  <c r="EJ41" i="3"/>
  <c r="EI41" i="3"/>
  <c r="EH41" i="3"/>
  <c r="EF41" i="3"/>
  <c r="EE41" i="3"/>
  <c r="ED41" i="3"/>
  <c r="EC41" i="3"/>
  <c r="EB41" i="3"/>
  <c r="EA41" i="3"/>
  <c r="DZ41" i="3"/>
  <c r="DY41" i="3"/>
  <c r="DX41" i="3"/>
  <c r="DW41" i="3"/>
  <c r="DV41" i="3"/>
  <c r="DU41" i="3"/>
  <c r="DR41" i="3"/>
  <c r="DQ41" i="3"/>
  <c r="DP41" i="3"/>
  <c r="DO41" i="3"/>
  <c r="DN41" i="3"/>
  <c r="DM41" i="3"/>
  <c r="DL41" i="3"/>
  <c r="DJ41" i="3"/>
  <c r="DI41" i="3"/>
  <c r="DH41" i="3"/>
  <c r="DG41" i="3"/>
  <c r="DF41" i="3"/>
  <c r="DC41" i="3"/>
  <c r="DB41" i="3"/>
  <c r="DA41" i="3"/>
  <c r="CZ41" i="3"/>
  <c r="CX41" i="3"/>
  <c r="CT41" i="3"/>
  <c r="CS41" i="3"/>
  <c r="CO41" i="3"/>
  <c r="CN41" i="3"/>
  <c r="CM41" i="3"/>
  <c r="CK41" i="3"/>
  <c r="CJ41" i="3"/>
  <c r="CE41" i="3"/>
  <c r="CD41" i="3"/>
  <c r="CC41" i="3"/>
  <c r="CB41" i="3"/>
  <c r="CA41" i="3"/>
  <c r="BZ41" i="3"/>
  <c r="BY41" i="3"/>
  <c r="BX41" i="3"/>
  <c r="BW41" i="3"/>
  <c r="AL41" i="3"/>
  <c r="AJ41" i="3"/>
  <c r="AI41" i="3"/>
  <c r="AH41" i="3"/>
  <c r="AG41" i="3"/>
  <c r="AF41" i="3"/>
  <c r="AE41" i="3"/>
  <c r="R41" i="3"/>
  <c r="Q41" i="3"/>
  <c r="M41" i="3"/>
  <c r="L41" i="3"/>
  <c r="K41" i="3"/>
  <c r="J41" i="3"/>
  <c r="I41" i="3"/>
  <c r="D41" i="3"/>
  <c r="C41" i="3"/>
  <c r="GH40" i="3"/>
  <c r="GG40" i="3"/>
  <c r="GD40" i="3"/>
  <c r="GC40" i="3"/>
  <c r="GB40" i="3"/>
  <c r="GA40" i="3"/>
  <c r="FZ40" i="3"/>
  <c r="FY40" i="3"/>
  <c r="FX40" i="3"/>
  <c r="FU40" i="3"/>
  <c r="FT40" i="3"/>
  <c r="FS40" i="3"/>
  <c r="FR40" i="3"/>
  <c r="FP40" i="3"/>
  <c r="FO40" i="3"/>
  <c r="FN40" i="3"/>
  <c r="FM40" i="3"/>
  <c r="FL40" i="3"/>
  <c r="FK40" i="3"/>
  <c r="FI40" i="3"/>
  <c r="FH40" i="3"/>
  <c r="FG40" i="3"/>
  <c r="FE40" i="3"/>
  <c r="FD40" i="3"/>
  <c r="FC40" i="3"/>
  <c r="FB40" i="3"/>
  <c r="EZ40" i="3"/>
  <c r="EW40" i="3"/>
  <c r="EV40" i="3"/>
  <c r="EU40" i="3"/>
  <c r="ET40" i="3"/>
  <c r="ER40" i="3"/>
  <c r="EQ40" i="3"/>
  <c r="EP40" i="3"/>
  <c r="EO40" i="3"/>
  <c r="EN40" i="3"/>
  <c r="EM40" i="3"/>
  <c r="EL40" i="3"/>
  <c r="EK40" i="3"/>
  <c r="EJ40" i="3"/>
  <c r="EI40" i="3"/>
  <c r="EH40" i="3"/>
  <c r="EF40" i="3"/>
  <c r="EE40" i="3"/>
  <c r="ED40" i="3"/>
  <c r="EC40" i="3"/>
  <c r="EB40" i="3"/>
  <c r="EA40" i="3"/>
  <c r="DZ40" i="3"/>
  <c r="DY40" i="3"/>
  <c r="DX40" i="3"/>
  <c r="DW40" i="3"/>
  <c r="DV40" i="3"/>
  <c r="DU40" i="3"/>
  <c r="DR40" i="3"/>
  <c r="DQ40" i="3"/>
  <c r="DP40" i="3"/>
  <c r="DO40" i="3"/>
  <c r="DN40" i="3"/>
  <c r="DM40" i="3"/>
  <c r="DL40" i="3"/>
  <c r="DJ40" i="3"/>
  <c r="DI40" i="3"/>
  <c r="DH40" i="3"/>
  <c r="DF40" i="3"/>
  <c r="DC40" i="3"/>
  <c r="DB40" i="3"/>
  <c r="DA40" i="3"/>
  <c r="CZ40" i="3"/>
  <c r="CY40" i="3"/>
  <c r="CX40" i="3"/>
  <c r="CS40" i="3"/>
  <c r="CO40" i="3"/>
  <c r="CN40" i="3"/>
  <c r="CM40" i="3"/>
  <c r="CL40" i="3"/>
  <c r="CK40" i="3"/>
  <c r="CJ40" i="3"/>
  <c r="CC40" i="3"/>
  <c r="CB40" i="3"/>
  <c r="CA40" i="3"/>
  <c r="BZ40" i="3"/>
  <c r="BY40" i="3"/>
  <c r="BX40" i="3"/>
  <c r="BW40" i="3"/>
  <c r="BT40" i="3"/>
  <c r="BR40" i="3"/>
  <c r="BQ40" i="3"/>
  <c r="BP40" i="3"/>
  <c r="BO40" i="3"/>
  <c r="BM40" i="3"/>
  <c r="BL40" i="3"/>
  <c r="BK40" i="3"/>
  <c r="BJ40" i="3"/>
  <c r="BI40" i="3"/>
  <c r="BG40" i="3"/>
  <c r="BF40" i="3"/>
  <c r="BE40" i="3"/>
  <c r="BD40" i="3"/>
  <c r="BC40" i="3"/>
  <c r="BB40" i="3"/>
  <c r="BA40" i="3"/>
  <c r="AZ40" i="3"/>
  <c r="AY40" i="3"/>
  <c r="AX40" i="3"/>
  <c r="AW40" i="3"/>
  <c r="AT40" i="3"/>
  <c r="AR40" i="3"/>
  <c r="AQ40" i="3"/>
  <c r="AP40" i="3"/>
  <c r="AO40" i="3"/>
  <c r="AN40" i="3"/>
  <c r="AM40" i="3"/>
  <c r="AL40" i="3"/>
  <c r="AJ40" i="3"/>
  <c r="AI40" i="3"/>
  <c r="AH40" i="3"/>
  <c r="AG40" i="3"/>
  <c r="AF40" i="3"/>
  <c r="AE40" i="3"/>
  <c r="V40" i="3"/>
  <c r="U40" i="3"/>
  <c r="T40" i="3"/>
  <c r="S40" i="3"/>
  <c r="R40" i="3"/>
  <c r="Q40" i="3"/>
  <c r="O40" i="3"/>
  <c r="N40" i="3"/>
  <c r="M40" i="3"/>
  <c r="L40" i="3"/>
  <c r="K40" i="3"/>
  <c r="J40" i="3"/>
  <c r="I40" i="3"/>
  <c r="D40" i="3"/>
  <c r="C40" i="3"/>
  <c r="GH39" i="3"/>
  <c r="GG39" i="3"/>
  <c r="GD39" i="3"/>
  <c r="GC39" i="3"/>
  <c r="GB39" i="3"/>
  <c r="GA39" i="3"/>
  <c r="FZ39" i="3"/>
  <c r="FY39" i="3"/>
  <c r="FX39" i="3"/>
  <c r="FU39" i="3"/>
  <c r="FT39" i="3"/>
  <c r="FS39" i="3"/>
  <c r="FR39" i="3"/>
  <c r="FP39" i="3"/>
  <c r="FO39" i="3"/>
  <c r="FN39" i="3"/>
  <c r="FM39" i="3"/>
  <c r="FL39" i="3"/>
  <c r="FK39" i="3"/>
  <c r="FI39" i="3"/>
  <c r="FH39" i="3"/>
  <c r="FG39" i="3"/>
  <c r="FE39" i="3"/>
  <c r="FD39" i="3"/>
  <c r="FC39" i="3"/>
  <c r="FB39" i="3"/>
  <c r="EZ39" i="3"/>
  <c r="EY39" i="3"/>
  <c r="EX39" i="3"/>
  <c r="EW39" i="3"/>
  <c r="EV39" i="3"/>
  <c r="EU39" i="3"/>
  <c r="ET39" i="3"/>
  <c r="ER39" i="3"/>
  <c r="EQ39" i="3"/>
  <c r="EP39" i="3"/>
  <c r="EO39" i="3"/>
  <c r="EN39" i="3"/>
  <c r="EM39" i="3"/>
  <c r="EL39" i="3"/>
  <c r="EK39" i="3"/>
  <c r="EJ39" i="3"/>
  <c r="EI39" i="3"/>
  <c r="EH39" i="3"/>
  <c r="EF39" i="3"/>
  <c r="EE39" i="3"/>
  <c r="ED39" i="3"/>
  <c r="EC39" i="3"/>
  <c r="EB39" i="3"/>
  <c r="EA39" i="3"/>
  <c r="DZ39" i="3"/>
  <c r="DY39" i="3"/>
  <c r="DX39" i="3"/>
  <c r="DW39" i="3"/>
  <c r="DV39" i="3"/>
  <c r="DU39" i="3"/>
  <c r="DR39" i="3"/>
  <c r="DQ39" i="3"/>
  <c r="DP39" i="3"/>
  <c r="DO39" i="3"/>
  <c r="DN39" i="3"/>
  <c r="DM39" i="3"/>
  <c r="DL39" i="3"/>
  <c r="DJ39" i="3"/>
  <c r="DI39" i="3"/>
  <c r="DH39" i="3"/>
  <c r="DG39" i="3"/>
  <c r="DF39" i="3"/>
  <c r="DC39" i="3"/>
  <c r="DB39" i="3"/>
  <c r="DA39" i="3"/>
  <c r="CZ39" i="3"/>
  <c r="CY39" i="3"/>
  <c r="CX39" i="3"/>
  <c r="CU39" i="3"/>
  <c r="CT39" i="3"/>
  <c r="CS39" i="3"/>
  <c r="CP39" i="3"/>
  <c r="CO39" i="3"/>
  <c r="CL39" i="3"/>
  <c r="CK39" i="3"/>
  <c r="CJ39" i="3"/>
  <c r="CA39" i="3"/>
  <c r="BZ39" i="3"/>
  <c r="BY39" i="3"/>
  <c r="BX39" i="3"/>
  <c r="BW39" i="3"/>
  <c r="BT39" i="3"/>
  <c r="BR39" i="3"/>
  <c r="BP39" i="3"/>
  <c r="BO39" i="3"/>
  <c r="AM39" i="3"/>
  <c r="AL39" i="3"/>
  <c r="AK39" i="3"/>
  <c r="AJ39" i="3"/>
  <c r="AI39" i="3"/>
  <c r="AG39" i="3"/>
  <c r="AF39" i="3"/>
  <c r="AE39" i="3"/>
  <c r="R39" i="3"/>
  <c r="Q39" i="3"/>
  <c r="O39" i="3"/>
  <c r="N39" i="3"/>
  <c r="M39" i="3"/>
  <c r="L39" i="3"/>
  <c r="K39" i="3"/>
  <c r="J39" i="3"/>
  <c r="I39" i="3"/>
  <c r="D39" i="3"/>
  <c r="C39" i="3"/>
  <c r="GH38" i="3"/>
  <c r="GG38" i="3"/>
  <c r="GD38" i="3"/>
  <c r="GC38" i="3"/>
  <c r="GB38" i="3"/>
  <c r="GA38" i="3"/>
  <c r="FZ38" i="3"/>
  <c r="FY38" i="3"/>
  <c r="FX38" i="3"/>
  <c r="FU38" i="3"/>
  <c r="FT38" i="3"/>
  <c r="FS38" i="3"/>
  <c r="FR38" i="3"/>
  <c r="FP38" i="3"/>
  <c r="FO38" i="3"/>
  <c r="FN38" i="3"/>
  <c r="FM38" i="3"/>
  <c r="FL38" i="3"/>
  <c r="FK38" i="3"/>
  <c r="FI38" i="3"/>
  <c r="FH38" i="3"/>
  <c r="FG38" i="3"/>
  <c r="FE38" i="3"/>
  <c r="FD38" i="3"/>
  <c r="FC38" i="3"/>
  <c r="FB38" i="3"/>
  <c r="EZ38" i="3"/>
  <c r="EV38" i="3"/>
  <c r="EU38" i="3"/>
  <c r="ET38" i="3"/>
  <c r="ER38" i="3"/>
  <c r="EQ38" i="3"/>
  <c r="EP38" i="3"/>
  <c r="EO38" i="3"/>
  <c r="EN38" i="3"/>
  <c r="EM38" i="3"/>
  <c r="EL38" i="3"/>
  <c r="EK38" i="3"/>
  <c r="EJ38" i="3"/>
  <c r="EI38" i="3"/>
  <c r="EH38" i="3"/>
  <c r="EF38" i="3"/>
  <c r="EE38" i="3"/>
  <c r="ED38" i="3"/>
  <c r="EC38" i="3"/>
  <c r="EB38" i="3"/>
  <c r="EA38" i="3"/>
  <c r="DZ38" i="3"/>
  <c r="DY38" i="3"/>
  <c r="DX38" i="3"/>
  <c r="DW38" i="3"/>
  <c r="DV38" i="3"/>
  <c r="DU38" i="3"/>
  <c r="DR38" i="3"/>
  <c r="DQ38" i="3"/>
  <c r="DP38" i="3"/>
  <c r="DO38" i="3"/>
  <c r="DN38" i="3"/>
  <c r="DM38" i="3"/>
  <c r="DL38" i="3"/>
  <c r="DJ38" i="3"/>
  <c r="DI38" i="3"/>
  <c r="DH38" i="3"/>
  <c r="DG38" i="3"/>
  <c r="DF38" i="3"/>
  <c r="DC38" i="3"/>
  <c r="DB38" i="3"/>
  <c r="DA38" i="3"/>
  <c r="CZ38" i="3"/>
  <c r="CY38" i="3"/>
  <c r="CX38" i="3"/>
  <c r="CT38" i="3"/>
  <c r="CS38" i="3"/>
  <c r="CJ38" i="3"/>
  <c r="BY38" i="3"/>
  <c r="BX38" i="3"/>
  <c r="BW38" i="3"/>
  <c r="AW38" i="3"/>
  <c r="AU38" i="3"/>
  <c r="AR38" i="3"/>
  <c r="AQ38" i="3"/>
  <c r="AO38" i="3"/>
  <c r="AN38" i="3"/>
  <c r="AM38" i="3"/>
  <c r="AL38" i="3"/>
  <c r="AJ38" i="3"/>
  <c r="AI38" i="3"/>
  <c r="AG38" i="3"/>
  <c r="AF38" i="3"/>
  <c r="AE38" i="3"/>
  <c r="V38" i="3"/>
  <c r="R38" i="3"/>
  <c r="Q38" i="3"/>
  <c r="O38" i="3"/>
  <c r="N38" i="3"/>
  <c r="M38" i="3"/>
  <c r="L38" i="3"/>
  <c r="K38" i="3"/>
  <c r="J38" i="3"/>
  <c r="I38" i="3"/>
  <c r="D38" i="3"/>
  <c r="C38" i="3"/>
  <c r="GH37" i="3"/>
  <c r="GG37" i="3"/>
  <c r="FU37" i="3"/>
  <c r="FT37" i="3"/>
  <c r="FS37" i="3"/>
  <c r="FR37" i="3"/>
  <c r="FP37" i="3"/>
  <c r="FO37" i="3"/>
  <c r="FN37" i="3"/>
  <c r="FM37" i="3"/>
  <c r="FL37" i="3"/>
  <c r="FK37" i="3"/>
  <c r="FI37" i="3"/>
  <c r="FE37" i="3"/>
  <c r="FD37" i="3"/>
  <c r="FC37" i="3"/>
  <c r="FB37" i="3"/>
  <c r="EZ37" i="3"/>
  <c r="EW37" i="3"/>
  <c r="EV37" i="3"/>
  <c r="EU37" i="3"/>
  <c r="ET37" i="3"/>
  <c r="ER37" i="3"/>
  <c r="EQ37" i="3"/>
  <c r="EP37" i="3"/>
  <c r="EO37" i="3"/>
  <c r="EN37" i="3"/>
  <c r="EM37" i="3"/>
  <c r="EL37" i="3"/>
  <c r="EK37" i="3"/>
  <c r="EJ37" i="3"/>
  <c r="EI37" i="3"/>
  <c r="EH37" i="3"/>
  <c r="EF37" i="3"/>
  <c r="EC37" i="3"/>
  <c r="EB37" i="3"/>
  <c r="EA37" i="3"/>
  <c r="DZ37" i="3"/>
  <c r="DY37" i="3"/>
  <c r="DX37" i="3"/>
  <c r="DW37" i="3"/>
  <c r="DV37" i="3"/>
  <c r="DU37" i="3"/>
  <c r="DI37" i="3"/>
  <c r="DH37" i="3"/>
  <c r="DG37" i="3"/>
  <c r="DF37" i="3"/>
  <c r="DC37" i="3"/>
  <c r="DB37" i="3"/>
  <c r="DA37" i="3"/>
  <c r="CZ37" i="3"/>
  <c r="CY37" i="3"/>
  <c r="CX37" i="3"/>
  <c r="CS37" i="3"/>
  <c r="CJ37" i="3"/>
  <c r="BY37" i="3"/>
  <c r="BX37" i="3"/>
  <c r="BW37" i="3"/>
  <c r="BO37" i="3"/>
  <c r="BM37" i="3"/>
  <c r="BL37" i="3"/>
  <c r="BK37" i="3"/>
  <c r="BJ37" i="3"/>
  <c r="BI37" i="3"/>
  <c r="BG37" i="3"/>
  <c r="BF37" i="3"/>
  <c r="BE37" i="3"/>
  <c r="BD37" i="3"/>
  <c r="BC37" i="3"/>
  <c r="BB37" i="3"/>
  <c r="BA37" i="3"/>
  <c r="AZ37" i="3"/>
  <c r="AY37" i="3"/>
  <c r="AX37" i="3"/>
  <c r="AW37" i="3"/>
  <c r="AM37" i="3"/>
  <c r="AL37" i="3"/>
  <c r="AK37" i="3"/>
  <c r="AJ37" i="3"/>
  <c r="AI37" i="3"/>
  <c r="AG37" i="3"/>
  <c r="AF37" i="3"/>
  <c r="AE37" i="3"/>
  <c r="Z37" i="3"/>
  <c r="Y37" i="3"/>
  <c r="X37" i="3"/>
  <c r="W37" i="3"/>
  <c r="V37" i="3"/>
  <c r="U37" i="3"/>
  <c r="T37" i="3"/>
  <c r="S37" i="3"/>
  <c r="R37" i="3"/>
  <c r="Q37" i="3"/>
  <c r="N37" i="3"/>
  <c r="M37" i="3"/>
  <c r="L37" i="3"/>
  <c r="K37" i="3"/>
  <c r="J37" i="3"/>
  <c r="I37" i="3"/>
  <c r="D37" i="3"/>
  <c r="C37" i="3"/>
  <c r="GH36" i="3"/>
  <c r="GG36" i="3"/>
  <c r="GD36" i="3"/>
  <c r="GC36" i="3"/>
  <c r="GB36" i="3"/>
  <c r="GA36" i="3"/>
  <c r="FZ36" i="3"/>
  <c r="FY36" i="3"/>
  <c r="FX36" i="3"/>
  <c r="FU36" i="3"/>
  <c r="FT36" i="3"/>
  <c r="FS36" i="3"/>
  <c r="FR36" i="3"/>
  <c r="FP36" i="3"/>
  <c r="FO36" i="3"/>
  <c r="FN36" i="3"/>
  <c r="FM36" i="3"/>
  <c r="FL36" i="3"/>
  <c r="FK36" i="3"/>
  <c r="FI36" i="3"/>
  <c r="FH36" i="3"/>
  <c r="FG36" i="3"/>
  <c r="FE36" i="3"/>
  <c r="FC36" i="3"/>
  <c r="FB36" i="3"/>
  <c r="EZ36" i="3"/>
  <c r="EW36" i="3"/>
  <c r="EV36" i="3"/>
  <c r="EU36" i="3"/>
  <c r="ET36" i="3"/>
  <c r="ER36" i="3"/>
  <c r="EQ36" i="3"/>
  <c r="EP36" i="3"/>
  <c r="EO36" i="3"/>
  <c r="EN36" i="3"/>
  <c r="EM36" i="3"/>
  <c r="EL36" i="3"/>
  <c r="EK36" i="3"/>
  <c r="EJ36" i="3"/>
  <c r="EI36" i="3"/>
  <c r="EH36" i="3"/>
  <c r="EF36" i="3"/>
  <c r="EE36" i="3"/>
  <c r="ED36" i="3"/>
  <c r="EC36" i="3"/>
  <c r="EB36" i="3"/>
  <c r="EA36" i="3"/>
  <c r="DZ36" i="3"/>
  <c r="DY36" i="3"/>
  <c r="DX36" i="3"/>
  <c r="DW36" i="3"/>
  <c r="DV36" i="3"/>
  <c r="DU36" i="3"/>
  <c r="DR36" i="3"/>
  <c r="DQ36" i="3"/>
  <c r="DP36" i="3"/>
  <c r="DO36" i="3"/>
  <c r="DM36" i="3"/>
  <c r="DL36" i="3"/>
  <c r="DJ36" i="3"/>
  <c r="DI36" i="3"/>
  <c r="DH36" i="3"/>
  <c r="DG36" i="3"/>
  <c r="DF36" i="3"/>
  <c r="DD36" i="3"/>
  <c r="DC36" i="3"/>
  <c r="DB36" i="3"/>
  <c r="DA36" i="3"/>
  <c r="CZ36" i="3"/>
  <c r="CY36" i="3"/>
  <c r="CX36" i="3"/>
  <c r="CT36" i="3"/>
  <c r="CS36" i="3"/>
  <c r="CJ36" i="3"/>
  <c r="BY36" i="3"/>
  <c r="BX36" i="3"/>
  <c r="BW36" i="3"/>
  <c r="BT36" i="3"/>
  <c r="BQ36" i="3"/>
  <c r="BP36" i="3"/>
  <c r="BO36" i="3"/>
  <c r="BM36" i="3"/>
  <c r="BL36" i="3"/>
  <c r="BK36" i="3"/>
  <c r="BJ36" i="3"/>
  <c r="BI36" i="3"/>
  <c r="BH36" i="3"/>
  <c r="BG36" i="3"/>
  <c r="BF36" i="3"/>
  <c r="BE36" i="3"/>
  <c r="BD36" i="3"/>
  <c r="BC36" i="3"/>
  <c r="BB36" i="3"/>
  <c r="BA36" i="3"/>
  <c r="AY36" i="3"/>
  <c r="AX36" i="3"/>
  <c r="AW36" i="3"/>
  <c r="AU36" i="3"/>
  <c r="AT36" i="3"/>
  <c r="AR36" i="3"/>
  <c r="AQ36" i="3"/>
  <c r="AO36" i="3"/>
  <c r="AN36" i="3"/>
  <c r="AM36" i="3"/>
  <c r="AL36" i="3"/>
  <c r="AK36" i="3"/>
  <c r="AJ36" i="3"/>
  <c r="AI36" i="3"/>
  <c r="AG36" i="3"/>
  <c r="AF36" i="3"/>
  <c r="AE36" i="3"/>
  <c r="O36" i="3"/>
  <c r="M36" i="3"/>
  <c r="L36" i="3"/>
  <c r="K36" i="3"/>
  <c r="J36" i="3"/>
  <c r="I36" i="3"/>
  <c r="D36" i="3"/>
  <c r="C36" i="3"/>
  <c r="GH35" i="3"/>
  <c r="GG35" i="3"/>
  <c r="CT35" i="3"/>
  <c r="CS35" i="3"/>
  <c r="CJ35" i="3"/>
  <c r="CC35" i="3"/>
  <c r="CB35" i="3"/>
  <c r="CA35" i="3"/>
  <c r="BZ35" i="3"/>
  <c r="BY35" i="3"/>
  <c r="BX35" i="3"/>
  <c r="BW35" i="3"/>
  <c r="BT35" i="3"/>
  <c r="BS35" i="3"/>
  <c r="BR35" i="3"/>
  <c r="BQ35" i="3"/>
  <c r="BP35" i="3"/>
  <c r="BO35" i="3"/>
  <c r="BM35" i="3"/>
  <c r="BL35" i="3"/>
  <c r="BK35" i="3"/>
  <c r="BJ35" i="3"/>
  <c r="BI35" i="3"/>
  <c r="BH35" i="3"/>
  <c r="BG35" i="3"/>
  <c r="BF35" i="3"/>
  <c r="BE35" i="3"/>
  <c r="BD35" i="3"/>
  <c r="BC35" i="3"/>
  <c r="BB35" i="3"/>
  <c r="BA35" i="3"/>
  <c r="AZ35" i="3"/>
  <c r="AY35" i="3"/>
  <c r="AX35" i="3"/>
  <c r="AW35" i="3"/>
  <c r="AM35" i="3"/>
  <c r="AL35" i="3"/>
  <c r="AK35" i="3"/>
  <c r="AJ35" i="3"/>
  <c r="AI35" i="3"/>
  <c r="AG35" i="3"/>
  <c r="AF35" i="3"/>
  <c r="AE35" i="3"/>
  <c r="AC35" i="3"/>
  <c r="AB35" i="3"/>
  <c r="AA35" i="3"/>
  <c r="Z35" i="3"/>
  <c r="X35" i="3"/>
  <c r="W35" i="3"/>
  <c r="V35" i="3"/>
  <c r="U35" i="3"/>
  <c r="T35" i="3"/>
  <c r="S35" i="3"/>
  <c r="R35" i="3"/>
  <c r="Q35" i="3"/>
  <c r="O35" i="3"/>
  <c r="N35" i="3"/>
  <c r="M35" i="3"/>
  <c r="L35" i="3"/>
  <c r="K35" i="3"/>
  <c r="J35" i="3"/>
  <c r="I35" i="3"/>
  <c r="D35" i="3"/>
  <c r="C35" i="3"/>
  <c r="GH34" i="3"/>
  <c r="GG34" i="3"/>
  <c r="GD34" i="3"/>
  <c r="GC34" i="3"/>
  <c r="GB34" i="3"/>
  <c r="GA34" i="3"/>
  <c r="FZ34" i="3"/>
  <c r="FY34" i="3"/>
  <c r="FX34" i="3"/>
  <c r="FU34" i="3"/>
  <c r="FT34" i="3"/>
  <c r="FS34" i="3"/>
  <c r="FR34" i="3"/>
  <c r="FP34" i="3"/>
  <c r="FO34" i="3"/>
  <c r="FN34" i="3"/>
  <c r="FM34" i="3"/>
  <c r="FL34" i="3"/>
  <c r="FK34" i="3"/>
  <c r="FI34" i="3"/>
  <c r="FH34" i="3"/>
  <c r="FG34" i="3"/>
  <c r="FE34" i="3"/>
  <c r="FD34" i="3"/>
  <c r="FC34" i="3"/>
  <c r="FB34" i="3"/>
  <c r="EZ34" i="3"/>
  <c r="EU34" i="3"/>
  <c r="ET34" i="3"/>
  <c r="ER34" i="3"/>
  <c r="EQ34" i="3"/>
  <c r="EP34" i="3"/>
  <c r="EO34" i="3"/>
  <c r="EN34" i="3"/>
  <c r="EM34" i="3"/>
  <c r="EL34" i="3"/>
  <c r="EK34" i="3"/>
  <c r="EJ34" i="3"/>
  <c r="EI34" i="3"/>
  <c r="EH34" i="3"/>
  <c r="EF34" i="3"/>
  <c r="EE34" i="3"/>
  <c r="ED34" i="3"/>
  <c r="EC34" i="3"/>
  <c r="EB34" i="3"/>
  <c r="EA34" i="3"/>
  <c r="DZ34" i="3"/>
  <c r="DY34" i="3"/>
  <c r="DX34" i="3"/>
  <c r="DW34" i="3"/>
  <c r="DV34" i="3"/>
  <c r="DU34" i="3"/>
  <c r="DR34" i="3"/>
  <c r="DQ34" i="3"/>
  <c r="DP34" i="3"/>
  <c r="DO34" i="3"/>
  <c r="DM34" i="3"/>
  <c r="DL34" i="3"/>
  <c r="DJ34" i="3"/>
  <c r="DI34" i="3"/>
  <c r="DH34" i="3"/>
  <c r="DG34" i="3"/>
  <c r="DF34" i="3"/>
  <c r="DC34" i="3"/>
  <c r="DB34" i="3"/>
  <c r="DA34" i="3"/>
  <c r="CZ34" i="3"/>
  <c r="CY34" i="3"/>
  <c r="CX34" i="3"/>
  <c r="CT34" i="3"/>
  <c r="CS34" i="3"/>
  <c r="CJ34" i="3"/>
  <c r="CC34" i="3"/>
  <c r="CB34" i="3"/>
  <c r="CA34" i="3"/>
  <c r="BZ34" i="3"/>
  <c r="BY34" i="3"/>
  <c r="BX34" i="3"/>
  <c r="BW34" i="3"/>
  <c r="BM34" i="3"/>
  <c r="BL34" i="3"/>
  <c r="BK34" i="3"/>
  <c r="BJ34" i="3"/>
  <c r="BI34" i="3"/>
  <c r="BH34" i="3"/>
  <c r="BG34" i="3"/>
  <c r="BF34" i="3"/>
  <c r="BE34" i="3"/>
  <c r="BD34" i="3"/>
  <c r="BC34" i="3"/>
  <c r="BB34" i="3"/>
  <c r="BA34" i="3"/>
  <c r="AY34" i="3"/>
  <c r="AX34" i="3"/>
  <c r="AW34" i="3"/>
  <c r="AU34" i="3"/>
  <c r="AT34" i="3"/>
  <c r="AS34" i="3"/>
  <c r="AR34" i="3"/>
  <c r="AQ34" i="3"/>
  <c r="AO34" i="3"/>
  <c r="AN34" i="3"/>
  <c r="AM34" i="3"/>
  <c r="AL34" i="3"/>
  <c r="AK34" i="3"/>
  <c r="AJ34" i="3"/>
  <c r="AI34" i="3"/>
  <c r="AG34" i="3"/>
  <c r="AF34" i="3"/>
  <c r="AE34" i="3"/>
  <c r="O34" i="3"/>
  <c r="N34" i="3"/>
  <c r="M34" i="3"/>
  <c r="L34" i="3"/>
  <c r="K34" i="3"/>
  <c r="J34" i="3"/>
  <c r="I34" i="3"/>
  <c r="D34" i="3"/>
  <c r="C34" i="3"/>
  <c r="GH33" i="3"/>
  <c r="GG33" i="3"/>
  <c r="GD33" i="3"/>
  <c r="GC33" i="3"/>
  <c r="GB33" i="3"/>
  <c r="GA33" i="3"/>
  <c r="FZ33" i="3"/>
  <c r="FY33" i="3"/>
  <c r="FX33" i="3"/>
  <c r="FU33" i="3"/>
  <c r="FT33" i="3"/>
  <c r="FS33" i="3"/>
  <c r="FR33" i="3"/>
  <c r="FP33" i="3"/>
  <c r="FO33" i="3"/>
  <c r="FN33" i="3"/>
  <c r="FM33" i="3"/>
  <c r="FL33" i="3"/>
  <c r="FK33" i="3"/>
  <c r="FI33" i="3"/>
  <c r="FH33" i="3"/>
  <c r="FG33" i="3"/>
  <c r="FE33" i="3"/>
  <c r="FD33" i="3"/>
  <c r="FC33" i="3"/>
  <c r="FB33" i="3"/>
  <c r="EZ33" i="3"/>
  <c r="EW33" i="3"/>
  <c r="EV33" i="3"/>
  <c r="EU33" i="3"/>
  <c r="ET33" i="3"/>
  <c r="ER33" i="3"/>
  <c r="EQ33" i="3"/>
  <c r="EP33" i="3"/>
  <c r="EO33" i="3"/>
  <c r="EL33" i="3"/>
  <c r="EK33" i="3"/>
  <c r="EJ33" i="3"/>
  <c r="EI33" i="3"/>
  <c r="EH33" i="3"/>
  <c r="EF33" i="3"/>
  <c r="EE33" i="3"/>
  <c r="ED33" i="3"/>
  <c r="EC33" i="3"/>
  <c r="EB33" i="3"/>
  <c r="EA33" i="3"/>
  <c r="DZ33" i="3"/>
  <c r="DY33" i="3"/>
  <c r="DX33" i="3"/>
  <c r="DW33" i="3"/>
  <c r="DV33" i="3"/>
  <c r="DU33" i="3"/>
  <c r="DR33" i="3"/>
  <c r="DQ33" i="3"/>
  <c r="DP33" i="3"/>
  <c r="DO33" i="3"/>
  <c r="DN33" i="3"/>
  <c r="DM33" i="3"/>
  <c r="DL33" i="3"/>
  <c r="DJ33" i="3"/>
  <c r="DI33" i="3"/>
  <c r="DH33" i="3"/>
  <c r="DG33" i="3"/>
  <c r="DF33" i="3"/>
  <c r="DB33" i="3"/>
  <c r="DA33" i="3"/>
  <c r="CZ33" i="3"/>
  <c r="CY33" i="3"/>
  <c r="CX33" i="3"/>
  <c r="CT33" i="3"/>
  <c r="CS33" i="3"/>
  <c r="CJ33" i="3"/>
  <c r="CA33" i="3"/>
  <c r="BZ33" i="3"/>
  <c r="BX33" i="3"/>
  <c r="BW33" i="3"/>
  <c r="AA33" i="3"/>
  <c r="Z33" i="3"/>
  <c r="X33" i="3"/>
  <c r="W33" i="3"/>
  <c r="V33" i="3"/>
  <c r="S33" i="3"/>
  <c r="R33" i="3"/>
  <c r="Q33" i="3"/>
  <c r="O33" i="3"/>
  <c r="N33" i="3"/>
  <c r="M33" i="3"/>
  <c r="L33" i="3"/>
  <c r="K33" i="3"/>
  <c r="J33" i="3"/>
  <c r="I33" i="3"/>
  <c r="D33" i="3"/>
  <c r="C33" i="3"/>
  <c r="GH32" i="3"/>
  <c r="GD32" i="3"/>
  <c r="GC32" i="3"/>
  <c r="GB32" i="3"/>
  <c r="GA32" i="3"/>
  <c r="FZ32" i="3"/>
  <c r="FY32" i="3"/>
  <c r="FX32" i="3"/>
  <c r="FU32" i="3"/>
  <c r="FT32" i="3"/>
  <c r="FS32" i="3"/>
  <c r="FR32" i="3"/>
  <c r="FO32" i="3"/>
  <c r="FM32" i="3"/>
  <c r="FL32" i="3"/>
  <c r="FK32" i="3"/>
  <c r="FI32" i="3"/>
  <c r="FH32" i="3"/>
  <c r="FG32" i="3"/>
  <c r="FE32" i="3"/>
  <c r="FD32" i="3"/>
  <c r="FC32" i="3"/>
  <c r="FB32" i="3"/>
  <c r="EZ32" i="3"/>
  <c r="EY32" i="3"/>
  <c r="EX32" i="3"/>
  <c r="EW32" i="3"/>
  <c r="EV32" i="3"/>
  <c r="EU32" i="3"/>
  <c r="ET32" i="3"/>
  <c r="ER32" i="3"/>
  <c r="EQ32" i="3"/>
  <c r="EP32" i="3"/>
  <c r="EO32" i="3"/>
  <c r="EN32" i="3"/>
  <c r="EM32" i="3"/>
  <c r="EL32" i="3"/>
  <c r="EK32" i="3"/>
  <c r="EJ32" i="3"/>
  <c r="EI32" i="3"/>
  <c r="EH32" i="3"/>
  <c r="EF32" i="3"/>
  <c r="EE32" i="3"/>
  <c r="ED32" i="3"/>
  <c r="EC32" i="3"/>
  <c r="EB32" i="3"/>
  <c r="EA32" i="3"/>
  <c r="DZ32" i="3"/>
  <c r="DY32" i="3"/>
  <c r="DX32" i="3"/>
  <c r="DW32" i="3"/>
  <c r="DV32" i="3"/>
  <c r="DU32" i="3"/>
  <c r="DR32" i="3"/>
  <c r="DQ32" i="3"/>
  <c r="DP32" i="3"/>
  <c r="DM32" i="3"/>
  <c r="DL32" i="3"/>
  <c r="DJ32" i="3"/>
  <c r="DH32" i="3"/>
  <c r="DF32" i="3"/>
  <c r="DC32" i="3"/>
  <c r="DB32" i="3"/>
  <c r="DA32" i="3"/>
  <c r="CZ32" i="3"/>
  <c r="CX32" i="3"/>
  <c r="CS32" i="3"/>
  <c r="CA32" i="3"/>
  <c r="BZ32" i="3"/>
  <c r="BY32" i="3"/>
  <c r="BX32" i="3"/>
  <c r="BW32" i="3"/>
  <c r="BO32" i="3"/>
  <c r="BD32" i="3"/>
  <c r="BC32" i="3"/>
  <c r="BB32" i="3"/>
  <c r="BA32" i="3"/>
  <c r="AY32" i="3"/>
  <c r="AX32" i="3"/>
  <c r="AW32" i="3"/>
  <c r="AU32" i="3"/>
  <c r="AT32" i="3"/>
  <c r="AS32" i="3"/>
  <c r="AR32" i="3"/>
  <c r="AQ32" i="3"/>
  <c r="AO32" i="3"/>
  <c r="AN32" i="3"/>
  <c r="AM32" i="3"/>
  <c r="AL32" i="3"/>
  <c r="AK32" i="3"/>
  <c r="AJ32" i="3"/>
  <c r="AI32" i="3"/>
  <c r="AG32" i="3"/>
  <c r="AF32" i="3"/>
  <c r="AE32" i="3"/>
  <c r="R32" i="3"/>
  <c r="Q32" i="3"/>
  <c r="N32" i="3"/>
  <c r="M32" i="3"/>
  <c r="L32" i="3"/>
  <c r="K32" i="3"/>
  <c r="J32" i="3"/>
  <c r="I32" i="3"/>
  <c r="G32" i="3"/>
  <c r="D32" i="3"/>
  <c r="C32" i="3"/>
  <c r="GH31" i="3"/>
  <c r="GG31" i="3"/>
  <c r="GD31" i="3"/>
  <c r="GC31" i="3"/>
  <c r="GB31" i="3"/>
  <c r="GA31" i="3"/>
  <c r="FZ31" i="3"/>
  <c r="FY31" i="3"/>
  <c r="FX31" i="3"/>
  <c r="FU31" i="3"/>
  <c r="FS31" i="3"/>
  <c r="FR31" i="3"/>
  <c r="FP31" i="3"/>
  <c r="FO31" i="3"/>
  <c r="FN31" i="3"/>
  <c r="FM31" i="3"/>
  <c r="FL31" i="3"/>
  <c r="FK31" i="3"/>
  <c r="FI31" i="3"/>
  <c r="FH31" i="3"/>
  <c r="FG31" i="3"/>
  <c r="FE31" i="3"/>
  <c r="FD31" i="3"/>
  <c r="FC31" i="3"/>
  <c r="FB31" i="3"/>
  <c r="EZ31" i="3"/>
  <c r="EW31" i="3"/>
  <c r="EV31" i="3"/>
  <c r="EU31" i="3"/>
  <c r="ET31" i="3"/>
  <c r="ER31" i="3"/>
  <c r="EQ31" i="3"/>
  <c r="EP31" i="3"/>
  <c r="EO31" i="3"/>
  <c r="EN31" i="3"/>
  <c r="EM31" i="3"/>
  <c r="EL31" i="3"/>
  <c r="EK31" i="3"/>
  <c r="EJ31" i="3"/>
  <c r="EI31" i="3"/>
  <c r="EH31" i="3"/>
  <c r="EF31" i="3"/>
  <c r="EE31" i="3"/>
  <c r="ED31" i="3"/>
  <c r="EC31" i="3"/>
  <c r="EB31" i="3"/>
  <c r="EA31" i="3"/>
  <c r="DZ31" i="3"/>
  <c r="DY31" i="3"/>
  <c r="DX31" i="3"/>
  <c r="DW31" i="3"/>
  <c r="DV31" i="3"/>
  <c r="DU31" i="3"/>
  <c r="DR31" i="3"/>
  <c r="DQ31" i="3"/>
  <c r="DP31" i="3"/>
  <c r="DO31" i="3"/>
  <c r="DM31" i="3"/>
  <c r="DL31" i="3"/>
  <c r="DJ31" i="3"/>
  <c r="DI31" i="3"/>
  <c r="DH31" i="3"/>
  <c r="DG31" i="3"/>
  <c r="DF31" i="3"/>
  <c r="DE31" i="3"/>
  <c r="DD31" i="3"/>
  <c r="DC31" i="3"/>
  <c r="DB31" i="3"/>
  <c r="DA31" i="3"/>
  <c r="CZ31" i="3"/>
  <c r="CY31" i="3"/>
  <c r="CX31" i="3"/>
  <c r="CT31" i="3"/>
  <c r="CS31" i="3"/>
  <c r="CJ31" i="3"/>
  <c r="CE31" i="3"/>
  <c r="CD31" i="3"/>
  <c r="CC31" i="3"/>
  <c r="CB31" i="3"/>
  <c r="CA31" i="3"/>
  <c r="BZ31" i="3"/>
  <c r="BY31" i="3"/>
  <c r="BX31" i="3"/>
  <c r="BW31" i="3"/>
  <c r="AA31" i="3"/>
  <c r="Z31" i="3"/>
  <c r="X31" i="3"/>
  <c r="W31" i="3"/>
  <c r="V31" i="3"/>
  <c r="U31" i="3"/>
  <c r="T31" i="3"/>
  <c r="S31" i="3"/>
  <c r="R31" i="3"/>
  <c r="Q31" i="3"/>
  <c r="O31" i="3"/>
  <c r="N31" i="3"/>
  <c r="M31" i="3"/>
  <c r="L31" i="3"/>
  <c r="K31" i="3"/>
  <c r="J31" i="3"/>
  <c r="I31" i="3"/>
  <c r="D31" i="3"/>
  <c r="C31" i="3"/>
  <c r="GH30" i="3"/>
  <c r="GG30" i="3"/>
  <c r="GD30" i="3"/>
  <c r="GC30" i="3"/>
  <c r="GB30" i="3"/>
  <c r="GA30" i="3"/>
  <c r="FZ30" i="3"/>
  <c r="FY30" i="3"/>
  <c r="FX30" i="3"/>
  <c r="FU30" i="3"/>
  <c r="FT30" i="3"/>
  <c r="FS30" i="3"/>
  <c r="FR30" i="3"/>
  <c r="FP30" i="3"/>
  <c r="FO30" i="3"/>
  <c r="FN30" i="3"/>
  <c r="FM30" i="3"/>
  <c r="FL30" i="3"/>
  <c r="FK30" i="3"/>
  <c r="FI30" i="3"/>
  <c r="FH30" i="3"/>
  <c r="FG30" i="3"/>
  <c r="FE30" i="3"/>
  <c r="FD30" i="3"/>
  <c r="FC30" i="3"/>
  <c r="FB30" i="3"/>
  <c r="EZ30" i="3"/>
  <c r="EW30" i="3"/>
  <c r="EV30" i="3"/>
  <c r="EU30" i="3"/>
  <c r="ET30" i="3"/>
  <c r="ER30" i="3"/>
  <c r="EQ30" i="3"/>
  <c r="EP30" i="3"/>
  <c r="EO30" i="3"/>
  <c r="EN30" i="3"/>
  <c r="EM30" i="3"/>
  <c r="EL30" i="3"/>
  <c r="EK30" i="3"/>
  <c r="EJ30" i="3"/>
  <c r="EI30" i="3"/>
  <c r="EH30" i="3"/>
  <c r="EF30" i="3"/>
  <c r="EE30" i="3"/>
  <c r="ED30" i="3"/>
  <c r="EC30" i="3"/>
  <c r="EB30" i="3"/>
  <c r="EA30" i="3"/>
  <c r="DZ30" i="3"/>
  <c r="DY30" i="3"/>
  <c r="DX30" i="3"/>
  <c r="DW30" i="3"/>
  <c r="DV30" i="3"/>
  <c r="DU30" i="3"/>
  <c r="DR30" i="3"/>
  <c r="DO30" i="3"/>
  <c r="DM30" i="3"/>
  <c r="DL30" i="3"/>
  <c r="DJ30" i="3"/>
  <c r="DI30" i="3"/>
  <c r="DH30" i="3"/>
  <c r="DG30" i="3"/>
  <c r="DF30" i="3"/>
  <c r="DC30" i="3"/>
  <c r="DB30" i="3"/>
  <c r="DA30" i="3"/>
  <c r="CZ30" i="3"/>
  <c r="CY30" i="3"/>
  <c r="CX30" i="3"/>
  <c r="CT30" i="3"/>
  <c r="CS30" i="3"/>
  <c r="CJ30" i="3"/>
  <c r="CA30" i="3"/>
  <c r="BZ30" i="3"/>
  <c r="BY30" i="3"/>
  <c r="BX30" i="3"/>
  <c r="BW30" i="3"/>
  <c r="BT30" i="3"/>
  <c r="BS30" i="3"/>
  <c r="BP30" i="3"/>
  <c r="BO30" i="3"/>
  <c r="BM30" i="3"/>
  <c r="BL30" i="3"/>
  <c r="BK30" i="3"/>
  <c r="BJ30" i="3"/>
  <c r="BI30" i="3"/>
  <c r="BH30" i="3"/>
  <c r="BG30" i="3"/>
  <c r="BF30" i="3"/>
  <c r="BE30" i="3"/>
  <c r="BD30" i="3"/>
  <c r="BC30" i="3"/>
  <c r="BB30" i="3"/>
  <c r="BA30" i="3"/>
  <c r="AZ30" i="3"/>
  <c r="AY30" i="3"/>
  <c r="AX30" i="3"/>
  <c r="AW30" i="3"/>
  <c r="AM30" i="3"/>
  <c r="AL30" i="3"/>
  <c r="AK30" i="3"/>
  <c r="AJ30" i="3"/>
  <c r="AI30" i="3"/>
  <c r="AG30" i="3"/>
  <c r="AF30" i="3"/>
  <c r="AE30" i="3"/>
  <c r="R30" i="3"/>
  <c r="Q30" i="3"/>
  <c r="N30" i="3"/>
  <c r="M30" i="3"/>
  <c r="L30" i="3"/>
  <c r="K30" i="3"/>
  <c r="J30" i="3"/>
  <c r="I30" i="3"/>
  <c r="D30" i="3"/>
  <c r="C30" i="3"/>
  <c r="GH29" i="3"/>
  <c r="AA29" i="3"/>
  <c r="Z29" i="3"/>
  <c r="X29" i="3"/>
  <c r="W29" i="3"/>
  <c r="V29" i="3"/>
  <c r="U29" i="3"/>
  <c r="T29" i="3"/>
  <c r="S29" i="3"/>
  <c r="R29" i="3"/>
  <c r="Q29" i="3"/>
  <c r="M29" i="3"/>
  <c r="L29" i="3"/>
  <c r="K29" i="3"/>
  <c r="J29" i="3"/>
  <c r="I29" i="3"/>
  <c r="D29" i="3"/>
  <c r="C29" i="3"/>
  <c r="GH28" i="3"/>
  <c r="GG28" i="3"/>
  <c r="GD28" i="3"/>
  <c r="GC28" i="3"/>
  <c r="GB28" i="3"/>
  <c r="GA28" i="3"/>
  <c r="FZ28" i="3"/>
  <c r="FY28" i="3"/>
  <c r="FX28" i="3"/>
  <c r="FU28" i="3"/>
  <c r="FT28" i="3"/>
  <c r="FS28" i="3"/>
  <c r="FR28" i="3"/>
  <c r="FP28" i="3"/>
  <c r="FO28" i="3"/>
  <c r="FN28" i="3"/>
  <c r="FM28" i="3"/>
  <c r="FL28" i="3"/>
  <c r="FK28" i="3"/>
  <c r="FI28" i="3"/>
  <c r="FH28" i="3"/>
  <c r="FG28" i="3"/>
  <c r="FE28" i="3"/>
  <c r="FD28" i="3"/>
  <c r="FC28" i="3"/>
  <c r="FB28" i="3"/>
  <c r="EZ28" i="3"/>
  <c r="EW28" i="3"/>
  <c r="EV28" i="3"/>
  <c r="EU28" i="3"/>
  <c r="ET28" i="3"/>
  <c r="ER28" i="3"/>
  <c r="EQ28" i="3"/>
  <c r="EP28" i="3"/>
  <c r="EO28" i="3"/>
  <c r="EN28" i="3"/>
  <c r="EM28" i="3"/>
  <c r="EL28" i="3"/>
  <c r="EK28" i="3"/>
  <c r="EJ28" i="3"/>
  <c r="EI28" i="3"/>
  <c r="EH28" i="3"/>
  <c r="EF28" i="3"/>
  <c r="EE28" i="3"/>
  <c r="ED28" i="3"/>
  <c r="EC28" i="3"/>
  <c r="EB28" i="3"/>
  <c r="EA28" i="3"/>
  <c r="DZ28" i="3"/>
  <c r="DY28" i="3"/>
  <c r="DX28" i="3"/>
  <c r="DW28" i="3"/>
  <c r="DV28" i="3"/>
  <c r="DU28" i="3"/>
  <c r="DR28" i="3"/>
  <c r="DQ28" i="3"/>
  <c r="DP28" i="3"/>
  <c r="DO28" i="3"/>
  <c r="DM28" i="3"/>
  <c r="DL28" i="3"/>
  <c r="DJ28" i="3"/>
  <c r="DI28" i="3"/>
  <c r="DH28" i="3"/>
  <c r="DG28" i="3"/>
  <c r="DF28" i="3"/>
  <c r="DC28" i="3"/>
  <c r="DB28" i="3"/>
  <c r="DA28" i="3"/>
  <c r="CZ28" i="3"/>
  <c r="CY28" i="3"/>
  <c r="CX28" i="3"/>
  <c r="CT28" i="3"/>
  <c r="CS28" i="3"/>
  <c r="CJ28" i="3"/>
  <c r="CE28" i="3"/>
  <c r="CD28" i="3"/>
  <c r="CC28" i="3"/>
  <c r="CB28" i="3"/>
  <c r="CA28" i="3"/>
  <c r="BZ28" i="3"/>
  <c r="BY28" i="3"/>
  <c r="BX28" i="3"/>
  <c r="BW28" i="3"/>
  <c r="BM28" i="3"/>
  <c r="BL28" i="3"/>
  <c r="BK28" i="3"/>
  <c r="BJ28" i="3"/>
  <c r="BI28" i="3"/>
  <c r="BH28" i="3"/>
  <c r="BG28" i="3"/>
  <c r="BF28" i="3"/>
  <c r="BE28" i="3"/>
  <c r="BD28" i="3"/>
  <c r="BC28" i="3"/>
  <c r="BB28" i="3"/>
  <c r="BA28" i="3"/>
  <c r="AZ28" i="3"/>
  <c r="AY28" i="3"/>
  <c r="AX28" i="3"/>
  <c r="AW28" i="3"/>
  <c r="AM28" i="3"/>
  <c r="AL28" i="3"/>
  <c r="AG28" i="3"/>
  <c r="AF28" i="3"/>
  <c r="AE28" i="3"/>
  <c r="AA28" i="3"/>
  <c r="Z28" i="3"/>
  <c r="X28" i="3"/>
  <c r="W28" i="3"/>
  <c r="V28" i="3"/>
  <c r="U28" i="3"/>
  <c r="T28" i="3"/>
  <c r="S28" i="3"/>
  <c r="R28" i="3"/>
  <c r="Q28" i="3"/>
  <c r="N28" i="3"/>
  <c r="M28" i="3"/>
  <c r="L28" i="3"/>
  <c r="K28" i="3"/>
  <c r="J28" i="3"/>
  <c r="I28" i="3"/>
  <c r="D28" i="3"/>
  <c r="C28" i="3"/>
  <c r="GH27" i="3"/>
  <c r="EU27" i="3"/>
  <c r="ET27" i="3"/>
  <c r="ER27" i="3"/>
  <c r="EQ27" i="3"/>
  <c r="EP27" i="3"/>
  <c r="EO27" i="3"/>
  <c r="EN27" i="3"/>
  <c r="EM27" i="3"/>
  <c r="EL27" i="3"/>
  <c r="EK27" i="3"/>
  <c r="EJ27" i="3"/>
  <c r="EI27" i="3"/>
  <c r="EH27" i="3"/>
  <c r="EF27" i="3"/>
  <c r="EE27" i="3"/>
  <c r="ED27" i="3"/>
  <c r="EC27" i="3"/>
  <c r="EB27" i="3"/>
  <c r="EA27" i="3"/>
  <c r="DZ27" i="3"/>
  <c r="DY27" i="3"/>
  <c r="DX27" i="3"/>
  <c r="DW27" i="3"/>
  <c r="DV27" i="3"/>
  <c r="DU27" i="3"/>
  <c r="DR27" i="3"/>
  <c r="DQ27" i="3"/>
  <c r="DP27" i="3"/>
  <c r="DO27" i="3"/>
  <c r="DN27" i="3"/>
  <c r="DM27" i="3"/>
  <c r="DL27" i="3"/>
  <c r="DJ27" i="3"/>
  <c r="DI27" i="3"/>
  <c r="DH27" i="3"/>
  <c r="DG27" i="3"/>
  <c r="DF27" i="3"/>
  <c r="DC27" i="3"/>
  <c r="DB27" i="3"/>
  <c r="DA27" i="3"/>
  <c r="CZ27" i="3"/>
  <c r="CX27" i="3"/>
  <c r="CT27" i="3"/>
  <c r="CS27" i="3"/>
  <c r="CJ27" i="3"/>
  <c r="CG27" i="3"/>
  <c r="CF27" i="3"/>
  <c r="CE27" i="3"/>
  <c r="CD27" i="3"/>
  <c r="CC27" i="3"/>
  <c r="CB27" i="3"/>
  <c r="CA27" i="3"/>
  <c r="BZ27" i="3"/>
  <c r="BY27" i="3"/>
  <c r="BX27" i="3"/>
  <c r="BW27" i="3"/>
  <c r="BT27" i="3"/>
  <c r="BS27" i="3"/>
  <c r="BQ27" i="3"/>
  <c r="BP27" i="3"/>
  <c r="BO27" i="3"/>
  <c r="BM27" i="3"/>
  <c r="BL27" i="3"/>
  <c r="BK27" i="3"/>
  <c r="BJ27" i="3"/>
  <c r="BI27" i="3"/>
  <c r="BH27" i="3"/>
  <c r="BG27" i="3"/>
  <c r="BF27" i="3"/>
  <c r="BE27" i="3"/>
  <c r="BD27" i="3"/>
  <c r="BC27" i="3"/>
  <c r="BB27" i="3"/>
  <c r="BA27" i="3"/>
  <c r="AZ27" i="3"/>
  <c r="AY27" i="3"/>
  <c r="AX27" i="3"/>
  <c r="AW27" i="3"/>
  <c r="AM27" i="3"/>
  <c r="AL27" i="3"/>
  <c r="AK27" i="3"/>
  <c r="AJ27" i="3"/>
  <c r="AI27" i="3"/>
  <c r="AG27" i="3"/>
  <c r="AF27" i="3"/>
  <c r="AE27" i="3"/>
  <c r="AA27" i="3"/>
  <c r="Z27" i="3"/>
  <c r="X27" i="3"/>
  <c r="W27" i="3"/>
  <c r="V27" i="3"/>
  <c r="U27" i="3"/>
  <c r="T27" i="3"/>
  <c r="S27" i="3"/>
  <c r="R27" i="3"/>
  <c r="Q27" i="3"/>
  <c r="O27" i="3"/>
  <c r="N27" i="3"/>
  <c r="M27" i="3"/>
  <c r="L27" i="3"/>
  <c r="K27" i="3"/>
  <c r="J27" i="3"/>
  <c r="I27" i="3"/>
  <c r="D27" i="3"/>
  <c r="C27" i="3"/>
  <c r="GH26" i="3"/>
  <c r="GG26" i="3"/>
  <c r="GD26" i="3"/>
  <c r="GC26" i="3"/>
  <c r="GB26" i="3"/>
  <c r="GA26" i="3"/>
  <c r="FZ26" i="3"/>
  <c r="FY26" i="3"/>
  <c r="FX26" i="3"/>
  <c r="FU26" i="3"/>
  <c r="FT26" i="3"/>
  <c r="FS26" i="3"/>
  <c r="FR26" i="3"/>
  <c r="FP26" i="3"/>
  <c r="FN26" i="3"/>
  <c r="FL26" i="3"/>
  <c r="FK26" i="3"/>
  <c r="FI26" i="3"/>
  <c r="FH26" i="3"/>
  <c r="FG26" i="3"/>
  <c r="FE26" i="3"/>
  <c r="FD26" i="3"/>
  <c r="FC26" i="3"/>
  <c r="FB26" i="3"/>
  <c r="EZ26" i="3"/>
  <c r="EY26" i="3"/>
  <c r="EX26" i="3"/>
  <c r="EW26" i="3"/>
  <c r="EV26" i="3"/>
  <c r="EU26" i="3"/>
  <c r="ET26" i="3"/>
  <c r="ER26" i="3"/>
  <c r="EQ26" i="3"/>
  <c r="EP26" i="3"/>
  <c r="EO26" i="3"/>
  <c r="EN26" i="3"/>
  <c r="EM26" i="3"/>
  <c r="EL26" i="3"/>
  <c r="EK26" i="3"/>
  <c r="EJ26" i="3"/>
  <c r="EI26" i="3"/>
  <c r="EH26" i="3"/>
  <c r="EF26" i="3"/>
  <c r="EE26" i="3"/>
  <c r="ED26" i="3"/>
  <c r="EC26" i="3"/>
  <c r="EB26" i="3"/>
  <c r="EA26" i="3"/>
  <c r="DZ26" i="3"/>
  <c r="DY26" i="3"/>
  <c r="DX26" i="3"/>
  <c r="DW26" i="3"/>
  <c r="DV26" i="3"/>
  <c r="DU26" i="3"/>
  <c r="DR26" i="3"/>
  <c r="DQ26" i="3"/>
  <c r="DP26" i="3"/>
  <c r="DO26" i="3"/>
  <c r="DN26" i="3"/>
  <c r="DM26" i="3"/>
  <c r="DL26" i="3"/>
  <c r="DJ26" i="3"/>
  <c r="DI26" i="3"/>
  <c r="DH26" i="3"/>
  <c r="DG26" i="3"/>
  <c r="DF26" i="3"/>
  <c r="DE26" i="3"/>
  <c r="DD26" i="3"/>
  <c r="DC26" i="3"/>
  <c r="DB26" i="3"/>
  <c r="DA26" i="3"/>
  <c r="CZ26" i="3"/>
  <c r="CY26" i="3"/>
  <c r="CX26" i="3"/>
  <c r="CT26" i="3"/>
  <c r="CS26" i="3"/>
  <c r="CJ26" i="3"/>
  <c r="CC26" i="3"/>
  <c r="CB26" i="3"/>
  <c r="CA26" i="3"/>
  <c r="BZ26" i="3"/>
  <c r="BY26" i="3"/>
  <c r="BX26" i="3"/>
  <c r="BW26" i="3"/>
  <c r="BO26" i="3"/>
  <c r="BM26" i="3"/>
  <c r="BL26" i="3"/>
  <c r="BK26" i="3"/>
  <c r="BJ26" i="3"/>
  <c r="BI26" i="3"/>
  <c r="BH26" i="3"/>
  <c r="BG26" i="3"/>
  <c r="BF26" i="3"/>
  <c r="BE26" i="3"/>
  <c r="BD26" i="3"/>
  <c r="BC26" i="3"/>
  <c r="BB26" i="3"/>
  <c r="BA26" i="3"/>
  <c r="AZ26" i="3"/>
  <c r="AY26" i="3"/>
  <c r="AX26" i="3"/>
  <c r="AW26" i="3"/>
  <c r="AU26" i="3"/>
  <c r="AT26" i="3"/>
  <c r="AR26" i="3"/>
  <c r="AQ26" i="3"/>
  <c r="AO26" i="3"/>
  <c r="AN26" i="3"/>
  <c r="AM26" i="3"/>
  <c r="AK26" i="3"/>
  <c r="AJ26" i="3"/>
  <c r="AI26" i="3"/>
  <c r="AG26" i="3"/>
  <c r="AF26" i="3"/>
  <c r="AE26" i="3"/>
  <c r="N26" i="3"/>
  <c r="M26" i="3"/>
  <c r="L26" i="3"/>
  <c r="K26" i="3"/>
  <c r="J26" i="3"/>
  <c r="I26" i="3"/>
  <c r="D26" i="3"/>
  <c r="C26" i="3"/>
  <c r="GH25" i="3"/>
  <c r="GD25" i="3"/>
  <c r="GC25" i="3"/>
  <c r="GB25" i="3"/>
  <c r="GA25" i="3"/>
  <c r="FZ25" i="3"/>
  <c r="FY25" i="3"/>
  <c r="FX25" i="3"/>
  <c r="FU25" i="3"/>
  <c r="FS25" i="3"/>
  <c r="FR25" i="3"/>
  <c r="FP25" i="3"/>
  <c r="FO25" i="3"/>
  <c r="FN25" i="3"/>
  <c r="FM25" i="3"/>
  <c r="FL25" i="3"/>
  <c r="FK25" i="3"/>
  <c r="FI25" i="3"/>
  <c r="FH25" i="3"/>
  <c r="FG25" i="3"/>
  <c r="FE25" i="3"/>
  <c r="FD25" i="3"/>
  <c r="FC25" i="3"/>
  <c r="FB25" i="3"/>
  <c r="EZ25" i="3"/>
  <c r="EW25" i="3"/>
  <c r="EV25" i="3"/>
  <c r="EU25" i="3"/>
  <c r="ET25" i="3"/>
  <c r="ER25" i="3"/>
  <c r="EQ25" i="3"/>
  <c r="EP25" i="3"/>
  <c r="EO25" i="3"/>
  <c r="EN25" i="3"/>
  <c r="EM25" i="3"/>
  <c r="EL25" i="3"/>
  <c r="EK25" i="3"/>
  <c r="EJ25" i="3"/>
  <c r="EI25" i="3"/>
  <c r="EH25" i="3"/>
  <c r="EF25" i="3"/>
  <c r="EE25" i="3"/>
  <c r="ED25" i="3"/>
  <c r="EC25" i="3"/>
  <c r="EB25" i="3"/>
  <c r="EA25" i="3"/>
  <c r="DZ25" i="3"/>
  <c r="DY25" i="3"/>
  <c r="DX25" i="3"/>
  <c r="DW25" i="3"/>
  <c r="DV25" i="3"/>
  <c r="DU25" i="3"/>
  <c r="DR25" i="3"/>
  <c r="DQ25" i="3"/>
  <c r="DP25" i="3"/>
  <c r="DO25" i="3"/>
  <c r="DM25" i="3"/>
  <c r="DL25" i="3"/>
  <c r="DJ25" i="3"/>
  <c r="DI25" i="3"/>
  <c r="DH25" i="3"/>
  <c r="DG25" i="3"/>
  <c r="DF25" i="3"/>
  <c r="DC25" i="3"/>
  <c r="DB25" i="3"/>
  <c r="DA25" i="3"/>
  <c r="CZ25" i="3"/>
  <c r="CY25" i="3"/>
  <c r="CX25" i="3"/>
  <c r="CS25" i="3"/>
  <c r="CJ25" i="3"/>
  <c r="CE25" i="3"/>
  <c r="CD25" i="3"/>
  <c r="CC25" i="3"/>
  <c r="CB25" i="3"/>
  <c r="CA25" i="3"/>
  <c r="BZ25" i="3"/>
  <c r="BY25" i="3"/>
  <c r="BX25" i="3"/>
  <c r="BW25" i="3"/>
  <c r="BT25" i="3"/>
  <c r="BS25" i="3"/>
  <c r="BR25" i="3"/>
  <c r="BQ25" i="3"/>
  <c r="BP25" i="3"/>
  <c r="BO25" i="3"/>
  <c r="BM25" i="3"/>
  <c r="BL25" i="3"/>
  <c r="BK25" i="3"/>
  <c r="BJ25" i="3"/>
  <c r="BI25" i="3"/>
  <c r="BH25" i="3"/>
  <c r="BG25" i="3"/>
  <c r="BF25" i="3"/>
  <c r="BE25" i="3"/>
  <c r="BD25" i="3"/>
  <c r="BC25" i="3"/>
  <c r="BB25" i="3"/>
  <c r="BA25" i="3"/>
  <c r="AZ25" i="3"/>
  <c r="AY25" i="3"/>
  <c r="AX25" i="3"/>
  <c r="AW25" i="3"/>
  <c r="AM25" i="3"/>
  <c r="AL25" i="3"/>
  <c r="AK25" i="3"/>
  <c r="AJ25" i="3"/>
  <c r="AI25" i="3"/>
  <c r="AG25" i="3"/>
  <c r="AF25" i="3"/>
  <c r="AE25" i="3"/>
  <c r="AC25" i="3"/>
  <c r="AB25" i="3"/>
  <c r="AA25" i="3"/>
  <c r="Z25" i="3"/>
  <c r="X25" i="3"/>
  <c r="W25" i="3"/>
  <c r="V25" i="3"/>
  <c r="U25" i="3"/>
  <c r="T25" i="3"/>
  <c r="S25" i="3"/>
  <c r="R25" i="3"/>
  <c r="Q25" i="3"/>
  <c r="O25" i="3"/>
  <c r="N25" i="3"/>
  <c r="M25" i="3"/>
  <c r="L25" i="3"/>
  <c r="K25" i="3"/>
  <c r="J25" i="3"/>
  <c r="I25" i="3"/>
  <c r="D25" i="3"/>
  <c r="C25" i="3"/>
  <c r="GH24" i="3"/>
  <c r="GG24" i="3"/>
  <c r="GD24" i="3"/>
  <c r="GC24" i="3"/>
  <c r="GB24" i="3"/>
  <c r="GA24" i="3"/>
  <c r="FZ24" i="3"/>
  <c r="FY24" i="3"/>
  <c r="FX24" i="3"/>
  <c r="FU24" i="3"/>
  <c r="FT24" i="3"/>
  <c r="FS24" i="3"/>
  <c r="FR24" i="3"/>
  <c r="FP24" i="3"/>
  <c r="FO24" i="3"/>
  <c r="FN24" i="3"/>
  <c r="FM24" i="3"/>
  <c r="FL24" i="3"/>
  <c r="FK24" i="3"/>
  <c r="FI24" i="3"/>
  <c r="FH24" i="3"/>
  <c r="FG24" i="3"/>
  <c r="FE24" i="3"/>
  <c r="FD24" i="3"/>
  <c r="FC24" i="3"/>
  <c r="FB24" i="3"/>
  <c r="EZ24" i="3"/>
  <c r="EY24" i="3"/>
  <c r="EX24" i="3"/>
  <c r="EW24" i="3"/>
  <c r="EV24" i="3"/>
  <c r="EU24" i="3"/>
  <c r="ET24" i="3"/>
  <c r="ER24" i="3"/>
  <c r="EQ24" i="3"/>
  <c r="EP24" i="3"/>
  <c r="EO24" i="3"/>
  <c r="EN24" i="3"/>
  <c r="EM24" i="3"/>
  <c r="EL24" i="3"/>
  <c r="EK24" i="3"/>
  <c r="EJ24" i="3"/>
  <c r="EI24" i="3"/>
  <c r="EH24" i="3"/>
  <c r="EF24" i="3"/>
  <c r="EE24" i="3"/>
  <c r="ED24" i="3"/>
  <c r="EC24" i="3"/>
  <c r="EB24" i="3"/>
  <c r="EA24" i="3"/>
  <c r="DZ24" i="3"/>
  <c r="DY24" i="3"/>
  <c r="DX24" i="3"/>
  <c r="DW24" i="3"/>
  <c r="DV24" i="3"/>
  <c r="DU24" i="3"/>
  <c r="DR24" i="3"/>
  <c r="DQ24" i="3"/>
  <c r="DP24" i="3"/>
  <c r="DO24" i="3"/>
  <c r="DN24" i="3"/>
  <c r="DM24" i="3"/>
  <c r="DL24" i="3"/>
  <c r="DJ24" i="3"/>
  <c r="DI24" i="3"/>
  <c r="DH24" i="3"/>
  <c r="DG24" i="3"/>
  <c r="DF24" i="3"/>
  <c r="DC24" i="3"/>
  <c r="DB24" i="3"/>
  <c r="DA24" i="3"/>
  <c r="CZ24" i="3"/>
  <c r="CY24" i="3"/>
  <c r="CX24" i="3"/>
  <c r="CT24" i="3"/>
  <c r="CS24" i="3"/>
  <c r="CJ24" i="3"/>
  <c r="CA24" i="3"/>
  <c r="BZ24" i="3"/>
  <c r="BY24" i="3"/>
  <c r="BX24" i="3"/>
  <c r="BW24" i="3"/>
  <c r="BT24" i="3"/>
  <c r="BS24" i="3"/>
  <c r="BR24" i="3"/>
  <c r="BQ24" i="3"/>
  <c r="BP24" i="3"/>
  <c r="BO24" i="3"/>
  <c r="BM24" i="3"/>
  <c r="BL24" i="3"/>
  <c r="BK24" i="3"/>
  <c r="BJ24" i="3"/>
  <c r="BI24" i="3"/>
  <c r="BG24" i="3"/>
  <c r="BF24" i="3"/>
  <c r="BE24" i="3"/>
  <c r="BD24" i="3"/>
  <c r="BC24" i="3"/>
  <c r="BB24" i="3"/>
  <c r="BA24" i="3"/>
  <c r="AZ24" i="3"/>
  <c r="AY24" i="3"/>
  <c r="AX24" i="3"/>
  <c r="AW24" i="3"/>
  <c r="AT24" i="3"/>
  <c r="AS24" i="3"/>
  <c r="AR24" i="3"/>
  <c r="AQ24" i="3"/>
  <c r="AO24" i="3"/>
  <c r="AN24" i="3"/>
  <c r="AM24" i="3"/>
  <c r="AL24" i="3"/>
  <c r="AK24" i="3"/>
  <c r="AJ24" i="3"/>
  <c r="AI24" i="3"/>
  <c r="AG24" i="3"/>
  <c r="AF24" i="3"/>
  <c r="AE24" i="3"/>
  <c r="AC24" i="3"/>
  <c r="AB24" i="3"/>
  <c r="AA24" i="3"/>
  <c r="Z24" i="3"/>
  <c r="X24" i="3"/>
  <c r="W24" i="3"/>
  <c r="V24" i="3"/>
  <c r="U24" i="3"/>
  <c r="T24" i="3"/>
  <c r="S24" i="3"/>
  <c r="R24" i="3"/>
  <c r="Q24" i="3"/>
  <c r="O24" i="3"/>
  <c r="N24" i="3"/>
  <c r="M24" i="3"/>
  <c r="L24" i="3"/>
  <c r="K24" i="3"/>
  <c r="J24" i="3"/>
  <c r="I24" i="3"/>
  <c r="D24" i="3"/>
  <c r="C24" i="3"/>
  <c r="GH23" i="3"/>
  <c r="GG23" i="3"/>
  <c r="GD23" i="3"/>
  <c r="GC23" i="3"/>
  <c r="GB23" i="3"/>
  <c r="GA23" i="3"/>
  <c r="FZ23" i="3"/>
  <c r="FY23" i="3"/>
  <c r="FX23" i="3"/>
  <c r="FU23" i="3"/>
  <c r="FT23" i="3"/>
  <c r="FS23" i="3"/>
  <c r="FR23" i="3"/>
  <c r="FP23" i="3"/>
  <c r="FO23" i="3"/>
  <c r="FN23" i="3"/>
  <c r="FM23" i="3"/>
  <c r="FL23" i="3"/>
  <c r="FK23" i="3"/>
  <c r="FI23" i="3"/>
  <c r="FH23" i="3"/>
  <c r="FG23" i="3"/>
  <c r="FE23" i="3"/>
  <c r="FD23" i="3"/>
  <c r="FC23" i="3"/>
  <c r="FB23" i="3"/>
  <c r="EZ23" i="3"/>
  <c r="EV23" i="3"/>
  <c r="EU23" i="3"/>
  <c r="ET23" i="3"/>
  <c r="ER23" i="3"/>
  <c r="EQ23" i="3"/>
  <c r="EP23" i="3"/>
  <c r="EO23" i="3"/>
  <c r="EN23" i="3"/>
  <c r="EM23" i="3"/>
  <c r="EL23" i="3"/>
  <c r="EK23" i="3"/>
  <c r="EJ23" i="3"/>
  <c r="EI23" i="3"/>
  <c r="EH23" i="3"/>
  <c r="EF23" i="3"/>
  <c r="EE23" i="3"/>
  <c r="ED23" i="3"/>
  <c r="EC23" i="3"/>
  <c r="EB23" i="3"/>
  <c r="EA23" i="3"/>
  <c r="DZ23" i="3"/>
  <c r="DY23" i="3"/>
  <c r="DX23" i="3"/>
  <c r="DW23" i="3"/>
  <c r="DV23" i="3"/>
  <c r="DU23" i="3"/>
  <c r="DR23" i="3"/>
  <c r="DQ23" i="3"/>
  <c r="DP23" i="3"/>
  <c r="DO23" i="3"/>
  <c r="DN23" i="3"/>
  <c r="DM23" i="3"/>
  <c r="DL23" i="3"/>
  <c r="DJ23" i="3"/>
  <c r="DI23" i="3"/>
  <c r="DH23" i="3"/>
  <c r="DG23" i="3"/>
  <c r="DF23" i="3"/>
  <c r="DC23" i="3"/>
  <c r="DB23" i="3"/>
  <c r="DA23" i="3"/>
  <c r="CZ23" i="3"/>
  <c r="CY23" i="3"/>
  <c r="CX23" i="3"/>
  <c r="CT23" i="3"/>
  <c r="CS23" i="3"/>
  <c r="CJ23" i="3"/>
  <c r="CA23" i="3"/>
  <c r="BZ23" i="3"/>
  <c r="BY23" i="3"/>
  <c r="BX23" i="3"/>
  <c r="BW23" i="3"/>
  <c r="BT23" i="3"/>
  <c r="BS23" i="3"/>
  <c r="BR23" i="3"/>
  <c r="BQ23" i="3"/>
  <c r="BP23" i="3"/>
  <c r="BO23" i="3"/>
  <c r="BM23" i="3"/>
  <c r="BL23" i="3"/>
  <c r="BK23" i="3"/>
  <c r="BJ23" i="3"/>
  <c r="BI23" i="3"/>
  <c r="BH23" i="3"/>
  <c r="BG23" i="3"/>
  <c r="BF23" i="3"/>
  <c r="BE23" i="3"/>
  <c r="BD23" i="3"/>
  <c r="BC23" i="3"/>
  <c r="BB23" i="3"/>
  <c r="BA23" i="3"/>
  <c r="AZ23" i="3"/>
  <c r="AY23" i="3"/>
  <c r="AX23" i="3"/>
  <c r="AW23" i="3"/>
  <c r="AT23" i="3"/>
  <c r="AS23" i="3"/>
  <c r="AR23" i="3"/>
  <c r="AQ23" i="3"/>
  <c r="AO23" i="3"/>
  <c r="AN23" i="3"/>
  <c r="AM23" i="3"/>
  <c r="AL23" i="3"/>
  <c r="AK23" i="3"/>
  <c r="AJ23" i="3"/>
  <c r="AI23" i="3"/>
  <c r="AG23" i="3"/>
  <c r="AF23" i="3"/>
  <c r="AE23" i="3"/>
  <c r="AA23" i="3"/>
  <c r="Z23" i="3"/>
  <c r="X23" i="3"/>
  <c r="W23" i="3"/>
  <c r="V23" i="3"/>
  <c r="U23" i="3"/>
  <c r="T23" i="3"/>
  <c r="S23" i="3"/>
  <c r="R23" i="3"/>
  <c r="Q23" i="3"/>
  <c r="O23" i="3"/>
  <c r="N23" i="3"/>
  <c r="M23" i="3"/>
  <c r="L23" i="3"/>
  <c r="K23" i="3"/>
  <c r="J23" i="3"/>
  <c r="I23" i="3"/>
  <c r="D23" i="3"/>
  <c r="C23" i="3"/>
  <c r="GH22" i="3"/>
  <c r="GG22" i="3"/>
  <c r="GD22" i="3"/>
  <c r="GC22" i="3"/>
  <c r="GB22" i="3"/>
  <c r="GA22" i="3"/>
  <c r="FZ22" i="3"/>
  <c r="FY22" i="3"/>
  <c r="FX22" i="3"/>
  <c r="FU22" i="3"/>
  <c r="FT22" i="3"/>
  <c r="FS22" i="3"/>
  <c r="FR22" i="3"/>
  <c r="FP22" i="3"/>
  <c r="FO22" i="3"/>
  <c r="FN22" i="3"/>
  <c r="FM22" i="3"/>
  <c r="FL22" i="3"/>
  <c r="FK22" i="3"/>
  <c r="FI22" i="3"/>
  <c r="FH22" i="3"/>
  <c r="FG22" i="3"/>
  <c r="FE22" i="3"/>
  <c r="FD22" i="3"/>
  <c r="FC22" i="3"/>
  <c r="FB22" i="3"/>
  <c r="EZ22" i="3"/>
  <c r="EU22" i="3"/>
  <c r="ET22" i="3"/>
  <c r="ER22" i="3"/>
  <c r="EP22" i="3"/>
  <c r="EO22" i="3"/>
  <c r="EL22" i="3"/>
  <c r="EK22" i="3"/>
  <c r="EJ22" i="3"/>
  <c r="EI22" i="3"/>
  <c r="EH22" i="3"/>
  <c r="EF22" i="3"/>
  <c r="EE22" i="3"/>
  <c r="ED22" i="3"/>
  <c r="EC22" i="3"/>
  <c r="EB22" i="3"/>
  <c r="EA22" i="3"/>
  <c r="DZ22" i="3"/>
  <c r="DY22" i="3"/>
  <c r="DX22" i="3"/>
  <c r="DW22" i="3"/>
  <c r="DV22" i="3"/>
  <c r="DU22" i="3"/>
  <c r="DR22" i="3"/>
  <c r="DQ22" i="3"/>
  <c r="DP22" i="3"/>
  <c r="DO22" i="3"/>
  <c r="DN22" i="3"/>
  <c r="DM22" i="3"/>
  <c r="DL22" i="3"/>
  <c r="DJ22" i="3"/>
  <c r="DI22" i="3"/>
  <c r="DH22" i="3"/>
  <c r="DG22" i="3"/>
  <c r="DF22" i="3"/>
  <c r="DC22" i="3"/>
  <c r="DB22" i="3"/>
  <c r="DA22" i="3"/>
  <c r="CZ22" i="3"/>
  <c r="CY22" i="3"/>
  <c r="CX22" i="3"/>
  <c r="CT22" i="3"/>
  <c r="CS22" i="3"/>
  <c r="CJ22" i="3"/>
  <c r="CC22" i="3"/>
  <c r="CB22" i="3"/>
  <c r="CA22" i="3"/>
  <c r="BZ22" i="3"/>
  <c r="BY22" i="3"/>
  <c r="BX22" i="3"/>
  <c r="BW22" i="3"/>
  <c r="BT22" i="3"/>
  <c r="BS22" i="3"/>
  <c r="BR22" i="3"/>
  <c r="BQ22" i="3"/>
  <c r="BP22" i="3"/>
  <c r="BO22" i="3"/>
  <c r="BM22" i="3"/>
  <c r="BL22" i="3"/>
  <c r="BK22" i="3"/>
  <c r="BJ22" i="3"/>
  <c r="BI22" i="3"/>
  <c r="BH22" i="3"/>
  <c r="BG22" i="3"/>
  <c r="BF22" i="3"/>
  <c r="BE22" i="3"/>
  <c r="BD22" i="3"/>
  <c r="BC22" i="3"/>
  <c r="BB22" i="3"/>
  <c r="BA22" i="3"/>
  <c r="AZ22" i="3"/>
  <c r="AY22" i="3"/>
  <c r="AX22" i="3"/>
  <c r="AW22" i="3"/>
  <c r="AU22" i="3"/>
  <c r="AT22" i="3"/>
  <c r="AR22" i="3"/>
  <c r="AQ22" i="3"/>
  <c r="AO22" i="3"/>
  <c r="AN22" i="3"/>
  <c r="AM22" i="3"/>
  <c r="AL22" i="3"/>
  <c r="AK22" i="3"/>
  <c r="AJ22" i="3"/>
  <c r="AI22" i="3"/>
  <c r="AG22" i="3"/>
  <c r="AF22" i="3"/>
  <c r="AE22" i="3"/>
  <c r="AC22" i="3"/>
  <c r="AB22" i="3"/>
  <c r="AA22" i="3"/>
  <c r="Z22" i="3"/>
  <c r="X22" i="3"/>
  <c r="W22" i="3"/>
  <c r="V22" i="3"/>
  <c r="U22" i="3"/>
  <c r="T22" i="3"/>
  <c r="S22" i="3"/>
  <c r="R22" i="3"/>
  <c r="Q22" i="3"/>
  <c r="M22" i="3"/>
  <c r="L22" i="3"/>
  <c r="K22" i="3"/>
  <c r="J22" i="3"/>
  <c r="I22" i="3"/>
  <c r="D22" i="3"/>
  <c r="C22" i="3"/>
  <c r="GH21" i="3"/>
  <c r="GG21" i="3"/>
  <c r="GD21" i="3"/>
  <c r="GC21" i="3"/>
  <c r="GB21" i="3"/>
  <c r="GA21" i="3"/>
  <c r="FZ21" i="3"/>
  <c r="FY21" i="3"/>
  <c r="FX21" i="3"/>
  <c r="FU21" i="3"/>
  <c r="FT21" i="3"/>
  <c r="FS21" i="3"/>
  <c r="FR21" i="3"/>
  <c r="FP21" i="3"/>
  <c r="FO21" i="3"/>
  <c r="FN21" i="3"/>
  <c r="FM21" i="3"/>
  <c r="FL21" i="3"/>
  <c r="FK21" i="3"/>
  <c r="FI21" i="3"/>
  <c r="FH21" i="3"/>
  <c r="FG21" i="3"/>
  <c r="FE21" i="3"/>
  <c r="FD21" i="3"/>
  <c r="FC21" i="3"/>
  <c r="FB21" i="3"/>
  <c r="EZ21" i="3"/>
  <c r="EW21" i="3"/>
  <c r="EV21" i="3"/>
  <c r="EU21" i="3"/>
  <c r="ET21" i="3"/>
  <c r="ER21" i="3"/>
  <c r="EQ21" i="3"/>
  <c r="EP21" i="3"/>
  <c r="EO21" i="3"/>
  <c r="EN21" i="3"/>
  <c r="EM21" i="3"/>
  <c r="EL21" i="3"/>
  <c r="EK21" i="3"/>
  <c r="EJ21" i="3"/>
  <c r="EI21" i="3"/>
  <c r="EH21" i="3"/>
  <c r="EF21" i="3"/>
  <c r="EE21" i="3"/>
  <c r="ED21" i="3"/>
  <c r="EC21" i="3"/>
  <c r="EB21" i="3"/>
  <c r="EA21" i="3"/>
  <c r="DZ21" i="3"/>
  <c r="DY21" i="3"/>
  <c r="DX21" i="3"/>
  <c r="DW21" i="3"/>
  <c r="DV21" i="3"/>
  <c r="DU21" i="3"/>
  <c r="DR21" i="3"/>
  <c r="DQ21" i="3"/>
  <c r="DP21" i="3"/>
  <c r="DO21" i="3"/>
  <c r="DN21" i="3"/>
  <c r="DM21" i="3"/>
  <c r="DL21" i="3"/>
  <c r="DJ21" i="3"/>
  <c r="DC21" i="3"/>
  <c r="DB21" i="3"/>
  <c r="DA21" i="3"/>
  <c r="CZ21" i="3"/>
  <c r="CY21" i="3"/>
  <c r="CX21" i="3"/>
  <c r="CT21" i="3"/>
  <c r="CS21" i="3"/>
  <c r="CJ21" i="3"/>
  <c r="CA21" i="3"/>
  <c r="BZ21" i="3"/>
  <c r="BY21" i="3"/>
  <c r="BX21" i="3"/>
  <c r="BW21" i="3"/>
  <c r="BT21" i="3"/>
  <c r="BS21" i="3"/>
  <c r="BR21" i="3"/>
  <c r="BQ21" i="3"/>
  <c r="BP21" i="3"/>
  <c r="BO21" i="3"/>
  <c r="BM21" i="3"/>
  <c r="BL21" i="3"/>
  <c r="BK21" i="3"/>
  <c r="BJ21" i="3"/>
  <c r="BI21" i="3"/>
  <c r="BH21" i="3"/>
  <c r="BG21" i="3"/>
  <c r="BF21" i="3"/>
  <c r="BE21" i="3"/>
  <c r="BD21" i="3"/>
  <c r="BC21" i="3"/>
  <c r="BB21" i="3"/>
  <c r="BA21" i="3"/>
  <c r="AZ21" i="3"/>
  <c r="AY21" i="3"/>
  <c r="AX21" i="3"/>
  <c r="AW21" i="3"/>
  <c r="AM21" i="3"/>
  <c r="AL21" i="3"/>
  <c r="AK21" i="3"/>
  <c r="AJ21" i="3"/>
  <c r="AI21" i="3"/>
  <c r="AG21" i="3"/>
  <c r="AF21" i="3"/>
  <c r="AE21" i="3"/>
  <c r="AC21" i="3"/>
  <c r="AB21" i="3"/>
  <c r="AA21" i="3"/>
  <c r="Z21" i="3"/>
  <c r="X21" i="3"/>
  <c r="W21" i="3"/>
  <c r="V21" i="3"/>
  <c r="U21" i="3"/>
  <c r="T21" i="3"/>
  <c r="S21" i="3"/>
  <c r="R21" i="3"/>
  <c r="Q21" i="3"/>
  <c r="M21" i="3"/>
  <c r="L21" i="3"/>
  <c r="K21" i="3"/>
  <c r="J21" i="3"/>
  <c r="I21" i="3"/>
  <c r="D21" i="3"/>
  <c r="C21" i="3"/>
  <c r="GH20" i="3"/>
  <c r="GG20" i="3"/>
  <c r="GD20" i="3"/>
  <c r="GC20" i="3"/>
  <c r="GB20" i="3"/>
  <c r="GA20" i="3"/>
  <c r="FZ20" i="3"/>
  <c r="FY20" i="3"/>
  <c r="FX20" i="3"/>
  <c r="FU20" i="3"/>
  <c r="FT20" i="3"/>
  <c r="FS20" i="3"/>
  <c r="FR20" i="3"/>
  <c r="FP20" i="3"/>
  <c r="FO20" i="3"/>
  <c r="FN20" i="3"/>
  <c r="FM20" i="3"/>
  <c r="FL20" i="3"/>
  <c r="FK20" i="3"/>
  <c r="FI20" i="3"/>
  <c r="FH20" i="3"/>
  <c r="FG20" i="3"/>
  <c r="FE20" i="3"/>
  <c r="FD20" i="3"/>
  <c r="FC20" i="3"/>
  <c r="FB20" i="3"/>
  <c r="EZ20" i="3"/>
  <c r="EW20" i="3"/>
  <c r="EV20" i="3"/>
  <c r="EU20" i="3"/>
  <c r="ET20" i="3"/>
  <c r="ER20" i="3"/>
  <c r="EQ20" i="3"/>
  <c r="EP20" i="3"/>
  <c r="EO20" i="3"/>
  <c r="EN20" i="3"/>
  <c r="EM20" i="3"/>
  <c r="EL20" i="3"/>
  <c r="EK20" i="3"/>
  <c r="EJ20" i="3"/>
  <c r="EI20" i="3"/>
  <c r="EH20" i="3"/>
  <c r="EF20" i="3"/>
  <c r="EE20" i="3"/>
  <c r="ED20" i="3"/>
  <c r="EC20" i="3"/>
  <c r="EB20" i="3"/>
  <c r="EA20" i="3"/>
  <c r="DZ20" i="3"/>
  <c r="DY20" i="3"/>
  <c r="DX20" i="3"/>
  <c r="DW20" i="3"/>
  <c r="DV20" i="3"/>
  <c r="DU20" i="3"/>
  <c r="DR20" i="3"/>
  <c r="DQ20" i="3"/>
  <c r="DP20" i="3"/>
  <c r="DO20" i="3"/>
  <c r="DM20" i="3"/>
  <c r="DL20" i="3"/>
  <c r="DJ20" i="3"/>
  <c r="DI20" i="3"/>
  <c r="DH20" i="3"/>
  <c r="DG20" i="3"/>
  <c r="DF20" i="3"/>
  <c r="DE20" i="3"/>
  <c r="DD20" i="3"/>
  <c r="DC20" i="3"/>
  <c r="DB20" i="3"/>
  <c r="DA20" i="3"/>
  <c r="CZ20" i="3"/>
  <c r="CY20" i="3"/>
  <c r="CX20" i="3"/>
  <c r="CT20" i="3"/>
  <c r="CS20" i="3"/>
  <c r="CJ20" i="3"/>
  <c r="CE20" i="3"/>
  <c r="CD20" i="3"/>
  <c r="CC20" i="3"/>
  <c r="CB20" i="3"/>
  <c r="CA20" i="3"/>
  <c r="BZ20" i="3"/>
  <c r="BY20" i="3"/>
  <c r="BX20" i="3"/>
  <c r="BW20" i="3"/>
  <c r="AU20" i="3"/>
  <c r="AT20" i="3"/>
  <c r="AR20" i="3"/>
  <c r="AQ20" i="3"/>
  <c r="AO20" i="3"/>
  <c r="AN20" i="3"/>
  <c r="AM20" i="3"/>
  <c r="AL20" i="3"/>
  <c r="AJ20" i="3"/>
  <c r="AI20" i="3"/>
  <c r="AG20" i="3"/>
  <c r="AF20" i="3"/>
  <c r="AE20" i="3"/>
  <c r="W20" i="3"/>
  <c r="V20" i="3"/>
  <c r="U20" i="3"/>
  <c r="T20" i="3"/>
  <c r="S20" i="3"/>
  <c r="R20" i="3"/>
  <c r="Q20" i="3"/>
  <c r="M20" i="3"/>
  <c r="L20" i="3"/>
  <c r="K20" i="3"/>
  <c r="J20" i="3"/>
  <c r="I20" i="3"/>
  <c r="D20" i="3"/>
  <c r="C20" i="3"/>
  <c r="GH19" i="3"/>
  <c r="GG19" i="3"/>
  <c r="FU19" i="3"/>
  <c r="FT19" i="3"/>
  <c r="FS19" i="3"/>
  <c r="FR19" i="3"/>
  <c r="FP19" i="3"/>
  <c r="FO19" i="3"/>
  <c r="FN19" i="3"/>
  <c r="FM19" i="3"/>
  <c r="FL19" i="3"/>
  <c r="FK19" i="3"/>
  <c r="FI19" i="3"/>
  <c r="FH19" i="3"/>
  <c r="FG19" i="3"/>
  <c r="FE19" i="3"/>
  <c r="FD19" i="3"/>
  <c r="FC19" i="3"/>
  <c r="FB19" i="3"/>
  <c r="EZ19" i="3"/>
  <c r="EW19" i="3"/>
  <c r="EV19" i="3"/>
  <c r="EU19" i="3"/>
  <c r="ET19" i="3"/>
  <c r="ER19" i="3"/>
  <c r="EQ19" i="3"/>
  <c r="EP19" i="3"/>
  <c r="EO19" i="3"/>
  <c r="EN19" i="3"/>
  <c r="EM19" i="3"/>
  <c r="EL19" i="3"/>
  <c r="EK19" i="3"/>
  <c r="EJ19" i="3"/>
  <c r="EI19" i="3"/>
  <c r="EH19" i="3"/>
  <c r="EF19" i="3"/>
  <c r="EE19" i="3"/>
  <c r="ED19" i="3"/>
  <c r="EC19" i="3"/>
  <c r="EB19" i="3"/>
  <c r="EA19" i="3"/>
  <c r="DZ19" i="3"/>
  <c r="DY19" i="3"/>
  <c r="DX19" i="3"/>
  <c r="DW19" i="3"/>
  <c r="DV19" i="3"/>
  <c r="DU19" i="3"/>
  <c r="DR19" i="3"/>
  <c r="DQ19" i="3"/>
  <c r="DP19" i="3"/>
  <c r="DO19" i="3"/>
  <c r="DN19" i="3"/>
  <c r="DM19" i="3"/>
  <c r="DL19" i="3"/>
  <c r="DJ19" i="3"/>
  <c r="DI19" i="3"/>
  <c r="DH19" i="3"/>
  <c r="DG19" i="3"/>
  <c r="DF19" i="3"/>
  <c r="DC19" i="3"/>
  <c r="DB19" i="3"/>
  <c r="DA19" i="3"/>
  <c r="CZ19" i="3"/>
  <c r="CY19" i="3"/>
  <c r="CX19" i="3"/>
  <c r="CT19" i="3"/>
  <c r="CS19" i="3"/>
  <c r="CJ19" i="3"/>
  <c r="CC19" i="3"/>
  <c r="CB19" i="3"/>
  <c r="CA19" i="3"/>
  <c r="BZ19" i="3"/>
  <c r="BY19" i="3"/>
  <c r="BX19" i="3"/>
  <c r="BW19" i="3"/>
  <c r="BT19" i="3"/>
  <c r="BS19" i="3"/>
  <c r="BR19" i="3"/>
  <c r="BQ19" i="3"/>
  <c r="BP19" i="3"/>
  <c r="BO19" i="3"/>
  <c r="BM19" i="3"/>
  <c r="BL19" i="3"/>
  <c r="BK19" i="3"/>
  <c r="BJ19" i="3"/>
  <c r="BI19" i="3"/>
  <c r="BH19" i="3"/>
  <c r="BG19" i="3"/>
  <c r="BF19" i="3"/>
  <c r="BE19" i="3"/>
  <c r="BD19" i="3"/>
  <c r="BC19" i="3"/>
  <c r="BB19" i="3"/>
  <c r="BA19" i="3"/>
  <c r="AZ19" i="3"/>
  <c r="AY19" i="3"/>
  <c r="AX19" i="3"/>
  <c r="AW19" i="3"/>
  <c r="AM19" i="3"/>
  <c r="AL19" i="3"/>
  <c r="AK19" i="3"/>
  <c r="AJ19" i="3"/>
  <c r="AI19" i="3"/>
  <c r="AG19" i="3"/>
  <c r="AF19" i="3"/>
  <c r="AE19" i="3"/>
  <c r="AC19" i="3"/>
  <c r="AB19" i="3"/>
  <c r="AA19" i="3"/>
  <c r="Z19" i="3"/>
  <c r="X19" i="3"/>
  <c r="W19" i="3"/>
  <c r="V19" i="3"/>
  <c r="U19" i="3"/>
  <c r="T19" i="3"/>
  <c r="S19" i="3"/>
  <c r="R19" i="3"/>
  <c r="Q19" i="3"/>
  <c r="O19" i="3"/>
  <c r="N19" i="3"/>
  <c r="M19" i="3"/>
  <c r="L19" i="3"/>
  <c r="K19" i="3"/>
  <c r="J19" i="3"/>
  <c r="I19" i="3"/>
  <c r="D19" i="3"/>
  <c r="C19" i="3"/>
  <c r="GH18" i="3"/>
  <c r="GG18" i="3"/>
  <c r="GD18" i="3"/>
  <c r="GC18" i="3"/>
  <c r="GB18" i="3"/>
  <c r="GA18" i="3"/>
  <c r="FZ18" i="3"/>
  <c r="FY18" i="3"/>
  <c r="FX18" i="3"/>
  <c r="FU18" i="3"/>
  <c r="FT18" i="3"/>
  <c r="FS18" i="3"/>
  <c r="FR18" i="3"/>
  <c r="FP18" i="3"/>
  <c r="FO18" i="3"/>
  <c r="FN18" i="3"/>
  <c r="FM18" i="3"/>
  <c r="FL18" i="3"/>
  <c r="FK18" i="3"/>
  <c r="FI18" i="3"/>
  <c r="FH18" i="3"/>
  <c r="FG18" i="3"/>
  <c r="FE18" i="3"/>
  <c r="FD18" i="3"/>
  <c r="FC18" i="3"/>
  <c r="FB18" i="3"/>
  <c r="ET18" i="3"/>
  <c r="ER18" i="3"/>
  <c r="EQ18" i="3"/>
  <c r="EP18" i="3"/>
  <c r="EO18" i="3"/>
  <c r="EN18" i="3"/>
  <c r="EM18" i="3"/>
  <c r="EL18" i="3"/>
  <c r="EK18" i="3"/>
  <c r="EJ18" i="3"/>
  <c r="EI18" i="3"/>
  <c r="EH18" i="3"/>
  <c r="EF18" i="3"/>
  <c r="EE18" i="3"/>
  <c r="ED18" i="3"/>
  <c r="EC18" i="3"/>
  <c r="EB18" i="3"/>
  <c r="EA18" i="3"/>
  <c r="DZ18" i="3"/>
  <c r="DY18" i="3"/>
  <c r="DX18" i="3"/>
  <c r="DW18" i="3"/>
  <c r="DV18" i="3"/>
  <c r="DU18" i="3"/>
  <c r="DR18" i="3"/>
  <c r="DQ18" i="3"/>
  <c r="DP18" i="3"/>
  <c r="DO18" i="3"/>
  <c r="DN18" i="3"/>
  <c r="DM18" i="3"/>
  <c r="DL18" i="3"/>
  <c r="DJ18" i="3"/>
  <c r="DI18" i="3"/>
  <c r="DH18" i="3"/>
  <c r="DG18" i="3"/>
  <c r="DF18" i="3"/>
  <c r="DC18" i="3"/>
  <c r="DB18" i="3"/>
  <c r="DA18" i="3"/>
  <c r="CZ18" i="3"/>
  <c r="CY18" i="3"/>
  <c r="CX18" i="3"/>
  <c r="CT18" i="3"/>
  <c r="CS18" i="3"/>
  <c r="CJ18" i="3"/>
  <c r="CA18" i="3"/>
  <c r="BZ18" i="3"/>
  <c r="BY18" i="3"/>
  <c r="BX18" i="3"/>
  <c r="BW18" i="3"/>
  <c r="BT18" i="3"/>
  <c r="BS18" i="3"/>
  <c r="BR18" i="3"/>
  <c r="BQ18" i="3"/>
  <c r="BP18" i="3"/>
  <c r="BO18" i="3"/>
  <c r="BL18" i="3"/>
  <c r="BK18" i="3"/>
  <c r="BJ18" i="3"/>
  <c r="BI18" i="3"/>
  <c r="BH18" i="3"/>
  <c r="BG18" i="3"/>
  <c r="BF18" i="3"/>
  <c r="BE18" i="3"/>
  <c r="BD18" i="3"/>
  <c r="BC18" i="3"/>
  <c r="BB18" i="3"/>
  <c r="BA18" i="3"/>
  <c r="AZ18" i="3"/>
  <c r="AY18" i="3"/>
  <c r="AX18" i="3"/>
  <c r="AW18" i="3"/>
  <c r="AT18" i="3"/>
  <c r="AS18" i="3"/>
  <c r="AR18" i="3"/>
  <c r="AQ18" i="3"/>
  <c r="AO18" i="3"/>
  <c r="AN18" i="3"/>
  <c r="AM18" i="3"/>
  <c r="AL18" i="3"/>
  <c r="AK18" i="3"/>
  <c r="AJ18" i="3"/>
  <c r="AI18" i="3"/>
  <c r="AG18" i="3"/>
  <c r="AF18" i="3"/>
  <c r="AE18" i="3"/>
  <c r="AC18" i="3"/>
  <c r="AB18" i="3"/>
  <c r="AA18" i="3"/>
  <c r="Z18" i="3"/>
  <c r="Y18" i="3"/>
  <c r="X18" i="3"/>
  <c r="W18" i="3"/>
  <c r="V18" i="3"/>
  <c r="U18" i="3"/>
  <c r="T18" i="3"/>
  <c r="S18" i="3"/>
  <c r="R18" i="3"/>
  <c r="Q18" i="3"/>
  <c r="O18" i="3"/>
  <c r="N18" i="3"/>
  <c r="M18" i="3"/>
  <c r="L18" i="3"/>
  <c r="K18" i="3"/>
  <c r="J18" i="3"/>
  <c r="I18" i="3"/>
  <c r="D18" i="3"/>
  <c r="C18" i="3"/>
  <c r="GH17" i="3"/>
  <c r="GG17" i="3"/>
  <c r="GD17" i="3"/>
  <c r="GC17" i="3"/>
  <c r="GB17" i="3"/>
  <c r="GA17" i="3"/>
  <c r="FZ17" i="3"/>
  <c r="FY17" i="3"/>
  <c r="FX17" i="3"/>
  <c r="FU17" i="3"/>
  <c r="FT17" i="3"/>
  <c r="FS17" i="3"/>
  <c r="FR17" i="3"/>
  <c r="FQ17" i="3"/>
  <c r="FP17" i="3"/>
  <c r="FO17" i="3"/>
  <c r="FN17" i="3"/>
  <c r="FM17" i="3"/>
  <c r="FL17" i="3"/>
  <c r="FK17" i="3"/>
  <c r="FI17" i="3"/>
  <c r="FH17" i="3"/>
  <c r="FG17" i="3"/>
  <c r="FE17" i="3"/>
  <c r="FD17" i="3"/>
  <c r="FC17" i="3"/>
  <c r="FB17" i="3"/>
  <c r="EZ17" i="3"/>
  <c r="EW17" i="3"/>
  <c r="EV17" i="3"/>
  <c r="EU17" i="3"/>
  <c r="ET17" i="3"/>
  <c r="ER17" i="3"/>
  <c r="EQ17" i="3"/>
  <c r="EP17" i="3"/>
  <c r="EO17" i="3"/>
  <c r="EN17" i="3"/>
  <c r="EM17" i="3"/>
  <c r="EL17" i="3"/>
  <c r="EK17" i="3"/>
  <c r="EJ17" i="3"/>
  <c r="EI17" i="3"/>
  <c r="EH17" i="3"/>
  <c r="EF17" i="3"/>
  <c r="EE17" i="3"/>
  <c r="ED17" i="3"/>
  <c r="EC17" i="3"/>
  <c r="EB17" i="3"/>
  <c r="EA17" i="3"/>
  <c r="DZ17" i="3"/>
  <c r="DY17" i="3"/>
  <c r="DX17" i="3"/>
  <c r="DW17" i="3"/>
  <c r="DV17" i="3"/>
  <c r="DU17" i="3"/>
  <c r="DR17" i="3"/>
  <c r="DQ17" i="3"/>
  <c r="DP17" i="3"/>
  <c r="DO17" i="3"/>
  <c r="DN17" i="3"/>
  <c r="DM17" i="3"/>
  <c r="DL17" i="3"/>
  <c r="DJ17" i="3"/>
  <c r="DI17" i="3"/>
  <c r="DH17" i="3"/>
  <c r="DG17" i="3"/>
  <c r="DF17" i="3"/>
  <c r="DE17" i="3"/>
  <c r="DD17" i="3"/>
  <c r="DC17" i="3"/>
  <c r="DB17" i="3"/>
  <c r="DA17" i="3"/>
  <c r="CZ17" i="3"/>
  <c r="CY17" i="3"/>
  <c r="CX17" i="3"/>
  <c r="CU17" i="3"/>
  <c r="CT17" i="3"/>
  <c r="CS17" i="3"/>
  <c r="CQ17" i="3"/>
  <c r="CP17" i="3"/>
  <c r="CO17" i="3"/>
  <c r="CL17" i="3"/>
  <c r="CK17" i="3"/>
  <c r="CJ17" i="3"/>
  <c r="CC17" i="3"/>
  <c r="CB17" i="3"/>
  <c r="CA17" i="3"/>
  <c r="BZ17" i="3"/>
  <c r="BY17" i="3"/>
  <c r="BX17" i="3"/>
  <c r="BW17" i="3"/>
  <c r="BT17" i="3"/>
  <c r="BS17" i="3"/>
  <c r="BR17" i="3"/>
  <c r="BQ17" i="3"/>
  <c r="BP17" i="3"/>
  <c r="BO17" i="3"/>
  <c r="BM17" i="3"/>
  <c r="BL17" i="3"/>
  <c r="BK17" i="3"/>
  <c r="BJ17" i="3"/>
  <c r="BI17" i="3"/>
  <c r="BH17" i="3"/>
  <c r="BG17" i="3"/>
  <c r="BF17" i="3"/>
  <c r="BE17" i="3"/>
  <c r="BD17" i="3"/>
  <c r="BC17" i="3"/>
  <c r="BB17" i="3"/>
  <c r="BA17" i="3"/>
  <c r="AZ17" i="3"/>
  <c r="AY17" i="3"/>
  <c r="AX17" i="3"/>
  <c r="AW17" i="3"/>
  <c r="AM17" i="3"/>
  <c r="AL17" i="3"/>
  <c r="AK17" i="3"/>
  <c r="AJ17" i="3"/>
  <c r="AI17" i="3"/>
  <c r="AG17" i="3"/>
  <c r="AF17" i="3"/>
  <c r="AE17" i="3"/>
  <c r="AA17" i="3"/>
  <c r="Z17" i="3"/>
  <c r="X17" i="3"/>
  <c r="W17" i="3"/>
  <c r="V17" i="3"/>
  <c r="R17" i="3"/>
  <c r="Q17" i="3"/>
  <c r="O17" i="3"/>
  <c r="N17" i="3"/>
  <c r="M17" i="3"/>
  <c r="L17" i="3"/>
  <c r="K17" i="3"/>
  <c r="J17" i="3"/>
  <c r="I17" i="3"/>
  <c r="D17" i="3"/>
  <c r="C17" i="3"/>
  <c r="GH16" i="3"/>
  <c r="GG16" i="3"/>
  <c r="GD16" i="3"/>
  <c r="GC16" i="3"/>
  <c r="GB16" i="3"/>
  <c r="GA16" i="3"/>
  <c r="FZ16" i="3"/>
  <c r="FY16" i="3"/>
  <c r="FX16" i="3"/>
  <c r="FU16" i="3"/>
  <c r="FT16" i="3"/>
  <c r="FS16" i="3"/>
  <c r="FR16" i="3"/>
  <c r="FP16" i="3"/>
  <c r="FO16" i="3"/>
  <c r="FN16" i="3"/>
  <c r="FM16" i="3"/>
  <c r="FL16" i="3"/>
  <c r="FK16" i="3"/>
  <c r="FI16" i="3"/>
  <c r="FH16" i="3"/>
  <c r="FG16" i="3"/>
  <c r="FE16" i="3"/>
  <c r="FD16" i="3"/>
  <c r="FC16" i="3"/>
  <c r="FB16" i="3"/>
  <c r="EZ16" i="3"/>
  <c r="EW16" i="3"/>
  <c r="EU16" i="3"/>
  <c r="ET16" i="3"/>
  <c r="ER16" i="3"/>
  <c r="EQ16" i="3"/>
  <c r="EP16" i="3"/>
  <c r="EO16" i="3"/>
  <c r="EN16" i="3"/>
  <c r="EM16" i="3"/>
  <c r="EL16" i="3"/>
  <c r="EK16" i="3"/>
  <c r="EJ16" i="3"/>
  <c r="EI16" i="3"/>
  <c r="EH16" i="3"/>
  <c r="EF16" i="3"/>
  <c r="EE16" i="3"/>
  <c r="ED16" i="3"/>
  <c r="EC16" i="3"/>
  <c r="EB16" i="3"/>
  <c r="EA16" i="3"/>
  <c r="DZ16" i="3"/>
  <c r="DY16" i="3"/>
  <c r="DX16" i="3"/>
  <c r="DW16" i="3"/>
  <c r="DV16" i="3"/>
  <c r="DU16" i="3"/>
  <c r="DR16" i="3"/>
  <c r="DQ16" i="3"/>
  <c r="DP16" i="3"/>
  <c r="DO16" i="3"/>
  <c r="DN16" i="3"/>
  <c r="DM16" i="3"/>
  <c r="DL16" i="3"/>
  <c r="DJ16" i="3"/>
  <c r="DI16" i="3"/>
  <c r="DH16" i="3"/>
  <c r="DG16" i="3"/>
  <c r="DF16" i="3"/>
  <c r="DC16" i="3"/>
  <c r="DB16" i="3"/>
  <c r="DA16" i="3"/>
  <c r="CZ16" i="3"/>
  <c r="CY16" i="3"/>
  <c r="CX16" i="3"/>
  <c r="CT16" i="3"/>
  <c r="CS16" i="3"/>
  <c r="CJ16" i="3"/>
  <c r="CA16" i="3"/>
  <c r="BZ16" i="3"/>
  <c r="BY16" i="3"/>
  <c r="BX16" i="3"/>
  <c r="BW16" i="3"/>
  <c r="BT16" i="3"/>
  <c r="BS16" i="3"/>
  <c r="BQ16" i="3"/>
  <c r="BP16" i="3"/>
  <c r="BO16" i="3"/>
  <c r="BL16" i="3"/>
  <c r="BK16" i="3"/>
  <c r="BJ16" i="3"/>
  <c r="BI16" i="3"/>
  <c r="BH16" i="3"/>
  <c r="BG16" i="3"/>
  <c r="BD16" i="3"/>
  <c r="BC16" i="3"/>
  <c r="BB16" i="3"/>
  <c r="BA16" i="3"/>
  <c r="AZ16" i="3"/>
  <c r="AY16" i="3"/>
  <c r="AX16" i="3"/>
  <c r="AW16" i="3"/>
  <c r="AT16" i="3"/>
  <c r="AR16" i="3"/>
  <c r="AQ16" i="3"/>
  <c r="AO16" i="3"/>
  <c r="AN16" i="3"/>
  <c r="AM16" i="3"/>
  <c r="AL16" i="3"/>
  <c r="AK16" i="3"/>
  <c r="AJ16" i="3"/>
  <c r="AI16" i="3"/>
  <c r="AG16" i="3"/>
  <c r="AF16" i="3"/>
  <c r="AE16" i="3"/>
  <c r="AC16" i="3"/>
  <c r="AB16" i="3"/>
  <c r="AA16" i="3"/>
  <c r="Z16" i="3"/>
  <c r="X16" i="3"/>
  <c r="W16" i="3"/>
  <c r="V16" i="3"/>
  <c r="U16" i="3"/>
  <c r="T16" i="3"/>
  <c r="S16" i="3"/>
  <c r="R16" i="3"/>
  <c r="Q16" i="3"/>
  <c r="O16" i="3"/>
  <c r="N16" i="3"/>
  <c r="M16" i="3"/>
  <c r="L16" i="3"/>
  <c r="K16" i="3"/>
  <c r="J16" i="3"/>
  <c r="I16" i="3"/>
  <c r="D16" i="3"/>
  <c r="C16" i="3"/>
  <c r="GH15" i="3"/>
  <c r="GG15" i="3"/>
  <c r="GD15" i="3"/>
  <c r="GC15" i="3"/>
  <c r="GB15" i="3"/>
  <c r="GA15" i="3"/>
  <c r="FZ15" i="3"/>
  <c r="FY15" i="3"/>
  <c r="FX15" i="3"/>
  <c r="FU15" i="3"/>
  <c r="FT15" i="3"/>
  <c r="FS15" i="3"/>
  <c r="FR15" i="3"/>
  <c r="FP15" i="3"/>
  <c r="FO15" i="3"/>
  <c r="FN15" i="3"/>
  <c r="FM15" i="3"/>
  <c r="FL15" i="3"/>
  <c r="FK15" i="3"/>
  <c r="FI15" i="3"/>
  <c r="FH15" i="3"/>
  <c r="FG15" i="3"/>
  <c r="FE15" i="3"/>
  <c r="FD15" i="3"/>
  <c r="FC15" i="3"/>
  <c r="FB15" i="3"/>
  <c r="EZ15" i="3"/>
  <c r="EU15" i="3"/>
  <c r="ET15" i="3"/>
  <c r="ER15" i="3"/>
  <c r="EQ15" i="3"/>
  <c r="EP15" i="3"/>
  <c r="EO15" i="3"/>
  <c r="EN15" i="3"/>
  <c r="EM15" i="3"/>
  <c r="EL15" i="3"/>
  <c r="EK15" i="3"/>
  <c r="EJ15" i="3"/>
  <c r="EI15" i="3"/>
  <c r="EH15" i="3"/>
  <c r="EF15" i="3"/>
  <c r="EE15" i="3"/>
  <c r="ED15" i="3"/>
  <c r="EC15" i="3"/>
  <c r="EB15" i="3"/>
  <c r="EA15" i="3"/>
  <c r="DZ15" i="3"/>
  <c r="DY15" i="3"/>
  <c r="DX15" i="3"/>
  <c r="DW15" i="3"/>
  <c r="DV15" i="3"/>
  <c r="DU15" i="3"/>
  <c r="DR15" i="3"/>
  <c r="DQ15" i="3"/>
  <c r="DP15" i="3"/>
  <c r="DO15" i="3"/>
  <c r="DN15" i="3"/>
  <c r="DM15" i="3"/>
  <c r="DL15" i="3"/>
  <c r="DJ15" i="3"/>
  <c r="DI15" i="3"/>
  <c r="DH15" i="3"/>
  <c r="DG15" i="3"/>
  <c r="DF15" i="3"/>
  <c r="DC15" i="3"/>
  <c r="DB15" i="3"/>
  <c r="DA15" i="3"/>
  <c r="CZ15" i="3"/>
  <c r="CY15" i="3"/>
  <c r="CX15" i="3"/>
  <c r="CT15" i="3"/>
  <c r="CS15" i="3"/>
  <c r="CJ15" i="3"/>
  <c r="BY15" i="3"/>
  <c r="BX15" i="3"/>
  <c r="BW15" i="3"/>
  <c r="BT15" i="3"/>
  <c r="BS15" i="3"/>
  <c r="BQ15" i="3"/>
  <c r="BP15" i="3"/>
  <c r="BO15" i="3"/>
  <c r="BL15" i="3"/>
  <c r="BK15" i="3"/>
  <c r="BJ15" i="3"/>
  <c r="BI15" i="3"/>
  <c r="BH15" i="3"/>
  <c r="BG15" i="3"/>
  <c r="BD15" i="3"/>
  <c r="BC15" i="3"/>
  <c r="BB15" i="3"/>
  <c r="BA15" i="3"/>
  <c r="AZ15" i="3"/>
  <c r="AY15" i="3"/>
  <c r="AX15" i="3"/>
  <c r="AW15" i="3"/>
  <c r="AT15" i="3"/>
  <c r="AS15" i="3"/>
  <c r="AR15" i="3"/>
  <c r="AQ15" i="3"/>
  <c r="AO15" i="3"/>
  <c r="AN15" i="3"/>
  <c r="AM15" i="3"/>
  <c r="AL15" i="3"/>
  <c r="AK15" i="3"/>
  <c r="AJ15" i="3"/>
  <c r="AI15" i="3"/>
  <c r="AG15" i="3"/>
  <c r="AF15" i="3"/>
  <c r="AE15" i="3"/>
  <c r="AC15" i="3"/>
  <c r="AB15" i="3"/>
  <c r="AA15" i="3"/>
  <c r="Z15" i="3"/>
  <c r="Y15" i="3"/>
  <c r="X15" i="3"/>
  <c r="W15" i="3"/>
  <c r="V15" i="3"/>
  <c r="U15" i="3"/>
  <c r="T15" i="3"/>
  <c r="S15" i="3"/>
  <c r="R15" i="3"/>
  <c r="Q15" i="3"/>
  <c r="O15" i="3"/>
  <c r="N15" i="3"/>
  <c r="M15" i="3"/>
  <c r="L15" i="3"/>
  <c r="K15" i="3"/>
  <c r="J15" i="3"/>
  <c r="I15" i="3"/>
  <c r="D15" i="3"/>
  <c r="C15" i="3"/>
  <c r="GH14" i="3"/>
  <c r="GG14" i="3"/>
  <c r="GD14" i="3"/>
  <c r="GC14" i="3"/>
  <c r="GB14" i="3"/>
  <c r="GA14" i="3"/>
  <c r="FZ14" i="3"/>
  <c r="FY14" i="3"/>
  <c r="FX14" i="3"/>
  <c r="FU14" i="3"/>
  <c r="FT14" i="3"/>
  <c r="FS14" i="3"/>
  <c r="FR14" i="3"/>
  <c r="FP14" i="3"/>
  <c r="FO14" i="3"/>
  <c r="FN14" i="3"/>
  <c r="FM14" i="3"/>
  <c r="FL14" i="3"/>
  <c r="FK14" i="3"/>
  <c r="FI14" i="3"/>
  <c r="FH14" i="3"/>
  <c r="FG14" i="3"/>
  <c r="FE14" i="3"/>
  <c r="FD14" i="3"/>
  <c r="FC14" i="3"/>
  <c r="FB14" i="3"/>
  <c r="EZ14" i="3"/>
  <c r="EW14" i="3"/>
  <c r="EU14" i="3"/>
  <c r="ET14" i="3"/>
  <c r="ER14" i="3"/>
  <c r="EQ14" i="3"/>
  <c r="EP14" i="3"/>
  <c r="EO14" i="3"/>
  <c r="EN14" i="3"/>
  <c r="EM14" i="3"/>
  <c r="EL14" i="3"/>
  <c r="EK14" i="3"/>
  <c r="EJ14" i="3"/>
  <c r="EI14" i="3"/>
  <c r="EH14" i="3"/>
  <c r="EF14" i="3"/>
  <c r="EE14" i="3"/>
  <c r="ED14" i="3"/>
  <c r="EC14" i="3"/>
  <c r="EB14" i="3"/>
  <c r="EA14" i="3"/>
  <c r="DZ14" i="3"/>
  <c r="DY14" i="3"/>
  <c r="DX14" i="3"/>
  <c r="DW14" i="3"/>
  <c r="DV14" i="3"/>
  <c r="DU14" i="3"/>
  <c r="DR14" i="3"/>
  <c r="DQ14" i="3"/>
  <c r="DP14" i="3"/>
  <c r="DO14" i="3"/>
  <c r="DN14" i="3"/>
  <c r="DM14" i="3"/>
  <c r="DL14" i="3"/>
  <c r="DJ14" i="3"/>
  <c r="DI14" i="3"/>
  <c r="DH14" i="3"/>
  <c r="DG14" i="3"/>
  <c r="DF14" i="3"/>
  <c r="DC14" i="3"/>
  <c r="DB14" i="3"/>
  <c r="DA14" i="3"/>
  <c r="CZ14" i="3"/>
  <c r="CY14" i="3"/>
  <c r="CX14" i="3"/>
  <c r="CT14" i="3"/>
  <c r="CS14" i="3"/>
  <c r="CJ14" i="3"/>
  <c r="CE14" i="3"/>
  <c r="CD14" i="3"/>
  <c r="CC14" i="3"/>
  <c r="CB14" i="3"/>
  <c r="CA14" i="3"/>
  <c r="BZ14" i="3"/>
  <c r="BX14" i="3"/>
  <c r="BW14" i="3"/>
  <c r="BT14" i="3"/>
  <c r="BS14" i="3"/>
  <c r="BQ14" i="3"/>
  <c r="BP14" i="3"/>
  <c r="BO14" i="3"/>
  <c r="BL14" i="3"/>
  <c r="BK14" i="3"/>
  <c r="BJ14" i="3"/>
  <c r="BI14" i="3"/>
  <c r="BH14" i="3"/>
  <c r="BG14" i="3"/>
  <c r="BD14" i="3"/>
  <c r="BC14" i="3"/>
  <c r="BB14" i="3"/>
  <c r="BA14" i="3"/>
  <c r="AZ14" i="3"/>
  <c r="AY14" i="3"/>
  <c r="AX14" i="3"/>
  <c r="AW14" i="3"/>
  <c r="AT14" i="3"/>
  <c r="AR14" i="3"/>
  <c r="AQ14" i="3"/>
  <c r="AO14" i="3"/>
  <c r="AN14" i="3"/>
  <c r="AM14" i="3"/>
  <c r="AL14" i="3"/>
  <c r="AK14" i="3"/>
  <c r="AJ14" i="3"/>
  <c r="AI14" i="3"/>
  <c r="AG14" i="3"/>
  <c r="AF14" i="3"/>
  <c r="AE14" i="3"/>
  <c r="AA14" i="3"/>
  <c r="Z14" i="3"/>
  <c r="X14" i="3"/>
  <c r="W14" i="3"/>
  <c r="V14" i="3"/>
  <c r="U14" i="3"/>
  <c r="T14" i="3"/>
  <c r="S14" i="3"/>
  <c r="R14" i="3"/>
  <c r="Q14" i="3"/>
  <c r="O14" i="3"/>
  <c r="N14" i="3"/>
  <c r="M14" i="3"/>
  <c r="L14" i="3"/>
  <c r="J14" i="3"/>
  <c r="I14" i="3"/>
  <c r="D14" i="3"/>
  <c r="C14" i="3"/>
  <c r="GH13" i="3"/>
  <c r="GG13" i="3"/>
  <c r="GD13" i="3"/>
  <c r="GC13" i="3"/>
  <c r="GB13" i="3"/>
  <c r="GA13" i="3"/>
  <c r="FZ13" i="3"/>
  <c r="FY13" i="3"/>
  <c r="FX13" i="3"/>
  <c r="FU13" i="3"/>
  <c r="FT13" i="3"/>
  <c r="FS13" i="3"/>
  <c r="FR13" i="3"/>
  <c r="FP13" i="3"/>
  <c r="FO13" i="3"/>
  <c r="FN13" i="3"/>
  <c r="FM13" i="3"/>
  <c r="FL13" i="3"/>
  <c r="FK13" i="3"/>
  <c r="FI13" i="3"/>
  <c r="FH13" i="3"/>
  <c r="FG13" i="3"/>
  <c r="FE13" i="3"/>
  <c r="FD13" i="3"/>
  <c r="FC13" i="3"/>
  <c r="FB13" i="3"/>
  <c r="EZ13" i="3"/>
  <c r="EW13" i="3"/>
  <c r="EU13" i="3"/>
  <c r="ET13" i="3"/>
  <c r="ER13" i="3"/>
  <c r="EQ13" i="3"/>
  <c r="EP13" i="3"/>
  <c r="EO13" i="3"/>
  <c r="EN13" i="3"/>
  <c r="EM13" i="3"/>
  <c r="EL13" i="3"/>
  <c r="EK13" i="3"/>
  <c r="EJ13" i="3"/>
  <c r="EI13" i="3"/>
  <c r="EH13" i="3"/>
  <c r="EF13" i="3"/>
  <c r="EE13" i="3"/>
  <c r="ED13" i="3"/>
  <c r="EC13" i="3"/>
  <c r="EB13" i="3"/>
  <c r="EA13" i="3"/>
  <c r="DZ13" i="3"/>
  <c r="DY13" i="3"/>
  <c r="DX13" i="3"/>
  <c r="DW13" i="3"/>
  <c r="DV13" i="3"/>
  <c r="DU13" i="3"/>
  <c r="DR13" i="3"/>
  <c r="DQ13" i="3"/>
  <c r="DP13" i="3"/>
  <c r="DO13" i="3"/>
  <c r="DN13" i="3"/>
  <c r="DM13" i="3"/>
  <c r="DL13" i="3"/>
  <c r="DJ13" i="3"/>
  <c r="DI13" i="3"/>
  <c r="DH13" i="3"/>
  <c r="DG13" i="3"/>
  <c r="DF13" i="3"/>
  <c r="DC13" i="3"/>
  <c r="DB13" i="3"/>
  <c r="DA13" i="3"/>
  <c r="CZ13" i="3"/>
  <c r="CY13" i="3"/>
  <c r="CX13" i="3"/>
  <c r="CT13" i="3"/>
  <c r="CS13" i="3"/>
  <c r="CJ13" i="3"/>
  <c r="CE13" i="3"/>
  <c r="CD13" i="3"/>
  <c r="CC13" i="3"/>
  <c r="CB13" i="3"/>
  <c r="CA13" i="3"/>
  <c r="BZ13" i="3"/>
  <c r="BY13" i="3"/>
  <c r="BX13" i="3"/>
  <c r="BW13" i="3"/>
  <c r="BL13" i="3"/>
  <c r="BK13" i="3"/>
  <c r="BJ13" i="3"/>
  <c r="BI13" i="3"/>
  <c r="BH13" i="3"/>
  <c r="BG13" i="3"/>
  <c r="BD13" i="3"/>
  <c r="BC13" i="3"/>
  <c r="BB13" i="3"/>
  <c r="BA13" i="3"/>
  <c r="AY13" i="3"/>
  <c r="AX13" i="3"/>
  <c r="AW13" i="3"/>
  <c r="AM13" i="3"/>
  <c r="AL13" i="3"/>
  <c r="AK13" i="3"/>
  <c r="AJ13" i="3"/>
  <c r="AI13" i="3"/>
  <c r="AG13" i="3"/>
  <c r="AF13" i="3"/>
  <c r="AE13" i="3"/>
  <c r="O13" i="3"/>
  <c r="N13" i="3"/>
  <c r="M13" i="3"/>
  <c r="L13" i="3"/>
  <c r="K13" i="3"/>
  <c r="J13" i="3"/>
  <c r="I13" i="3"/>
  <c r="D13" i="3"/>
  <c r="C13" i="3"/>
  <c r="GH12" i="3"/>
  <c r="GG12" i="3"/>
  <c r="GD12" i="3"/>
  <c r="GC12" i="3"/>
  <c r="GB12" i="3"/>
  <c r="GA12" i="3"/>
  <c r="FZ12" i="3"/>
  <c r="FY12" i="3"/>
  <c r="FX12" i="3"/>
  <c r="FU12" i="3"/>
  <c r="FT12" i="3"/>
  <c r="FS12" i="3"/>
  <c r="FR12" i="3"/>
  <c r="FP12" i="3"/>
  <c r="FO12" i="3"/>
  <c r="FN12" i="3"/>
  <c r="FM12" i="3"/>
  <c r="FL12" i="3"/>
  <c r="FK12" i="3"/>
  <c r="FI12" i="3"/>
  <c r="FH12" i="3"/>
  <c r="FG12" i="3"/>
  <c r="FE12" i="3"/>
  <c r="FD12" i="3"/>
  <c r="FC12" i="3"/>
  <c r="FB12" i="3"/>
  <c r="EZ12" i="3"/>
  <c r="EW12" i="3"/>
  <c r="EU12" i="3"/>
  <c r="ET12" i="3"/>
  <c r="ER12" i="3"/>
  <c r="EQ12" i="3"/>
  <c r="EP12" i="3"/>
  <c r="EO12" i="3"/>
  <c r="EN12" i="3"/>
  <c r="EM12" i="3"/>
  <c r="EL12" i="3"/>
  <c r="EK12" i="3"/>
  <c r="EJ12" i="3"/>
  <c r="EI12" i="3"/>
  <c r="EH12" i="3"/>
  <c r="EF12" i="3"/>
  <c r="EE12" i="3"/>
  <c r="ED12" i="3"/>
  <c r="EC12" i="3"/>
  <c r="EB12" i="3"/>
  <c r="EA12" i="3"/>
  <c r="DZ12" i="3"/>
  <c r="DY12" i="3"/>
  <c r="DX12" i="3"/>
  <c r="DW12" i="3"/>
  <c r="DV12" i="3"/>
  <c r="DU12" i="3"/>
  <c r="DR12" i="3"/>
  <c r="DQ12" i="3"/>
  <c r="DP12" i="3"/>
  <c r="DO12" i="3"/>
  <c r="DN12" i="3"/>
  <c r="DM12" i="3"/>
  <c r="DL12" i="3"/>
  <c r="DJ12" i="3"/>
  <c r="DI12" i="3"/>
  <c r="DH12" i="3"/>
  <c r="DG12" i="3"/>
  <c r="DF12" i="3"/>
  <c r="DE12" i="3"/>
  <c r="DD12" i="3"/>
  <c r="DC12" i="3"/>
  <c r="DB12" i="3"/>
  <c r="DA12" i="3"/>
  <c r="CZ12" i="3"/>
  <c r="CY12" i="3"/>
  <c r="CX12" i="3"/>
  <c r="BY12" i="3"/>
  <c r="BX12" i="3"/>
  <c r="BW12" i="3"/>
  <c r="BT12" i="3"/>
  <c r="BR12" i="3"/>
  <c r="BQ12" i="3"/>
  <c r="BP12" i="3"/>
  <c r="BO12" i="3"/>
  <c r="BL12" i="3"/>
  <c r="BK12" i="3"/>
  <c r="BJ12" i="3"/>
  <c r="BI12" i="3"/>
  <c r="BH12" i="3"/>
  <c r="BG12" i="3"/>
  <c r="BD12" i="3"/>
  <c r="BC12" i="3"/>
  <c r="BB12" i="3"/>
  <c r="BA12" i="3"/>
  <c r="AY12" i="3"/>
  <c r="AX12" i="3"/>
  <c r="AW12" i="3"/>
  <c r="AT12" i="3"/>
  <c r="AR12" i="3"/>
  <c r="AQ12" i="3"/>
  <c r="AO12" i="3"/>
  <c r="AN12" i="3"/>
  <c r="AM12" i="3"/>
  <c r="AL12" i="3"/>
  <c r="AK12" i="3"/>
  <c r="AJ12" i="3"/>
  <c r="AI12" i="3"/>
  <c r="AG12" i="3"/>
  <c r="AF12" i="3"/>
  <c r="AE12" i="3"/>
  <c r="AA12" i="3"/>
  <c r="Z12" i="3"/>
  <c r="X12" i="3"/>
  <c r="W12" i="3"/>
  <c r="V12" i="3"/>
  <c r="R12" i="3"/>
  <c r="Q12" i="3"/>
  <c r="O12" i="3"/>
  <c r="N12" i="3"/>
  <c r="M12" i="3"/>
  <c r="L12" i="3"/>
  <c r="K12" i="3"/>
  <c r="J12" i="3"/>
  <c r="I12" i="3"/>
  <c r="D12" i="3"/>
  <c r="C12" i="3"/>
  <c r="GH11" i="3"/>
  <c r="GG11" i="3"/>
  <c r="GD11" i="3"/>
  <c r="GC11" i="3"/>
  <c r="GB11" i="3"/>
  <c r="GA11" i="3"/>
  <c r="FZ11" i="3"/>
  <c r="FY11" i="3"/>
  <c r="FX11" i="3"/>
  <c r="FU11" i="3"/>
  <c r="FT11" i="3"/>
  <c r="FS11" i="3"/>
  <c r="FR11" i="3"/>
  <c r="FP11" i="3"/>
  <c r="FO11" i="3"/>
  <c r="FN11" i="3"/>
  <c r="FM11" i="3"/>
  <c r="FL11" i="3"/>
  <c r="FK11" i="3"/>
  <c r="FI11" i="3"/>
  <c r="FH11" i="3"/>
  <c r="FG11" i="3"/>
  <c r="FE11" i="3"/>
  <c r="FD11" i="3"/>
  <c r="FC11" i="3"/>
  <c r="FB11" i="3"/>
  <c r="EZ11" i="3"/>
  <c r="EY11" i="3"/>
  <c r="EX11" i="3"/>
  <c r="EW11" i="3"/>
  <c r="EU11" i="3"/>
  <c r="ET11" i="3"/>
  <c r="ER11" i="3"/>
  <c r="EQ11" i="3"/>
  <c r="EP11" i="3"/>
  <c r="EO11" i="3"/>
  <c r="EN11" i="3"/>
  <c r="EM11" i="3"/>
  <c r="EL11" i="3"/>
  <c r="EK11" i="3"/>
  <c r="EJ11" i="3"/>
  <c r="EI11" i="3"/>
  <c r="EH11" i="3"/>
  <c r="EF11" i="3"/>
  <c r="EE11" i="3"/>
  <c r="ED11" i="3"/>
  <c r="EC11" i="3"/>
  <c r="EB11" i="3"/>
  <c r="EA11" i="3"/>
  <c r="DZ11" i="3"/>
  <c r="DY11" i="3"/>
  <c r="DX11" i="3"/>
  <c r="DW11" i="3"/>
  <c r="DV11" i="3"/>
  <c r="DU11" i="3"/>
  <c r="DR11" i="3"/>
  <c r="DQ11" i="3"/>
  <c r="DP11" i="3"/>
  <c r="DO11" i="3"/>
  <c r="DN11" i="3"/>
  <c r="DM11" i="3"/>
  <c r="DL11" i="3"/>
  <c r="DJ11" i="3"/>
  <c r="DI11" i="3"/>
  <c r="DH11" i="3"/>
  <c r="DG11" i="3"/>
  <c r="DF11" i="3"/>
  <c r="DC11" i="3"/>
  <c r="DB11" i="3"/>
  <c r="DA11" i="3"/>
  <c r="CZ11" i="3"/>
  <c r="CY11" i="3"/>
  <c r="CX11" i="3"/>
  <c r="BW11" i="3"/>
  <c r="BT11" i="3"/>
  <c r="BS11" i="3"/>
  <c r="BQ11" i="3"/>
  <c r="BP11" i="3"/>
  <c r="BO11" i="3"/>
  <c r="BL11" i="3"/>
  <c r="BK11" i="3"/>
  <c r="BJ11" i="3"/>
  <c r="BI11" i="3"/>
  <c r="BH11" i="3"/>
  <c r="BG11" i="3"/>
  <c r="BD11" i="3"/>
  <c r="BC11" i="3"/>
  <c r="BB11" i="3"/>
  <c r="BA11" i="3"/>
  <c r="AZ11" i="3"/>
  <c r="AY11" i="3"/>
  <c r="AX11" i="3"/>
  <c r="AW11" i="3"/>
  <c r="AT11" i="3"/>
  <c r="AQ11" i="3"/>
  <c r="AO11" i="3"/>
  <c r="AN11" i="3"/>
  <c r="AM11" i="3"/>
  <c r="AL11" i="3"/>
  <c r="AK11" i="3"/>
  <c r="AJ11" i="3"/>
  <c r="AI11" i="3"/>
  <c r="AG11" i="3"/>
  <c r="AF11" i="3"/>
  <c r="AE11" i="3"/>
  <c r="AA11" i="3"/>
  <c r="Z11" i="3"/>
  <c r="X11" i="3"/>
  <c r="W11" i="3"/>
  <c r="V11" i="3"/>
  <c r="U11" i="3"/>
  <c r="T11" i="3"/>
  <c r="S11" i="3"/>
  <c r="R11" i="3"/>
  <c r="Q11" i="3"/>
  <c r="O11" i="3"/>
  <c r="N11" i="3"/>
  <c r="M11" i="3"/>
  <c r="L11" i="3"/>
  <c r="K11" i="3"/>
  <c r="J11" i="3"/>
  <c r="I11" i="3"/>
  <c r="D11" i="3"/>
  <c r="C11" i="3"/>
  <c r="GH10" i="3"/>
  <c r="GG10" i="3"/>
  <c r="GD10" i="3"/>
  <c r="GC10" i="3"/>
  <c r="GB10" i="3"/>
  <c r="GA10" i="3"/>
  <c r="FZ10" i="3"/>
  <c r="FY10" i="3"/>
  <c r="FX10" i="3"/>
  <c r="FU10" i="3"/>
  <c r="FT10" i="3"/>
  <c r="FS10" i="3"/>
  <c r="FR10" i="3"/>
  <c r="FQ10" i="3"/>
  <c r="FP10" i="3"/>
  <c r="FO10" i="3"/>
  <c r="FN10" i="3"/>
  <c r="FM10" i="3"/>
  <c r="FL10" i="3"/>
  <c r="FK10" i="3"/>
  <c r="FI10" i="3"/>
  <c r="FH10" i="3"/>
  <c r="FG10" i="3"/>
  <c r="FE10" i="3"/>
  <c r="FD10" i="3"/>
  <c r="FC10" i="3"/>
  <c r="FB10" i="3"/>
  <c r="EZ10" i="3"/>
  <c r="EW10" i="3"/>
  <c r="EU10" i="3"/>
  <c r="ET10" i="3"/>
  <c r="ER10" i="3"/>
  <c r="EQ10" i="3"/>
  <c r="EP10" i="3"/>
  <c r="EO10" i="3"/>
  <c r="EN10" i="3"/>
  <c r="EM10" i="3"/>
  <c r="EL10" i="3"/>
  <c r="EK10" i="3"/>
  <c r="EJ10" i="3"/>
  <c r="EI10" i="3"/>
  <c r="EH10" i="3"/>
  <c r="EF10" i="3"/>
  <c r="EE10" i="3"/>
  <c r="ED10" i="3"/>
  <c r="EC10" i="3"/>
  <c r="EB10" i="3"/>
  <c r="EA10" i="3"/>
  <c r="DZ10" i="3"/>
  <c r="DY10" i="3"/>
  <c r="DX10" i="3"/>
  <c r="DW10" i="3"/>
  <c r="DV10" i="3"/>
  <c r="DU10" i="3"/>
  <c r="DR10" i="3"/>
  <c r="DQ10" i="3"/>
  <c r="DP10" i="3"/>
  <c r="DO10" i="3"/>
  <c r="DN10" i="3"/>
  <c r="DM10" i="3"/>
  <c r="DL10" i="3"/>
  <c r="DJ10" i="3"/>
  <c r="DI10" i="3"/>
  <c r="DH10" i="3"/>
  <c r="DG10" i="3"/>
  <c r="DF10" i="3"/>
  <c r="DE10" i="3"/>
  <c r="DD10" i="3"/>
  <c r="DB10" i="3"/>
  <c r="DA10" i="3"/>
  <c r="CZ10" i="3"/>
  <c r="CY10" i="3"/>
  <c r="CX10" i="3"/>
  <c r="CT10" i="3"/>
  <c r="CS10" i="3"/>
  <c r="CO10" i="3"/>
  <c r="CM10" i="3"/>
  <c r="CJ10" i="3"/>
  <c r="CE10" i="3"/>
  <c r="CD10" i="3"/>
  <c r="CC10" i="3"/>
  <c r="CB10" i="3"/>
  <c r="CA10" i="3"/>
  <c r="BZ10" i="3"/>
  <c r="BY10" i="3"/>
  <c r="BX10" i="3"/>
  <c r="BW10" i="3"/>
  <c r="BT10" i="3"/>
  <c r="BR10" i="3"/>
  <c r="BQ10" i="3"/>
  <c r="BP10" i="3"/>
  <c r="BO10" i="3"/>
  <c r="BM10" i="3"/>
  <c r="BL10" i="3"/>
  <c r="BK10" i="3"/>
  <c r="BJ10" i="3"/>
  <c r="BI10" i="3"/>
  <c r="BH10" i="3"/>
  <c r="BG10" i="3"/>
  <c r="BF10" i="3"/>
  <c r="BE10" i="3"/>
  <c r="BD10" i="3"/>
  <c r="BC10" i="3"/>
  <c r="BB10" i="3"/>
  <c r="BA10" i="3"/>
  <c r="AY10" i="3"/>
  <c r="AX10" i="3"/>
  <c r="AW10" i="3"/>
  <c r="AU10" i="3"/>
  <c r="AT10" i="3"/>
  <c r="AS10" i="3"/>
  <c r="AR10" i="3"/>
  <c r="AQ10" i="3"/>
  <c r="AP10" i="3"/>
  <c r="AO10" i="3"/>
  <c r="AN10" i="3"/>
  <c r="AM10" i="3"/>
  <c r="AL10" i="3"/>
  <c r="AJ10" i="3"/>
  <c r="AI10" i="3"/>
  <c r="AH10" i="3"/>
  <c r="AG10" i="3"/>
  <c r="AF10" i="3"/>
  <c r="AE10" i="3"/>
  <c r="AC10" i="3"/>
  <c r="AB10" i="3"/>
  <c r="AA10" i="3"/>
  <c r="Z10" i="3"/>
  <c r="X10" i="3"/>
  <c r="W10" i="3"/>
  <c r="V10" i="3"/>
  <c r="U10" i="3"/>
  <c r="T10" i="3"/>
  <c r="S10" i="3"/>
  <c r="R10" i="3"/>
  <c r="Q10" i="3"/>
  <c r="O10" i="3"/>
  <c r="N10" i="3"/>
  <c r="M10" i="3"/>
  <c r="L10" i="3"/>
  <c r="K10" i="3"/>
  <c r="J10" i="3"/>
  <c r="I10" i="3"/>
  <c r="D10" i="3"/>
  <c r="C10" i="3"/>
  <c r="GH9" i="3"/>
  <c r="GG9" i="3"/>
  <c r="GD9" i="3"/>
  <c r="GC9" i="3"/>
  <c r="GB9" i="3"/>
  <c r="GA9" i="3"/>
  <c r="FZ9" i="3"/>
  <c r="FY9" i="3"/>
  <c r="FX9" i="3"/>
  <c r="FU9" i="3"/>
  <c r="FS9" i="3"/>
  <c r="FR9" i="3"/>
  <c r="FQ9" i="3"/>
  <c r="FP9" i="3"/>
  <c r="FO9" i="3"/>
  <c r="FN9" i="3"/>
  <c r="FM9" i="3"/>
  <c r="FL9" i="3"/>
  <c r="FK9" i="3"/>
  <c r="FI9" i="3"/>
  <c r="FH9" i="3"/>
  <c r="FG9" i="3"/>
  <c r="FE9" i="3"/>
  <c r="FD9" i="3"/>
  <c r="FC9" i="3"/>
  <c r="FB9" i="3"/>
  <c r="EZ9" i="3"/>
  <c r="EY9" i="3"/>
  <c r="EX9" i="3"/>
  <c r="EW9" i="3"/>
  <c r="EU9" i="3"/>
  <c r="ET9" i="3"/>
  <c r="ER9" i="3"/>
  <c r="EQ9" i="3"/>
  <c r="EP9" i="3"/>
  <c r="EO9" i="3"/>
  <c r="EN9" i="3"/>
  <c r="EM9" i="3"/>
  <c r="EL9" i="3"/>
  <c r="EK9" i="3"/>
  <c r="EJ9" i="3"/>
  <c r="EI9" i="3"/>
  <c r="EH9" i="3"/>
  <c r="EF9" i="3"/>
  <c r="EE9" i="3"/>
  <c r="ED9" i="3"/>
  <c r="EC9" i="3"/>
  <c r="EB9" i="3"/>
  <c r="EA9" i="3"/>
  <c r="DZ9" i="3"/>
  <c r="DY9" i="3"/>
  <c r="DX9" i="3"/>
  <c r="DW9" i="3"/>
  <c r="DV9" i="3"/>
  <c r="DU9" i="3"/>
  <c r="DR9" i="3"/>
  <c r="DQ9" i="3"/>
  <c r="DP9" i="3"/>
  <c r="DO9" i="3"/>
  <c r="DN9" i="3"/>
  <c r="DM9" i="3"/>
  <c r="DL9" i="3"/>
  <c r="DJ9" i="3"/>
  <c r="DI9" i="3"/>
  <c r="DH9" i="3"/>
  <c r="DG9" i="3"/>
  <c r="DF9" i="3"/>
  <c r="DC9" i="3"/>
  <c r="DB9" i="3"/>
  <c r="DA9" i="3"/>
  <c r="CZ9" i="3"/>
  <c r="CY9" i="3"/>
  <c r="CX9" i="3"/>
  <c r="CT9" i="3"/>
  <c r="CS9" i="3"/>
  <c r="CJ9" i="3"/>
  <c r="CC9" i="3"/>
  <c r="CB9" i="3"/>
  <c r="CA9" i="3"/>
  <c r="BZ9" i="3"/>
  <c r="BY9" i="3"/>
  <c r="BX9" i="3"/>
  <c r="BW9" i="3"/>
  <c r="BO9" i="3"/>
  <c r="BL9" i="3"/>
  <c r="BK9" i="3"/>
  <c r="BJ9" i="3"/>
  <c r="BI9" i="3"/>
  <c r="BH9" i="3"/>
  <c r="BG9" i="3"/>
  <c r="BD9" i="3"/>
  <c r="BC9" i="3"/>
  <c r="BB9" i="3"/>
  <c r="BA9" i="3"/>
  <c r="AZ9" i="3"/>
  <c r="AY9" i="3"/>
  <c r="AX9" i="3"/>
  <c r="AW9" i="3"/>
  <c r="AU9" i="3"/>
  <c r="AT9" i="3"/>
  <c r="AR9" i="3"/>
  <c r="AQ9" i="3"/>
  <c r="AO9" i="3"/>
  <c r="AN9" i="3"/>
  <c r="AM9" i="3"/>
  <c r="AL9" i="3"/>
  <c r="AJ9" i="3"/>
  <c r="AI9" i="3"/>
  <c r="AG9" i="3"/>
  <c r="AF9" i="3"/>
  <c r="AE9" i="3"/>
  <c r="AA9" i="3"/>
  <c r="Z9" i="3"/>
  <c r="X9" i="3"/>
  <c r="W9" i="3"/>
  <c r="V9" i="3"/>
  <c r="U9" i="3"/>
  <c r="T9" i="3"/>
  <c r="S9" i="3"/>
  <c r="R9" i="3"/>
  <c r="Q9" i="3"/>
  <c r="N9" i="3"/>
  <c r="M9" i="3"/>
  <c r="L9" i="3"/>
  <c r="K9" i="3"/>
  <c r="J9" i="3"/>
  <c r="I9" i="3"/>
  <c r="D9" i="3"/>
  <c r="C9" i="3"/>
  <c r="GH8" i="3"/>
  <c r="GG8" i="3"/>
  <c r="GD8" i="3"/>
  <c r="GC8" i="3"/>
  <c r="GB8" i="3"/>
  <c r="GA8" i="3"/>
  <c r="FZ8" i="3"/>
  <c r="FY8" i="3"/>
  <c r="FX8" i="3"/>
  <c r="FU8" i="3"/>
  <c r="FT8" i="3"/>
  <c r="FS8" i="3"/>
  <c r="FR8" i="3"/>
  <c r="FP8" i="3"/>
  <c r="FO8" i="3"/>
  <c r="FN8" i="3"/>
  <c r="FM8" i="3"/>
  <c r="FL8" i="3"/>
  <c r="FK8" i="3"/>
  <c r="FI8" i="3"/>
  <c r="FH8" i="3"/>
  <c r="FG8" i="3"/>
  <c r="FE8" i="3"/>
  <c r="FD8" i="3"/>
  <c r="FC8" i="3"/>
  <c r="FB8" i="3"/>
  <c r="EZ8" i="3"/>
  <c r="EU8" i="3"/>
  <c r="ET8" i="3"/>
  <c r="ER8" i="3"/>
  <c r="EQ8" i="3"/>
  <c r="EP8" i="3"/>
  <c r="EO8" i="3"/>
  <c r="EN8" i="3"/>
  <c r="EM8" i="3"/>
  <c r="EL8" i="3"/>
  <c r="EK8" i="3"/>
  <c r="EJ8" i="3"/>
  <c r="EI8" i="3"/>
  <c r="EH8" i="3"/>
  <c r="EF8" i="3"/>
  <c r="EE8" i="3"/>
  <c r="ED8" i="3"/>
  <c r="EC8" i="3"/>
  <c r="EB8" i="3"/>
  <c r="EA8" i="3"/>
  <c r="DZ8" i="3"/>
  <c r="DY8" i="3"/>
  <c r="DX8" i="3"/>
  <c r="DW8" i="3"/>
  <c r="DV8" i="3"/>
  <c r="DU8" i="3"/>
  <c r="DR8" i="3"/>
  <c r="DQ8" i="3"/>
  <c r="DP8" i="3"/>
  <c r="DO8" i="3"/>
  <c r="DN8" i="3"/>
  <c r="DM8" i="3"/>
  <c r="DL8" i="3"/>
  <c r="DJ8" i="3"/>
  <c r="DI8" i="3"/>
  <c r="DH8" i="3"/>
  <c r="DG8" i="3"/>
  <c r="DF8" i="3"/>
  <c r="DC8" i="3"/>
  <c r="DB8" i="3"/>
  <c r="DA8" i="3"/>
  <c r="CZ8" i="3"/>
  <c r="CY8" i="3"/>
  <c r="CX8" i="3"/>
  <c r="CT8" i="3"/>
  <c r="CS8" i="3"/>
  <c r="CJ8" i="3"/>
  <c r="CC8" i="3"/>
  <c r="CB8" i="3"/>
  <c r="CA8" i="3"/>
  <c r="BZ8" i="3"/>
  <c r="BY8" i="3"/>
  <c r="BX8" i="3"/>
  <c r="BW8" i="3"/>
  <c r="BT8" i="3"/>
  <c r="BR8" i="3"/>
  <c r="BP8" i="3"/>
  <c r="BO8" i="3"/>
  <c r="BL8" i="3"/>
  <c r="BK8" i="3"/>
  <c r="BJ8" i="3"/>
  <c r="BI8" i="3"/>
  <c r="BH8" i="3"/>
  <c r="BG8" i="3"/>
  <c r="BD8" i="3"/>
  <c r="BC8" i="3"/>
  <c r="BB8" i="3"/>
  <c r="BA8" i="3"/>
  <c r="AY8" i="3"/>
  <c r="AX8" i="3"/>
  <c r="AW8" i="3"/>
  <c r="AU8" i="3"/>
  <c r="AT8" i="3"/>
  <c r="AS8" i="3"/>
  <c r="AR8" i="3"/>
  <c r="AQ8" i="3"/>
  <c r="AO8" i="3"/>
  <c r="AN8" i="3"/>
  <c r="AM8" i="3"/>
  <c r="AL8" i="3"/>
  <c r="AK8" i="3"/>
  <c r="AJ8" i="3"/>
  <c r="AI8" i="3"/>
  <c r="AG8" i="3"/>
  <c r="AF8" i="3"/>
  <c r="AE8" i="3"/>
  <c r="AC8" i="3"/>
  <c r="AB8" i="3"/>
  <c r="AA8" i="3"/>
  <c r="Z8" i="3"/>
  <c r="X8" i="3"/>
  <c r="W8" i="3"/>
  <c r="V8" i="3"/>
  <c r="U8" i="3"/>
  <c r="T8" i="3"/>
  <c r="S8" i="3"/>
  <c r="R8" i="3"/>
  <c r="Q8" i="3"/>
  <c r="L8" i="3"/>
  <c r="K8" i="3"/>
  <c r="J8" i="3"/>
  <c r="I8" i="3"/>
  <c r="D8" i="3"/>
  <c r="C8" i="3"/>
  <c r="GH7" i="3"/>
  <c r="GG7" i="3"/>
  <c r="GD7" i="3"/>
  <c r="GC7" i="3"/>
  <c r="GB7" i="3"/>
  <c r="GA7" i="3"/>
  <c r="FZ7" i="3"/>
  <c r="FY7" i="3"/>
  <c r="FX7" i="3"/>
  <c r="FU7" i="3"/>
  <c r="FS7" i="3"/>
  <c r="FR7" i="3"/>
  <c r="FP7" i="3"/>
  <c r="FO7" i="3"/>
  <c r="FN7" i="3"/>
  <c r="FM7" i="3"/>
  <c r="FL7" i="3"/>
  <c r="FK7" i="3"/>
  <c r="FI7" i="3"/>
  <c r="FH7" i="3"/>
  <c r="FG7" i="3"/>
  <c r="FE7" i="3"/>
  <c r="FD7" i="3"/>
  <c r="FC7" i="3"/>
  <c r="FB7" i="3"/>
  <c r="EZ7" i="3"/>
  <c r="ET7" i="3"/>
  <c r="ER7" i="3"/>
  <c r="EQ7" i="3"/>
  <c r="EP7" i="3"/>
  <c r="EO7" i="3"/>
  <c r="EN7" i="3"/>
  <c r="EM7" i="3"/>
  <c r="EL7" i="3"/>
  <c r="EK7" i="3"/>
  <c r="EJ7" i="3"/>
  <c r="EI7" i="3"/>
  <c r="EH7" i="3"/>
  <c r="EF7" i="3"/>
  <c r="EE7" i="3"/>
  <c r="ED7" i="3"/>
  <c r="EC7" i="3"/>
  <c r="EB7" i="3"/>
  <c r="EA7" i="3"/>
  <c r="DZ7" i="3"/>
  <c r="DY7" i="3"/>
  <c r="DX7" i="3"/>
  <c r="DW7" i="3"/>
  <c r="DV7" i="3"/>
  <c r="DU7" i="3"/>
  <c r="DR7" i="3"/>
  <c r="DQ7" i="3"/>
  <c r="DP7" i="3"/>
  <c r="DO7" i="3"/>
  <c r="DN7" i="3"/>
  <c r="DM7" i="3"/>
  <c r="DL7" i="3"/>
  <c r="DJ7" i="3"/>
  <c r="DI7" i="3"/>
  <c r="DH7" i="3"/>
  <c r="DG7" i="3"/>
  <c r="DF7" i="3"/>
  <c r="DE7" i="3"/>
  <c r="DD7" i="3"/>
  <c r="DC7" i="3"/>
  <c r="DB7" i="3"/>
  <c r="DA7" i="3"/>
  <c r="CZ7" i="3"/>
  <c r="CY7" i="3"/>
  <c r="CX7" i="3"/>
  <c r="CT7" i="3"/>
  <c r="CS7" i="3"/>
  <c r="CJ7" i="3"/>
  <c r="CI7" i="3"/>
  <c r="CH7" i="3"/>
  <c r="CG7" i="3"/>
  <c r="CF7" i="3"/>
  <c r="CE7" i="3"/>
  <c r="CD7" i="3"/>
  <c r="CC7" i="3"/>
  <c r="CB7" i="3"/>
  <c r="CA7" i="3"/>
  <c r="BZ7" i="3"/>
  <c r="BY7" i="3"/>
  <c r="BX7" i="3"/>
  <c r="BW7" i="3"/>
  <c r="BT7" i="3"/>
  <c r="BS7" i="3"/>
  <c r="BR7" i="3"/>
  <c r="BQ7" i="3"/>
  <c r="BP7" i="3"/>
  <c r="BO7" i="3"/>
  <c r="BM7" i="3"/>
  <c r="BL7" i="3"/>
  <c r="BK7" i="3"/>
  <c r="BJ7" i="3"/>
  <c r="BI7" i="3"/>
  <c r="BH7" i="3"/>
  <c r="BG7" i="3"/>
  <c r="BF7" i="3"/>
  <c r="BE7" i="3"/>
  <c r="BD7" i="3"/>
  <c r="BC7" i="3"/>
  <c r="BB7" i="3"/>
  <c r="BA7" i="3"/>
  <c r="AZ7" i="3"/>
  <c r="AY7" i="3"/>
  <c r="AX7" i="3"/>
  <c r="AW7" i="3"/>
  <c r="AM7" i="3"/>
  <c r="AL7" i="3"/>
  <c r="AK7" i="3"/>
  <c r="AJ7" i="3"/>
  <c r="AI7" i="3"/>
  <c r="AG7" i="3"/>
  <c r="AF7" i="3"/>
  <c r="AE7" i="3"/>
  <c r="AC7" i="3"/>
  <c r="AB7" i="3"/>
  <c r="AA7" i="3"/>
  <c r="Z7" i="3"/>
  <c r="X7" i="3"/>
  <c r="W7" i="3"/>
  <c r="V7" i="3"/>
  <c r="U7" i="3"/>
  <c r="T7" i="3"/>
  <c r="S7" i="3"/>
  <c r="R7" i="3"/>
  <c r="Q7" i="3"/>
  <c r="O7" i="3"/>
  <c r="N7" i="3"/>
  <c r="M7" i="3"/>
  <c r="L7" i="3"/>
  <c r="K7" i="3"/>
  <c r="J7" i="3"/>
  <c r="I7" i="3"/>
  <c r="D7" i="3"/>
  <c r="C7" i="3"/>
  <c r="GH6" i="3"/>
  <c r="GG6" i="3"/>
  <c r="FU6" i="3"/>
  <c r="FT6" i="3"/>
  <c r="FS6" i="3"/>
  <c r="FR6" i="3"/>
  <c r="FP6" i="3"/>
  <c r="FO6" i="3"/>
  <c r="FN6" i="3"/>
  <c r="FM6" i="3"/>
  <c r="FL6" i="3"/>
  <c r="FK6" i="3"/>
  <c r="FI6" i="3"/>
  <c r="FH6" i="3"/>
  <c r="FG6" i="3"/>
  <c r="FE6" i="3"/>
  <c r="FD6" i="3"/>
  <c r="FC6" i="3"/>
  <c r="FB6" i="3"/>
  <c r="EZ6" i="3"/>
  <c r="EY6" i="3"/>
  <c r="EX6" i="3"/>
  <c r="EW6" i="3"/>
  <c r="EU6" i="3"/>
  <c r="ET6" i="3"/>
  <c r="ER6" i="3"/>
  <c r="EQ6" i="3"/>
  <c r="EP6" i="3"/>
  <c r="EO6" i="3"/>
  <c r="EN6" i="3"/>
  <c r="EM6" i="3"/>
  <c r="EL6" i="3"/>
  <c r="EK6" i="3"/>
  <c r="EJ6" i="3"/>
  <c r="EI6" i="3"/>
  <c r="EH6" i="3"/>
  <c r="EF6" i="3"/>
  <c r="EE6" i="3"/>
  <c r="ED6" i="3"/>
  <c r="EC6" i="3"/>
  <c r="EB6" i="3"/>
  <c r="EA6" i="3"/>
  <c r="DZ6" i="3"/>
  <c r="DY6" i="3"/>
  <c r="DX6" i="3"/>
  <c r="DW6" i="3"/>
  <c r="DV6" i="3"/>
  <c r="DU6" i="3"/>
  <c r="DR6" i="3"/>
  <c r="DQ6" i="3"/>
  <c r="DP6" i="3"/>
  <c r="DO6" i="3"/>
  <c r="DN6" i="3"/>
  <c r="DM6" i="3"/>
  <c r="DL6" i="3"/>
  <c r="DJ6" i="3"/>
  <c r="DI6" i="3"/>
  <c r="DH6" i="3"/>
  <c r="DG6" i="3"/>
  <c r="DF6" i="3"/>
  <c r="DE6" i="3"/>
  <c r="DD6" i="3"/>
  <c r="DC6" i="3"/>
  <c r="DB6" i="3"/>
  <c r="DA6" i="3"/>
  <c r="CZ6" i="3"/>
  <c r="CY6" i="3"/>
  <c r="CX6" i="3"/>
  <c r="CV6" i="3"/>
  <c r="CU6" i="3"/>
  <c r="CT6" i="3"/>
  <c r="CS6" i="3"/>
  <c r="CR6" i="3"/>
  <c r="CQ6" i="3"/>
  <c r="CP6" i="3"/>
  <c r="CO6" i="3"/>
  <c r="CN6" i="3"/>
  <c r="CM6" i="3"/>
  <c r="CL6" i="3"/>
  <c r="CK6" i="3"/>
  <c r="CJ6" i="3"/>
  <c r="CG6" i="3"/>
  <c r="CF6" i="3"/>
  <c r="CE6" i="3"/>
  <c r="CD6" i="3"/>
  <c r="CC6" i="3"/>
  <c r="CB6" i="3"/>
  <c r="CA6" i="3"/>
  <c r="BZ6" i="3"/>
  <c r="BY6" i="3"/>
  <c r="BX6" i="3"/>
  <c r="BW6" i="3"/>
  <c r="AM6" i="3"/>
  <c r="AL6" i="3"/>
  <c r="AK6" i="3"/>
  <c r="AJ6" i="3"/>
  <c r="AI6" i="3"/>
  <c r="AG6" i="3"/>
  <c r="AF6" i="3"/>
  <c r="AE6" i="3"/>
  <c r="AA6" i="3"/>
  <c r="Z6" i="3"/>
  <c r="X6" i="3"/>
  <c r="W6" i="3"/>
  <c r="V6" i="3"/>
  <c r="U6" i="3"/>
  <c r="T6" i="3"/>
  <c r="S6" i="3"/>
  <c r="R6" i="3"/>
  <c r="Q6" i="3"/>
  <c r="O6" i="3"/>
  <c r="N6" i="3"/>
  <c r="M6" i="3"/>
  <c r="L6" i="3"/>
  <c r="K6" i="3"/>
  <c r="J6" i="3"/>
  <c r="I6" i="3"/>
  <c r="D6" i="3"/>
  <c r="C6" i="3"/>
  <c r="GH5" i="3"/>
  <c r="GD5" i="3"/>
  <c r="GC5" i="3"/>
  <c r="GB5" i="3"/>
  <c r="GA5" i="3"/>
  <c r="FZ5" i="3"/>
  <c r="FY5" i="3"/>
  <c r="FX5" i="3"/>
  <c r="FU5" i="3"/>
  <c r="FT5" i="3"/>
  <c r="FS5" i="3"/>
  <c r="FR5" i="3"/>
  <c r="FQ5" i="3"/>
  <c r="FP5" i="3"/>
  <c r="FO5" i="3"/>
  <c r="FN5" i="3"/>
  <c r="FM5" i="3"/>
  <c r="FL5" i="3"/>
  <c r="FK5" i="3"/>
  <c r="FH5" i="3"/>
  <c r="FG5" i="3"/>
  <c r="FE5" i="3"/>
  <c r="FD5" i="3"/>
  <c r="FC5" i="3"/>
  <c r="FB5" i="3"/>
  <c r="EZ5" i="3"/>
  <c r="EY5" i="3"/>
  <c r="EX5" i="3"/>
  <c r="EW5" i="3"/>
  <c r="EU5" i="3"/>
  <c r="ET5" i="3"/>
  <c r="ER5" i="3"/>
  <c r="EQ5" i="3"/>
  <c r="EP5" i="3"/>
  <c r="EO5" i="3"/>
  <c r="EN5" i="3"/>
  <c r="EM5" i="3"/>
  <c r="EL5" i="3"/>
  <c r="EK5" i="3"/>
  <c r="EJ5" i="3"/>
  <c r="EI5" i="3"/>
  <c r="EH5" i="3"/>
  <c r="EF5" i="3"/>
  <c r="EE5" i="3"/>
  <c r="ED5" i="3"/>
  <c r="EC5" i="3"/>
  <c r="EB5" i="3"/>
  <c r="EA5" i="3"/>
  <c r="DZ5" i="3"/>
  <c r="DY5" i="3"/>
  <c r="DX5" i="3"/>
  <c r="DW5" i="3"/>
  <c r="DU5" i="3"/>
  <c r="DR5" i="3"/>
  <c r="DQ5" i="3"/>
  <c r="DP5" i="3"/>
  <c r="DO5" i="3"/>
  <c r="DN5" i="3"/>
  <c r="DM5" i="3"/>
  <c r="DL5" i="3"/>
  <c r="DJ5" i="3"/>
  <c r="DI5" i="3"/>
  <c r="DH5" i="3"/>
  <c r="DG5" i="3"/>
  <c r="DF5" i="3"/>
  <c r="DC5" i="3"/>
  <c r="DB5" i="3"/>
  <c r="DA5" i="3"/>
  <c r="CZ5" i="3"/>
  <c r="CY5" i="3"/>
  <c r="CX5" i="3"/>
  <c r="CT5" i="3"/>
  <c r="CJ5" i="3"/>
  <c r="CG5" i="3"/>
  <c r="CF5" i="3"/>
  <c r="CE5" i="3"/>
  <c r="CD5" i="3"/>
  <c r="CC5" i="3"/>
  <c r="CB5" i="3"/>
  <c r="CA5" i="3"/>
  <c r="BZ5" i="3"/>
  <c r="BY5" i="3"/>
  <c r="BX5" i="3"/>
  <c r="BW5" i="3"/>
  <c r="BO5" i="3"/>
  <c r="BL5" i="3"/>
  <c r="BK5" i="3"/>
  <c r="BJ5" i="3"/>
  <c r="BI5" i="3"/>
  <c r="BG5" i="3"/>
  <c r="BD5" i="3"/>
  <c r="BC5" i="3"/>
  <c r="BB5" i="3"/>
  <c r="BA5" i="3"/>
  <c r="AZ5" i="3"/>
  <c r="AY5" i="3"/>
  <c r="AX5" i="3"/>
  <c r="AW5" i="3"/>
  <c r="AU5" i="3"/>
  <c r="AT5" i="3"/>
  <c r="AS5" i="3"/>
  <c r="AR5" i="3"/>
  <c r="AQ5" i="3"/>
  <c r="AO5" i="3"/>
  <c r="AN5" i="3"/>
  <c r="AM5" i="3"/>
  <c r="AL5" i="3"/>
  <c r="AK5" i="3"/>
  <c r="AJ5" i="3"/>
  <c r="AI5" i="3"/>
  <c r="AG5" i="3"/>
  <c r="AF5" i="3"/>
  <c r="AE5" i="3"/>
  <c r="AA5" i="3"/>
  <c r="Z5" i="3"/>
  <c r="X5" i="3"/>
  <c r="W5" i="3"/>
  <c r="V5" i="3"/>
  <c r="U5" i="3"/>
  <c r="T5" i="3"/>
  <c r="S5" i="3"/>
  <c r="R5" i="3"/>
  <c r="Q5" i="3"/>
  <c r="O5" i="3"/>
  <c r="M5" i="3"/>
  <c r="L5" i="3"/>
  <c r="K5" i="3"/>
  <c r="J5" i="3"/>
  <c r="I5" i="3"/>
  <c r="D5" i="3"/>
  <c r="C5" i="3"/>
  <c r="GH4" i="3"/>
  <c r="GG4" i="3"/>
  <c r="GC4" i="3"/>
  <c r="GB4" i="3"/>
  <c r="GA4" i="3"/>
  <c r="FZ4" i="3"/>
  <c r="FY4" i="3"/>
  <c r="FX4" i="3"/>
  <c r="FU4" i="3"/>
  <c r="FT4" i="3"/>
  <c r="FS4" i="3"/>
  <c r="FR4" i="3"/>
  <c r="FQ4" i="3"/>
  <c r="FP4" i="3"/>
  <c r="FO4" i="3"/>
  <c r="FN4" i="3"/>
  <c r="FM4" i="3"/>
  <c r="FL4" i="3"/>
  <c r="FK4" i="3"/>
  <c r="FI4" i="3"/>
  <c r="FH4" i="3"/>
  <c r="FG4" i="3"/>
  <c r="FE4" i="3"/>
  <c r="FD4" i="3"/>
  <c r="FC4" i="3"/>
  <c r="FB4" i="3"/>
  <c r="EZ4" i="3"/>
  <c r="EW4" i="3"/>
  <c r="EU4" i="3"/>
  <c r="ET4" i="3"/>
  <c r="ER4" i="3"/>
  <c r="EQ4" i="3"/>
  <c r="EP4" i="3"/>
  <c r="EO4" i="3"/>
  <c r="EN4" i="3"/>
  <c r="EM4" i="3"/>
  <c r="EL4" i="3"/>
  <c r="EK4" i="3"/>
  <c r="EJ4" i="3"/>
  <c r="EI4" i="3"/>
  <c r="EH4" i="3"/>
  <c r="EF4" i="3"/>
  <c r="EE4" i="3"/>
  <c r="ED4" i="3"/>
  <c r="EC4" i="3"/>
  <c r="EB4" i="3"/>
  <c r="EA4" i="3"/>
  <c r="DZ4" i="3"/>
  <c r="DY4" i="3"/>
  <c r="DX4" i="3"/>
  <c r="DW4" i="3"/>
  <c r="DV4" i="3"/>
  <c r="DU4" i="3"/>
  <c r="DR4" i="3"/>
  <c r="DQ4" i="3"/>
  <c r="DP4" i="3"/>
  <c r="DO4" i="3"/>
  <c r="DM4" i="3"/>
  <c r="DL4" i="3"/>
  <c r="DJ4" i="3"/>
  <c r="DH4" i="3"/>
  <c r="DF4" i="3"/>
  <c r="DC4" i="3"/>
  <c r="DB4" i="3"/>
  <c r="DA4" i="3"/>
  <c r="CZ4" i="3"/>
  <c r="CY4" i="3"/>
  <c r="CX4" i="3"/>
  <c r="CT4" i="3"/>
  <c r="CS4" i="3"/>
  <c r="CJ4" i="3"/>
  <c r="CE4" i="3"/>
  <c r="CD4" i="3"/>
  <c r="CC4" i="3"/>
  <c r="CB4" i="3"/>
  <c r="CA4" i="3"/>
  <c r="BZ4" i="3"/>
  <c r="BY4" i="3"/>
  <c r="BX4" i="3"/>
  <c r="BW4" i="3"/>
  <c r="BT4" i="3"/>
  <c r="BS4" i="3"/>
  <c r="BR4" i="3"/>
  <c r="BQ4" i="3"/>
  <c r="BP4" i="3"/>
  <c r="BO4" i="3"/>
  <c r="BL4" i="3"/>
  <c r="BK4" i="3"/>
  <c r="BJ4" i="3"/>
  <c r="BI4" i="3"/>
  <c r="BG4" i="3"/>
  <c r="BD4" i="3"/>
  <c r="BC4" i="3"/>
  <c r="BB4" i="3"/>
  <c r="BA4" i="3"/>
  <c r="AZ4" i="3"/>
  <c r="AY4" i="3"/>
  <c r="AX4" i="3"/>
  <c r="AW4" i="3"/>
  <c r="AT4" i="3"/>
  <c r="AR4" i="3"/>
  <c r="AQ4" i="3"/>
  <c r="AO4" i="3"/>
  <c r="AN4" i="3"/>
  <c r="AM4" i="3"/>
  <c r="AL4" i="3"/>
  <c r="AJ4" i="3"/>
  <c r="AI4" i="3"/>
  <c r="AG4" i="3"/>
  <c r="AF4" i="3"/>
  <c r="AE4" i="3"/>
  <c r="AC4" i="3"/>
  <c r="AB4" i="3"/>
  <c r="AA4" i="3"/>
  <c r="Z4" i="3"/>
  <c r="X4" i="3"/>
  <c r="W4" i="3"/>
  <c r="V4" i="3"/>
  <c r="U4" i="3"/>
  <c r="T4" i="3"/>
  <c r="S4" i="3"/>
  <c r="R4" i="3"/>
  <c r="Q4" i="3"/>
  <c r="O4" i="3"/>
  <c r="N4" i="3"/>
  <c r="M4" i="3"/>
  <c r="L4" i="3"/>
  <c r="K4" i="3"/>
  <c r="J4" i="3"/>
  <c r="I4" i="3"/>
  <c r="D4" i="3"/>
  <c r="C4" i="3"/>
  <c r="GH3" i="3"/>
  <c r="GG3" i="3"/>
  <c r="GD3" i="3"/>
  <c r="GC3" i="3"/>
  <c r="GB3" i="3"/>
  <c r="GA3" i="3"/>
  <c r="FZ3" i="3"/>
  <c r="FY3" i="3"/>
  <c r="FX3" i="3"/>
  <c r="FU3" i="3"/>
  <c r="FT3" i="3"/>
  <c r="FS3" i="3"/>
  <c r="FR3" i="3"/>
  <c r="FQ3" i="3"/>
  <c r="FP3" i="3"/>
  <c r="FO3" i="3"/>
  <c r="FN3" i="3"/>
  <c r="FM3" i="3"/>
  <c r="FL3" i="3"/>
  <c r="FK3" i="3"/>
  <c r="FI3" i="3"/>
  <c r="FH3" i="3"/>
  <c r="FG3" i="3"/>
  <c r="FE3" i="3"/>
  <c r="FD3" i="3"/>
  <c r="FC3" i="3"/>
  <c r="FB3" i="3"/>
  <c r="EZ3" i="3"/>
  <c r="EW3" i="3"/>
  <c r="EU3" i="3"/>
  <c r="ET3" i="3"/>
  <c r="ER3" i="3"/>
  <c r="EQ3" i="3"/>
  <c r="EP3" i="3"/>
  <c r="EO3" i="3"/>
  <c r="EN3" i="3"/>
  <c r="EM3" i="3"/>
  <c r="EL3" i="3"/>
  <c r="EK3" i="3"/>
  <c r="EJ3" i="3"/>
  <c r="EI3" i="3"/>
  <c r="EH3" i="3"/>
  <c r="EF3" i="3"/>
  <c r="EE3" i="3"/>
  <c r="ED3" i="3"/>
  <c r="EC3" i="3"/>
  <c r="EB3" i="3"/>
  <c r="EA3" i="3"/>
  <c r="DZ3" i="3"/>
  <c r="DY3" i="3"/>
  <c r="DX3" i="3"/>
  <c r="DW3" i="3"/>
  <c r="DV3" i="3"/>
  <c r="DU3" i="3"/>
  <c r="DR3" i="3"/>
  <c r="DQ3" i="3"/>
  <c r="DP3" i="3"/>
  <c r="DO3" i="3"/>
  <c r="DN3" i="3"/>
  <c r="DM3" i="3"/>
  <c r="DL3" i="3"/>
  <c r="DJ3" i="3"/>
  <c r="DI3" i="3"/>
  <c r="DH3" i="3"/>
  <c r="DG3" i="3"/>
  <c r="DF3" i="3"/>
  <c r="DE3" i="3"/>
  <c r="DD3" i="3"/>
  <c r="DC3" i="3"/>
  <c r="DB3" i="3"/>
  <c r="DA3" i="3"/>
  <c r="CZ3" i="3"/>
  <c r="CY3" i="3"/>
  <c r="CX3" i="3"/>
  <c r="CT3" i="3"/>
  <c r="CS3" i="3"/>
  <c r="CJ3" i="3"/>
  <c r="CA3" i="3"/>
  <c r="BZ3" i="3"/>
  <c r="BY3" i="3"/>
  <c r="BX3" i="3"/>
  <c r="BW3" i="3"/>
  <c r="BT3" i="3"/>
  <c r="BS3" i="3"/>
  <c r="BQ3" i="3"/>
  <c r="BP3" i="3"/>
  <c r="BO3" i="3"/>
  <c r="BL3" i="3"/>
  <c r="BK3" i="3"/>
  <c r="BJ3" i="3"/>
  <c r="BI3" i="3"/>
  <c r="BH3" i="3"/>
  <c r="BG3" i="3"/>
  <c r="BD3" i="3"/>
  <c r="BC3" i="3"/>
  <c r="BB3" i="3"/>
  <c r="BA3" i="3"/>
  <c r="AZ3" i="3"/>
  <c r="AY3" i="3"/>
  <c r="AX3" i="3"/>
  <c r="AW3" i="3"/>
  <c r="AM3" i="3"/>
  <c r="AL3" i="3"/>
  <c r="AK3" i="3"/>
  <c r="AJ3" i="3"/>
  <c r="AI3" i="3"/>
  <c r="AG3" i="3"/>
  <c r="AF3" i="3"/>
  <c r="AE3" i="3"/>
  <c r="AA3" i="3"/>
  <c r="Z3" i="3"/>
  <c r="X3" i="3"/>
  <c r="W3" i="3"/>
  <c r="V3" i="3"/>
  <c r="U3" i="3"/>
  <c r="T3" i="3"/>
  <c r="S3" i="3"/>
  <c r="R3" i="3"/>
  <c r="Q3" i="3"/>
  <c r="O3" i="3"/>
  <c r="M3" i="3"/>
  <c r="L3" i="3"/>
  <c r="K3" i="3"/>
  <c r="J3" i="3"/>
  <c r="I3" i="3"/>
  <c r="G3" i="3"/>
  <c r="F3" i="3"/>
  <c r="E3" i="3"/>
  <c r="D3" i="3"/>
  <c r="C3" i="3"/>
  <c r="GH2" i="3"/>
  <c r="GG2" i="3"/>
  <c r="GD2" i="3"/>
  <c r="GC2" i="3"/>
  <c r="GB2" i="3"/>
  <c r="GA2" i="3"/>
  <c r="FZ2" i="3"/>
  <c r="FY2" i="3"/>
  <c r="FX2" i="3"/>
  <c r="FU2" i="3"/>
  <c r="FT2" i="3"/>
  <c r="FS2" i="3"/>
  <c r="FR2" i="3"/>
  <c r="FP2" i="3"/>
  <c r="FO2" i="3"/>
  <c r="FN2" i="3"/>
  <c r="FM2" i="3"/>
  <c r="FL2" i="3"/>
  <c r="FK2" i="3"/>
  <c r="FI2" i="3"/>
  <c r="FH2" i="3"/>
  <c r="FG2" i="3"/>
  <c r="FE2" i="3"/>
  <c r="FD2" i="3"/>
  <c r="FC2" i="3"/>
  <c r="FB2" i="3"/>
  <c r="EZ2" i="3"/>
  <c r="EW2" i="3"/>
  <c r="EU2" i="3"/>
  <c r="ET2" i="3"/>
  <c r="ER2" i="3"/>
  <c r="EQ2" i="3"/>
  <c r="EP2" i="3"/>
  <c r="EO2" i="3"/>
  <c r="EN2" i="3"/>
  <c r="EM2" i="3"/>
  <c r="EL2" i="3"/>
  <c r="EK2" i="3"/>
  <c r="EJ2" i="3"/>
  <c r="EI2" i="3"/>
  <c r="EH2" i="3"/>
  <c r="EF2" i="3"/>
  <c r="EE2" i="3"/>
  <c r="ED2" i="3"/>
  <c r="EC2" i="3"/>
  <c r="EB2" i="3"/>
  <c r="EA2" i="3"/>
  <c r="DZ2" i="3"/>
  <c r="DY2" i="3"/>
  <c r="DX2" i="3"/>
  <c r="DW2" i="3"/>
  <c r="DV2" i="3"/>
  <c r="DU2" i="3"/>
  <c r="DR2" i="3"/>
  <c r="DQ2" i="3"/>
  <c r="DP2" i="3"/>
  <c r="DO2" i="3"/>
  <c r="DM2" i="3"/>
  <c r="DL2" i="3"/>
  <c r="DJ2" i="3"/>
  <c r="DI2" i="3"/>
  <c r="DH2" i="3"/>
  <c r="DG2" i="3"/>
  <c r="DF2" i="3"/>
  <c r="DE2" i="3"/>
  <c r="DD2" i="3"/>
  <c r="DC2" i="3"/>
  <c r="DB2" i="3"/>
  <c r="DA2" i="3"/>
  <c r="CZ2" i="3"/>
  <c r="CY2" i="3"/>
  <c r="CX2" i="3"/>
  <c r="CT2" i="3"/>
  <c r="CJ2" i="3"/>
  <c r="CG2" i="3"/>
  <c r="CF2" i="3"/>
  <c r="CE2" i="3"/>
  <c r="CD2" i="3"/>
  <c r="CC2" i="3"/>
  <c r="CB2" i="3"/>
  <c r="CA2" i="3"/>
  <c r="BZ2" i="3"/>
  <c r="BY2" i="3"/>
  <c r="BX2" i="3"/>
  <c r="BW2" i="3"/>
  <c r="BL2" i="3"/>
  <c r="BK2" i="3"/>
  <c r="BJ2" i="3"/>
  <c r="BI2" i="3"/>
  <c r="BG2" i="3"/>
  <c r="BD2" i="3"/>
  <c r="BC2" i="3"/>
  <c r="BB2" i="3"/>
  <c r="BA2" i="3"/>
  <c r="AZ2" i="3"/>
  <c r="AY2" i="3"/>
  <c r="AX2" i="3"/>
  <c r="AW2" i="3"/>
  <c r="AU2" i="3"/>
  <c r="AT2" i="3"/>
  <c r="AQ2" i="3"/>
  <c r="AO2" i="3"/>
  <c r="AN2" i="3"/>
  <c r="AM2" i="3"/>
  <c r="AL2" i="3"/>
  <c r="AK2" i="3"/>
  <c r="AJ2" i="3"/>
  <c r="AI2" i="3"/>
  <c r="AG2" i="3"/>
  <c r="AF2" i="3"/>
  <c r="AE2" i="3"/>
  <c r="R2" i="3"/>
  <c r="Q2" i="3"/>
  <c r="N2" i="3"/>
  <c r="M2" i="3"/>
  <c r="L2" i="3"/>
  <c r="K2" i="3"/>
  <c r="J2" i="3"/>
  <c r="I2" i="3"/>
  <c r="D2" i="3"/>
  <c r="C2" i="3"/>
  <c r="GI1" i="3"/>
  <c r="GH1" i="3"/>
  <c r="GG1" i="3"/>
  <c r="GF1" i="3"/>
  <c r="GE1" i="3"/>
  <c r="GD1" i="3"/>
  <c r="GC1" i="3"/>
  <c r="GB1" i="3"/>
  <c r="GA1" i="3"/>
  <c r="FZ1" i="3"/>
  <c r="FY1" i="3"/>
  <c r="FX1" i="3"/>
  <c r="FW1" i="3"/>
  <c r="FV1" i="3"/>
  <c r="FU1" i="3"/>
  <c r="FT1" i="3"/>
  <c r="FS1" i="3"/>
  <c r="FR1" i="3"/>
  <c r="FQ1" i="3"/>
  <c r="FP1" i="3"/>
  <c r="FO1" i="3"/>
  <c r="FN1" i="3"/>
  <c r="FM1" i="3"/>
  <c r="FL1" i="3"/>
  <c r="FK1" i="3"/>
  <c r="FJ1" i="3"/>
  <c r="FI1" i="3"/>
  <c r="FH1" i="3"/>
  <c r="FG1" i="3"/>
  <c r="FF1" i="3"/>
  <c r="FE1" i="3"/>
  <c r="FD1" i="3"/>
  <c r="FC1" i="3"/>
  <c r="FB1" i="3"/>
  <c r="FA1" i="3"/>
  <c r="EZ1" i="3"/>
  <c r="EY1" i="3"/>
  <c r="EX1" i="3"/>
  <c r="EW1" i="3"/>
  <c r="EV1" i="3"/>
  <c r="EU1" i="3"/>
  <c r="ET1" i="3"/>
  <c r="ES1" i="3"/>
  <c r="ER1" i="3"/>
  <c r="EQ1" i="3"/>
  <c r="EP1" i="3"/>
  <c r="EO1" i="3"/>
  <c r="EN1" i="3"/>
  <c r="EM1" i="3"/>
  <c r="EL1" i="3"/>
  <c r="EK1" i="3"/>
  <c r="EJ1" i="3"/>
  <c r="EI1" i="3"/>
  <c r="EH1" i="3"/>
  <c r="EG1" i="3"/>
  <c r="EF1" i="3"/>
  <c r="EE1" i="3"/>
  <c r="ED1" i="3"/>
  <c r="EC1" i="3"/>
  <c r="EB1" i="3"/>
  <c r="EA1" i="3"/>
  <c r="DZ1" i="3"/>
  <c r="DY1" i="3"/>
  <c r="DX1" i="3"/>
  <c r="DW1" i="3"/>
  <c r="DV1" i="3"/>
  <c r="DU1" i="3"/>
  <c r="DT1" i="3"/>
  <c r="DS1" i="3"/>
  <c r="DR1" i="3"/>
  <c r="DQ1" i="3"/>
  <c r="DP1" i="3"/>
  <c r="DO1" i="3"/>
  <c r="DN1" i="3"/>
  <c r="DM1" i="3"/>
  <c r="DL1" i="3"/>
  <c r="DK1" i="3"/>
  <c r="DJ1" i="3"/>
  <c r="DI1" i="3"/>
  <c r="DH1" i="3"/>
  <c r="DG1" i="3"/>
  <c r="DF1" i="3"/>
  <c r="DE1" i="3"/>
  <c r="DD1" i="3"/>
  <c r="DC1" i="3"/>
  <c r="DB1" i="3"/>
  <c r="DA1" i="3"/>
  <c r="CZ1" i="3"/>
  <c r="CY1" i="3"/>
  <c r="CX1" i="3"/>
  <c r="CW1" i="3"/>
  <c r="CV1" i="3"/>
  <c r="CU1" i="3"/>
  <c r="CT1" i="3"/>
  <c r="CS1" i="3"/>
  <c r="CR1" i="3"/>
  <c r="CQ1" i="3"/>
  <c r="CP1" i="3"/>
  <c r="CO1" i="3"/>
  <c r="CN1" i="3"/>
  <c r="CM1" i="3"/>
  <c r="CL1" i="3"/>
  <c r="CK1" i="3"/>
  <c r="CJ1" i="3"/>
  <c r="CI1" i="3"/>
  <c r="CH1" i="3"/>
  <c r="CG1" i="3"/>
  <c r="CF1" i="3"/>
  <c r="CE1" i="3"/>
  <c r="CD1" i="3"/>
  <c r="CC1" i="3"/>
  <c r="CB1" i="3"/>
  <c r="CA1" i="3"/>
  <c r="BZ1" i="3"/>
  <c r="BY1" i="3"/>
  <c r="BX1" i="3"/>
  <c r="BW1" i="3"/>
  <c r="BV1" i="3"/>
  <c r="BU1" i="3"/>
  <c r="BT1" i="3"/>
  <c r="BS1" i="3"/>
  <c r="BR1" i="3"/>
  <c r="BQ1" i="3"/>
  <c r="BP1" i="3"/>
  <c r="BO1" i="3"/>
  <c r="BN1" i="3"/>
  <c r="BM1" i="3"/>
  <c r="BL1" i="3"/>
  <c r="BK1" i="3"/>
  <c r="BJ1" i="3"/>
  <c r="BI1" i="3"/>
  <c r="BH1" i="3"/>
  <c r="BG1" i="3"/>
  <c r="BF1" i="3"/>
  <c r="BE1" i="3"/>
  <c r="BD1" i="3"/>
  <c r="BC1" i="3"/>
  <c r="BB1" i="3"/>
  <c r="BA1" i="3"/>
  <c r="AZ1" i="3"/>
  <c r="AY1" i="3"/>
  <c r="AX1" i="3"/>
  <c r="AW1" i="3"/>
  <c r="AV1" i="3"/>
  <c r="AU1" i="3"/>
  <c r="AT1" i="3"/>
  <c r="AS1" i="3"/>
  <c r="AR1" i="3"/>
  <c r="AQ1" i="3"/>
  <c r="AP1" i="3"/>
  <c r="AO1" i="3"/>
  <c r="AN1" i="3"/>
  <c r="AM1" i="3"/>
  <c r="AL1" i="3"/>
  <c r="AK1" i="3"/>
  <c r="AJ1" i="3"/>
  <c r="AI1" i="3"/>
  <c r="AH1" i="3"/>
  <c r="AG1" i="3"/>
  <c r="AF1" i="3"/>
  <c r="AE1" i="3"/>
  <c r="AD1" i="3"/>
  <c r="AC1" i="3"/>
  <c r="AB1" i="3"/>
  <c r="AA1" i="3"/>
  <c r="Z1" i="3"/>
  <c r="Y1" i="3"/>
  <c r="X1" i="3"/>
  <c r="W1" i="3"/>
  <c r="V1" i="3"/>
  <c r="U1" i="3"/>
  <c r="T1" i="3"/>
  <c r="S1" i="3"/>
  <c r="R1" i="3"/>
  <c r="Q1" i="3"/>
  <c r="P1" i="3"/>
  <c r="O1" i="3"/>
  <c r="N1" i="3"/>
  <c r="M1" i="3"/>
  <c r="L1" i="3"/>
  <c r="K1" i="3"/>
  <c r="J1" i="3"/>
  <c r="I1" i="3"/>
  <c r="H1" i="3"/>
  <c r="G1" i="3"/>
  <c r="F1" i="3"/>
  <c r="E1" i="3"/>
  <c r="D1" i="3"/>
  <c r="C1" i="3"/>
  <c r="B1" i="3"/>
  <c r="A1" i="3"/>
  <c r="I83" i="2" l="1" a="1"/>
  <c r="I83" i="2" s="1"/>
  <c r="I94" i="2" a="1"/>
  <c r="I94" i="2" s="1"/>
  <c r="P70" i="2" a="1"/>
  <c r="P70" i="2" s="1"/>
  <c r="F106" i="2" a="1"/>
  <c r="F106" i="2" s="1"/>
  <c r="I99" i="2" a="1"/>
  <c r="I99" i="2" s="1"/>
  <c r="L91" i="5" a="1"/>
  <c r="L91" i="5" s="1"/>
  <c r="P59" i="2" a="1"/>
  <c r="P59" i="2" s="1"/>
  <c r="D109" i="2" a="1"/>
  <c r="D109" i="2" s="1"/>
  <c r="Z22" i="2" a="1"/>
  <c r="Z22" i="2" s="1"/>
  <c r="A45" i="2" a="1"/>
  <c r="A45" i="2" s="1"/>
  <c r="I69" i="2" a="1"/>
  <c r="I69" i="2" s="1"/>
  <c r="I82" i="2" a="1"/>
  <c r="I82" i="2" s="1"/>
  <c r="P105" i="2" a="1"/>
  <c r="P105" i="2" s="1"/>
  <c r="AD16" i="5" a="1"/>
  <c r="AD16" i="5" s="1"/>
  <c r="AC30" i="5" a="1"/>
  <c r="AC30" i="5" s="1"/>
  <c r="I71" i="5" a="1"/>
  <c r="I71" i="5" s="1"/>
  <c r="I101" i="5" a="1"/>
  <c r="I101" i="5" s="1"/>
  <c r="D8" i="2" a="1"/>
  <c r="D8" i="2" s="1"/>
  <c r="X6" i="2" a="1"/>
  <c r="X6" i="2" s="1"/>
  <c r="AD6" i="2" s="1"/>
  <c r="D5" i="2" a="1"/>
  <c r="D5" i="2" s="1"/>
  <c r="AD8" i="2" a="1"/>
  <c r="AD8" i="2" s="1"/>
  <c r="AF16" i="5" a="1"/>
  <c r="AF16" i="5" s="1"/>
  <c r="B31" i="5" a="1"/>
  <c r="B31" i="5" s="1"/>
  <c r="P71" i="5" a="1"/>
  <c r="P71" i="5" s="1"/>
  <c r="I102" i="5" a="1"/>
  <c r="I102" i="5" s="1"/>
  <c r="AF1" i="2" a="1"/>
  <c r="AF1" i="2" s="1"/>
  <c r="Z17" i="2" a="1"/>
  <c r="Z17" i="2" s="1"/>
  <c r="A52" i="2" a="1"/>
  <c r="A52" i="2" s="1"/>
  <c r="I71" i="2" a="1"/>
  <c r="I71" i="2" s="1"/>
  <c r="I96" i="2" a="1"/>
  <c r="I96" i="2" s="1"/>
  <c r="M106" i="2" a="1"/>
  <c r="M106" i="2" s="1"/>
  <c r="R5" i="5" a="1"/>
  <c r="R5" i="5" s="1"/>
  <c r="X18" i="5" a="1"/>
  <c r="X18" i="5" s="1"/>
  <c r="N33" i="5" a="1"/>
  <c r="N33" i="5" s="1"/>
  <c r="I76" i="5" a="1"/>
  <c r="I76" i="5" s="1"/>
  <c r="M106" i="5" a="1"/>
  <c r="M106" i="5" s="1"/>
  <c r="AA18" i="5" a="1"/>
  <c r="AA18" i="5" s="1"/>
  <c r="P106" i="5" a="1"/>
  <c r="P106" i="5" s="1"/>
  <c r="U4" i="2" a="1"/>
  <c r="U4" i="2" s="1"/>
  <c r="B14" i="2" a="1"/>
  <c r="B14" i="2" s="1"/>
  <c r="I60" i="2" a="1"/>
  <c r="I60" i="2" s="1"/>
  <c r="I87" i="2" a="1"/>
  <c r="I87" i="2" s="1"/>
  <c r="P97" i="2" a="1"/>
  <c r="P97" i="2" s="1"/>
  <c r="I108" i="2" a="1"/>
  <c r="I108" i="2" s="1"/>
  <c r="AD20" i="5" a="1"/>
  <c r="AD20" i="5" s="1"/>
  <c r="F37" i="5" a="1"/>
  <c r="F37" i="5" s="1"/>
  <c r="P81" i="5" a="1"/>
  <c r="P81" i="5" s="1"/>
  <c r="L109" i="5" a="1"/>
  <c r="L109" i="5" s="1"/>
  <c r="G4" i="2" a="1"/>
  <c r="G4" i="2" s="1"/>
  <c r="V33" i="5" a="1"/>
  <c r="V33" i="5" s="1"/>
  <c r="I77" i="5" a="1"/>
  <c r="I77" i="5" s="1"/>
  <c r="AG4" i="2" a="1"/>
  <c r="AG4" i="2" s="1"/>
  <c r="S26" i="2" a="1"/>
  <c r="S26" i="2" s="1"/>
  <c r="I61" i="2" a="1"/>
  <c r="I61" i="2" s="1"/>
  <c r="I74" i="2" a="1"/>
  <c r="I74" i="2" s="1"/>
  <c r="I88" i="2" a="1"/>
  <c r="I88" i="2" s="1"/>
  <c r="P108" i="2" a="1"/>
  <c r="P108" i="2" s="1"/>
  <c r="F21" i="5" a="1"/>
  <c r="F21" i="5" s="1"/>
  <c r="I37" i="5" a="1"/>
  <c r="I37" i="5" s="1"/>
  <c r="I82" i="5" a="1"/>
  <c r="I82" i="5" s="1"/>
  <c r="P109" i="5" a="1"/>
  <c r="P109" i="5" s="1"/>
  <c r="I85" i="2" a="1"/>
  <c r="I85" i="2" s="1"/>
  <c r="J10" i="5" a="1"/>
  <c r="J10" i="5" s="1"/>
  <c r="AD21" i="5" a="1"/>
  <c r="AD21" i="5" s="1"/>
  <c r="F42" i="5" a="1"/>
  <c r="F42" i="5" s="1"/>
  <c r="I87" i="5" a="1"/>
  <c r="I87" i="5" s="1"/>
  <c r="R6" i="2" a="1"/>
  <c r="R6" i="2" s="1"/>
  <c r="V19" i="2" a="1"/>
  <c r="V19" i="2" s="1"/>
  <c r="V36" i="2" a="1"/>
  <c r="V36" i="2" s="1"/>
  <c r="I63" i="2" a="1"/>
  <c r="I63" i="2" s="1"/>
  <c r="I77" i="2" a="1"/>
  <c r="I77" i="2" s="1"/>
  <c r="I101" i="2" a="1"/>
  <c r="I101" i="2" s="1"/>
  <c r="Q10" i="5" a="1"/>
  <c r="Q10" i="5" s="1"/>
  <c r="F22" i="5" a="1"/>
  <c r="F22" i="5" s="1"/>
  <c r="V42" i="5" a="1"/>
  <c r="V42" i="5" s="1"/>
  <c r="I88" i="5" a="1"/>
  <c r="I88" i="5" s="1"/>
  <c r="P88" i="2" a="1"/>
  <c r="P88" i="2" s="1"/>
  <c r="I65" i="2" a="1"/>
  <c r="I65" i="2" s="1"/>
  <c r="I78" i="2" a="1"/>
  <c r="I78" i="2" s="1"/>
  <c r="I90" i="2" a="1"/>
  <c r="I90" i="2" s="1"/>
  <c r="I102" i="2" a="1"/>
  <c r="I102" i="2" s="1"/>
  <c r="M13" i="5" a="1"/>
  <c r="M13" i="5" s="1"/>
  <c r="R23" i="5" a="1"/>
  <c r="R23" i="5" s="1"/>
  <c r="I60" i="5" a="1"/>
  <c r="I60" i="5" s="1"/>
  <c r="I72" i="2" a="1"/>
  <c r="I72" i="2" s="1"/>
  <c r="I76" i="2" a="1"/>
  <c r="I76" i="2" s="1"/>
  <c r="B32" i="2" a="1"/>
  <c r="B32" i="2" s="1"/>
  <c r="S28" i="2" a="1"/>
  <c r="S28" i="2" s="1"/>
  <c r="B26" i="2" a="1"/>
  <c r="B26" i="2" s="1"/>
  <c r="N22" i="2" a="1"/>
  <c r="N22" i="2" s="1"/>
  <c r="O19" i="2" a="1"/>
  <c r="O19" i="2" s="1"/>
  <c r="R17" i="2" a="1"/>
  <c r="R17" i="2" s="1"/>
  <c r="V14" i="2" a="1"/>
  <c r="V14" i="2" s="1"/>
  <c r="AC11" i="2" a="1"/>
  <c r="AC11" i="2" s="1"/>
  <c r="S34" i="2" a="1"/>
  <c r="S34" i="2" s="1"/>
  <c r="AH31" i="2" a="1"/>
  <c r="AH31" i="2" s="1"/>
  <c r="N28" i="2" a="1"/>
  <c r="N28" i="2" s="1"/>
  <c r="S24" i="2" a="1"/>
  <c r="S24" i="2" s="1"/>
  <c r="B22" i="2" a="1"/>
  <c r="B22" i="2" s="1"/>
  <c r="K19" i="2" a="1"/>
  <c r="K19" i="2" s="1"/>
  <c r="O17" i="2" a="1"/>
  <c r="O17" i="2" s="1"/>
  <c r="R14" i="2" a="1"/>
  <c r="R14" i="2" s="1"/>
  <c r="V11" i="2" a="1"/>
  <c r="V11" i="2" s="1"/>
  <c r="L108" i="2" a="1"/>
  <c r="L108" i="2" s="1"/>
  <c r="M105" i="2" a="1"/>
  <c r="M105" i="2" s="1"/>
  <c r="I100" i="2" a="1"/>
  <c r="I100" i="2" s="1"/>
  <c r="I95" i="2" a="1"/>
  <c r="I95" i="2" s="1"/>
  <c r="L90" i="2" a="1"/>
  <c r="L90" i="2" s="1"/>
  <c r="I86" i="2" a="1"/>
  <c r="I86" i="2" s="1"/>
  <c r="P80" i="2" a="1"/>
  <c r="P80" i="2" s="1"/>
  <c r="I75" i="2" a="1"/>
  <c r="I75" i="2" s="1"/>
  <c r="I70" i="2" a="1"/>
  <c r="I70" i="2" s="1"/>
  <c r="I64" i="2" a="1"/>
  <c r="I64" i="2" s="1"/>
  <c r="I59" i="2" a="1"/>
  <c r="I59" i="2" s="1"/>
  <c r="V39" i="2" a="1"/>
  <c r="V39" i="2" s="1"/>
  <c r="AD2" i="2" a="1"/>
  <c r="AD2" i="2" s="1"/>
  <c r="N34" i="2" a="1"/>
  <c r="N34" i="2" s="1"/>
  <c r="X34" i="2" s="1"/>
  <c r="AB31" i="2" a="1"/>
  <c r="AB31" i="2" s="1"/>
  <c r="B28" i="2" a="1"/>
  <c r="B28" i="2" s="1"/>
  <c r="N24" i="2" a="1"/>
  <c r="N24" i="2" s="1"/>
  <c r="AF19" i="2" a="1"/>
  <c r="AF19" i="2" s="1"/>
  <c r="D19" i="2" a="1"/>
  <c r="D19" i="2" s="1"/>
  <c r="K17" i="2" a="1"/>
  <c r="K17" i="2" s="1"/>
  <c r="O14" i="2" a="1"/>
  <c r="O14" i="2" s="1"/>
  <c r="Q11" i="2" a="1"/>
  <c r="Q11" i="2" s="1"/>
  <c r="Z32" i="2" a="1"/>
  <c r="Z32" i="2" s="1"/>
  <c r="S30" i="2" a="1"/>
  <c r="S30" i="2" s="1"/>
  <c r="Z27" i="2" a="1"/>
  <c r="Z27" i="2" s="1"/>
  <c r="B24" i="2" a="1"/>
  <c r="B24" i="2" s="1"/>
  <c r="Z19" i="2" a="1"/>
  <c r="Z19" i="2" s="1"/>
  <c r="AF17" i="2" a="1"/>
  <c r="AF17" i="2" s="1"/>
  <c r="D17" i="2" a="1"/>
  <c r="D17" i="2" s="1"/>
  <c r="M14" i="2" a="1"/>
  <c r="M14" i="2" s="1"/>
  <c r="J11" i="2" a="1"/>
  <c r="J11" i="2" s="1"/>
  <c r="Z45" i="2" a="1"/>
  <c r="Z45" i="2" s="1"/>
  <c r="N1" i="2" a="1"/>
  <c r="N1" i="2" s="1"/>
  <c r="I112" i="2" a="1"/>
  <c r="I112" i="2" s="1"/>
  <c r="F107" i="2" a="1"/>
  <c r="F107" i="2" s="1"/>
  <c r="I104" i="2" a="1"/>
  <c r="I104" i="2" s="1"/>
  <c r="I98" i="2" a="1"/>
  <c r="I98" i="2" s="1"/>
  <c r="I93" i="2" a="1"/>
  <c r="I93" i="2" s="1"/>
  <c r="I89" i="2" a="1"/>
  <c r="I89" i="2" s="1"/>
  <c r="I84" i="2" a="1"/>
  <c r="I84" i="2" s="1"/>
  <c r="I79" i="2" a="1"/>
  <c r="I79" i="2" s="1"/>
  <c r="I73" i="2" a="1"/>
  <c r="I73" i="2" s="1"/>
  <c r="I68" i="2" a="1"/>
  <c r="I68" i="2" s="1"/>
  <c r="I62" i="2" a="1"/>
  <c r="I62" i="2" s="1"/>
  <c r="V38" i="2" a="1"/>
  <c r="V38" i="2" s="1"/>
  <c r="I111" i="2" a="1"/>
  <c r="I111" i="2" s="1"/>
  <c r="N32" i="2" a="1"/>
  <c r="N32" i="2" s="1"/>
  <c r="B30" i="2" a="1"/>
  <c r="B30" i="2" s="1"/>
  <c r="N26" i="2" a="1"/>
  <c r="N26" i="2" s="1"/>
  <c r="S22" i="2" a="1"/>
  <c r="S22" i="2" s="1"/>
  <c r="R19" i="2" a="1"/>
  <c r="R19" i="2" s="1"/>
  <c r="V17" i="2" a="1"/>
  <c r="V17" i="2" s="1"/>
  <c r="Z14" i="2" a="1"/>
  <c r="Z14" i="2" s="1"/>
  <c r="AI11" i="2" a="1"/>
  <c r="AI11" i="2" s="1"/>
  <c r="AF14" i="2" a="1"/>
  <c r="AF14" i="2" s="1"/>
  <c r="F39" i="2" a="1"/>
  <c r="F39" i="2" s="1"/>
  <c r="I66" i="2" a="1"/>
  <c r="I66" i="2" s="1"/>
  <c r="I91" i="2" a="1"/>
  <c r="I91" i="2" s="1"/>
  <c r="I103" i="2" a="1"/>
  <c r="I103" i="2" s="1"/>
  <c r="O13" i="5" a="1"/>
  <c r="O13" i="5" s="1"/>
  <c r="AD23" i="5" a="1"/>
  <c r="AD23" i="5" s="1"/>
  <c r="P60" i="5" a="1"/>
  <c r="P60" i="5" s="1"/>
  <c r="I92" i="5" a="1"/>
  <c r="I92" i="5" s="1"/>
  <c r="I97" i="2" a="1"/>
  <c r="I97" i="2" s="1"/>
  <c r="F36" i="2" a="1"/>
  <c r="F36" i="2" s="1"/>
  <c r="N30" i="2" a="1"/>
  <c r="N30" i="2" s="1"/>
  <c r="A42" i="2" a="1"/>
  <c r="A42" i="2" s="1"/>
  <c r="I67" i="2" a="1"/>
  <c r="I67" i="2" s="1"/>
  <c r="I80" i="2" a="1"/>
  <c r="I80" i="2" s="1"/>
  <c r="I92" i="2" a="1"/>
  <c r="I92" i="2" s="1"/>
  <c r="I111" i="6" a="1"/>
  <c r="I111" i="6" s="1"/>
  <c r="C16" i="5" a="1"/>
  <c r="C16" i="5" s="1"/>
  <c r="I65" i="5" a="1"/>
  <c r="I65" i="5" s="1"/>
  <c r="I96" i="5" a="1"/>
  <c r="I96" i="5" s="1"/>
  <c r="S32" i="2" a="1"/>
  <c r="S32" i="2" s="1"/>
  <c r="E11" i="2" a="1"/>
  <c r="E11" i="2" s="1"/>
  <c r="S42" i="2" a="1"/>
  <c r="S42" i="2" s="1"/>
  <c r="I81" i="2" a="1"/>
  <c r="I81" i="2" s="1"/>
  <c r="P92" i="2" a="1"/>
  <c r="P92" i="2" s="1"/>
  <c r="F105" i="2" a="1"/>
  <c r="F105" i="2" s="1"/>
  <c r="E10" i="5" a="1"/>
  <c r="E10" i="5" s="1"/>
  <c r="I16" i="5" a="1"/>
  <c r="I16" i="5" s="1"/>
  <c r="V28" i="5" a="1"/>
  <c r="V28" i="5" s="1"/>
  <c r="I66" i="5" a="1"/>
  <c r="I66" i="5" s="1"/>
  <c r="I97" i="5" a="1"/>
  <c r="I97" i="5" s="1"/>
  <c r="AF1" i="5" a="1"/>
  <c r="AF1" i="5" s="1"/>
  <c r="X5" i="5" a="1"/>
  <c r="X5" i="5" s="1"/>
  <c r="AD5" i="5" s="1"/>
  <c r="V10" i="5" a="1"/>
  <c r="V10" i="5" s="1"/>
  <c r="R13" i="5" a="1"/>
  <c r="R13" i="5" s="1"/>
  <c r="L16" i="5" a="1"/>
  <c r="L16" i="5" s="1"/>
  <c r="C18" i="5" a="1"/>
  <c r="C18" i="5" s="1"/>
  <c r="AD18" i="5" a="1"/>
  <c r="AD18" i="5" s="1"/>
  <c r="I21" i="5" a="1"/>
  <c r="I21" i="5" s="1"/>
  <c r="R22" i="5" a="1"/>
  <c r="R22" i="5" s="1"/>
  <c r="B25" i="5" a="1"/>
  <c r="B25" i="5" s="1"/>
  <c r="AC28" i="5" a="1"/>
  <c r="AC28" i="5" s="1"/>
  <c r="N31" i="5" a="1"/>
  <c r="N31" i="5" s="1"/>
  <c r="AD33" i="5" a="1"/>
  <c r="AD33" i="5" s="1"/>
  <c r="V37" i="5" a="1"/>
  <c r="V37" i="5" s="1"/>
  <c r="A45" i="5" a="1"/>
  <c r="A45" i="5" s="1"/>
  <c r="I61" i="5" a="1"/>
  <c r="I61" i="5" s="1"/>
  <c r="I67" i="5" a="1"/>
  <c r="I67" i="5" s="1"/>
  <c r="I72" i="5" a="1"/>
  <c r="I72" i="5" s="1"/>
  <c r="I78" i="5" a="1"/>
  <c r="I78" i="5" s="1"/>
  <c r="I83" i="5" a="1"/>
  <c r="I83" i="5" s="1"/>
  <c r="I89" i="5" a="1"/>
  <c r="I89" i="5" s="1"/>
  <c r="I93" i="5" a="1"/>
  <c r="I93" i="5" s="1"/>
  <c r="I98" i="5" a="1"/>
  <c r="I98" i="5" s="1"/>
  <c r="I103" i="5" a="1"/>
  <c r="I103" i="5" s="1"/>
  <c r="F107" i="5" a="1"/>
  <c r="F107" i="5" s="1"/>
  <c r="D110" i="5" a="1"/>
  <c r="D110" i="5" s="1"/>
  <c r="G3" i="5" a="1"/>
  <c r="G3" i="5" s="1"/>
  <c r="D7" i="5" a="1"/>
  <c r="D7" i="5" s="1"/>
  <c r="N27" i="5" s="1" a="1"/>
  <c r="N27" i="5" s="1"/>
  <c r="AC10" i="5" a="1"/>
  <c r="AC10" i="5" s="1"/>
  <c r="V13" i="5" a="1"/>
  <c r="V13" i="5" s="1"/>
  <c r="S16" i="5" a="1"/>
  <c r="S16" i="5" s="1"/>
  <c r="I18" i="5" a="1"/>
  <c r="I18" i="5" s="1"/>
  <c r="AF18" i="5" a="1"/>
  <c r="AF18" i="5" s="1"/>
  <c r="R21" i="5" a="1"/>
  <c r="R21" i="5" s="1"/>
  <c r="V22" i="5" a="1"/>
  <c r="V22" i="5" s="1"/>
  <c r="N25" i="5" a="1"/>
  <c r="N25" i="5" s="1"/>
  <c r="B29" i="5" a="1"/>
  <c r="B29" i="5" s="1"/>
  <c r="V32" i="5" a="1"/>
  <c r="V32" i="5" s="1"/>
  <c r="V34" i="5" a="1"/>
  <c r="V34" i="5" s="1"/>
  <c r="F39" i="5" a="1"/>
  <c r="F39" i="5" s="1"/>
  <c r="S45" i="5" a="1"/>
  <c r="S45" i="5" s="1"/>
  <c r="I62" i="5" a="1"/>
  <c r="I62" i="5" s="1"/>
  <c r="I68" i="5" a="1"/>
  <c r="I68" i="5" s="1"/>
  <c r="I73" i="5" a="1"/>
  <c r="I73" i="5" s="1"/>
  <c r="I79" i="5" a="1"/>
  <c r="I79" i="5" s="1"/>
  <c r="I84" i="5" a="1"/>
  <c r="I84" i="5" s="1"/>
  <c r="P89" i="5" a="1"/>
  <c r="P89" i="5" s="1"/>
  <c r="P93" i="5" a="1"/>
  <c r="P93" i="5" s="1"/>
  <c r="P98" i="5" a="1"/>
  <c r="P98" i="5" s="1"/>
  <c r="I104" i="5" a="1"/>
  <c r="I104" i="5" s="1"/>
  <c r="M107" i="5" a="1"/>
  <c r="M107" i="5" s="1"/>
  <c r="I112" i="5" a="1"/>
  <c r="I112" i="5" s="1"/>
  <c r="U3" i="5" a="1"/>
  <c r="U3" i="5" s="1"/>
  <c r="AD7" i="5" a="1"/>
  <c r="AD7" i="5" s="1"/>
  <c r="AI10" i="5" a="1"/>
  <c r="AI10" i="5" s="1"/>
  <c r="Z13" i="5" a="1"/>
  <c r="Z13" i="5" s="1"/>
  <c r="X16" i="5" a="1"/>
  <c r="X16" i="5" s="1"/>
  <c r="L18" i="5" a="1"/>
  <c r="L18" i="5" s="1"/>
  <c r="F20" i="5" a="1"/>
  <c r="F20" i="5" s="1"/>
  <c r="T21" i="5" a="1"/>
  <c r="T21" i="5" s="1"/>
  <c r="AE22" i="5" a="1"/>
  <c r="AE22" i="5" s="1"/>
  <c r="R25" i="5" a="1"/>
  <c r="R25" i="5" s="1"/>
  <c r="N29" i="5" a="1"/>
  <c r="N29" i="5" s="1"/>
  <c r="AD32" i="5" a="1"/>
  <c r="AD32" i="5" s="1"/>
  <c r="B35" i="5" a="1"/>
  <c r="B35" i="5" s="1"/>
  <c r="V39" i="5" a="1"/>
  <c r="V39" i="5" s="1"/>
  <c r="A48" i="5" a="1"/>
  <c r="A48" i="5" s="1"/>
  <c r="I63" i="5" a="1"/>
  <c r="I63" i="5" s="1"/>
  <c r="I69" i="5" a="1"/>
  <c r="I69" i="5" s="1"/>
  <c r="I74" i="5" a="1"/>
  <c r="I74" i="5" s="1"/>
  <c r="I80" i="5" a="1"/>
  <c r="I80" i="5" s="1"/>
  <c r="I85" i="5" a="1"/>
  <c r="I85" i="5" s="1"/>
  <c r="I90" i="5" a="1"/>
  <c r="I90" i="5" s="1"/>
  <c r="I94" i="5" a="1"/>
  <c r="I94" i="5" s="1"/>
  <c r="I99" i="5" a="1"/>
  <c r="I99" i="5" s="1"/>
  <c r="I105" i="5" a="1"/>
  <c r="I105" i="5" s="1"/>
  <c r="F108" i="5" a="1"/>
  <c r="F108" i="5" s="1"/>
  <c r="I113" i="5" a="1"/>
  <c r="I113" i="5" s="1"/>
  <c r="AG3" i="5" a="1"/>
  <c r="AG3" i="5" s="1"/>
  <c r="B13" i="5" a="1"/>
  <c r="B13" i="5" s="1"/>
  <c r="AF13" i="5" a="1"/>
  <c r="AF13" i="5" s="1"/>
  <c r="AA16" i="5" a="1"/>
  <c r="AA16" i="5" s="1"/>
  <c r="S18" i="5" a="1"/>
  <c r="S18" i="5" s="1"/>
  <c r="R20" i="5" a="1"/>
  <c r="R20" i="5" s="1"/>
  <c r="W21" i="5" a="1"/>
  <c r="W21" i="5" s="1"/>
  <c r="F23" i="5" a="1"/>
  <c r="F23" i="5" s="1"/>
  <c r="B27" i="5" a="1"/>
  <c r="B27" i="5" s="1"/>
  <c r="V30" i="5" a="1"/>
  <c r="V30" i="5" s="1"/>
  <c r="B33" i="5" a="1"/>
  <c r="B33" i="5" s="1"/>
  <c r="N35" i="5" a="1"/>
  <c r="N35" i="5" s="1"/>
  <c r="V41" i="5" a="1"/>
  <c r="V41" i="5" s="1"/>
  <c r="A54" i="5" a="1"/>
  <c r="A54" i="5" s="1"/>
  <c r="I64" i="5" a="1"/>
  <c r="I64" i="5" s="1"/>
  <c r="I70" i="5" a="1"/>
  <c r="I70" i="5" s="1"/>
  <c r="I75" i="5" a="1"/>
  <c r="I75" i="5" s="1"/>
  <c r="I81" i="5" a="1"/>
  <c r="I81" i="5" s="1"/>
  <c r="I86" i="5" a="1"/>
  <c r="I86" i="5" s="1"/>
  <c r="I91" i="5" a="1"/>
  <c r="I91" i="5" s="1"/>
  <c r="I95" i="5" a="1"/>
  <c r="I95" i="5" s="1"/>
  <c r="I100" i="5" a="1"/>
  <c r="I100" i="5" s="1"/>
  <c r="F106" i="5" a="1"/>
  <c r="F106" i="5" s="1"/>
  <c r="I109" i="5" a="1"/>
  <c r="I109" i="5" s="1"/>
  <c r="D4" i="5" a="1"/>
  <c r="D4" i="5" s="1"/>
</calcChain>
</file>

<file path=xl/sharedStrings.xml><?xml version="1.0" encoding="utf-8"?>
<sst xmlns="http://schemas.openxmlformats.org/spreadsheetml/2006/main" count="450" uniqueCount="159">
  <si>
    <t>アセスメントシート</t>
  </si>
  <si>
    <t>作成年月日：</t>
  </si>
  <si>
    <t>アセスメントの理由</t>
  </si>
  <si>
    <t>面談場所</t>
  </si>
  <si>
    <t>作成者</t>
  </si>
  <si>
    <t>基本事項</t>
  </si>
  <si>
    <t>ふりがな</t>
  </si>
  <si>
    <t>性別</t>
  </si>
  <si>
    <t>生年月日</t>
  </si>
  <si>
    <t>年齢</t>
  </si>
  <si>
    <t>氏名</t>
  </si>
  <si>
    <t>「利用者」を選択してください。</t>
  </si>
  <si>
    <t>様</t>
  </si>
  <si>
    <t>歳</t>
  </si>
  <si>
    <t>住所</t>
  </si>
  <si>
    <t>連絡先</t>
  </si>
  <si>
    <t>保険情報</t>
  </si>
  <si>
    <t>介護保険</t>
  </si>
  <si>
    <t>被保険者番号</t>
  </si>
  <si>
    <t>要介護度</t>
  </si>
  <si>
    <t>認定日</t>
  </si>
  <si>
    <t>認定期間</t>
  </si>
  <si>
    <t>負担割合</t>
  </si>
  <si>
    <t>～</t>
  </si>
  <si>
    <t>医療保険</t>
  </si>
  <si>
    <t>身体障害者手帳</t>
  </si>
  <si>
    <t>難病申請</t>
  </si>
  <si>
    <t>生活保護</t>
  </si>
  <si>
    <t>障害者日常生活自立度</t>
  </si>
  <si>
    <t>認知症日常生活自立度</t>
  </si>
  <si>
    <t>家族状況</t>
  </si>
  <si>
    <t>家族氏名</t>
  </si>
  <si>
    <t>続柄</t>
  </si>
  <si>
    <t>同居有無</t>
  </si>
  <si>
    <t>介護</t>
  </si>
  <si>
    <t>就労</t>
  </si>
  <si>
    <t>備考（KP等）</t>
  </si>
  <si>
    <t>①</t>
  </si>
  <si>
    <t>②</t>
  </si>
  <si>
    <t>住居状況</t>
  </si>
  <si>
    <t>●家庭環境</t>
  </si>
  <si>
    <t>●冷暖房</t>
  </si>
  <si>
    <t>●居室段差</t>
  </si>
  <si>
    <t>●住居形態</t>
  </si>
  <si>
    <t>●トイレ</t>
  </si>
  <si>
    <t>●住宅改修</t>
  </si>
  <si>
    <t>●住宅権利</t>
  </si>
  <si>
    <t>●浴室</t>
  </si>
  <si>
    <t>●住宅改修の必要性</t>
  </si>
  <si>
    <t>●専有居室</t>
  </si>
  <si>
    <t>●就寝</t>
  </si>
  <si>
    <t>●特別な状況</t>
  </si>
  <si>
    <t>健康状態</t>
  </si>
  <si>
    <t>疾患名</t>
  </si>
  <si>
    <t>発症日</t>
  </si>
  <si>
    <t>診療機関</t>
  </si>
  <si>
    <t>既往</t>
  </si>
  <si>
    <t>通院</t>
  </si>
  <si>
    <t>服薬</t>
  </si>
  <si>
    <t>利用サ｜ビス</t>
  </si>
  <si>
    <t>介護サービス</t>
  </si>
  <si>
    <t>福祉用具</t>
  </si>
  <si>
    <t>その他</t>
  </si>
  <si>
    <t>インフォーマル
サービス</t>
  </si>
  <si>
    <t>社会との
関わり</t>
  </si>
  <si>
    <t>本人の希望</t>
  </si>
  <si>
    <t>家族の希望</t>
  </si>
  <si>
    <t>生活歴</t>
  </si>
  <si>
    <t>特記・備考</t>
  </si>
  <si>
    <t>◆ 現在の状況 ◆</t>
  </si>
  <si>
    <t>◆ 課題分析 ◆</t>
  </si>
  <si>
    <t>身体状況</t>
  </si>
  <si>
    <t>皮膚疾患</t>
  </si>
  <si>
    <t>感染症</t>
  </si>
  <si>
    <t>特別な医療処置</t>
  </si>
  <si>
    <t>麻痺</t>
  </si>
  <si>
    <t>痛み</t>
  </si>
  <si>
    <t>身長</t>
  </si>
  <si>
    <t>cm</t>
  </si>
  <si>
    <t>体重</t>
  </si>
  <si>
    <t>ｋｇ</t>
  </si>
  <si>
    <t>視力</t>
  </si>
  <si>
    <t>眼鏡等</t>
  </si>
  <si>
    <t>聴力</t>
  </si>
  <si>
    <t>補聴器等</t>
  </si>
  <si>
    <t>基 本 動 作</t>
  </si>
  <si>
    <t>寝返り</t>
  </si>
  <si>
    <t>起き上がり</t>
  </si>
  <si>
    <t>座位</t>
  </si>
  <si>
    <t>立ち上がり</t>
  </si>
  <si>
    <t>立位</t>
  </si>
  <si>
    <t>移乗</t>
  </si>
  <si>
    <t>屋内移動</t>
  </si>
  <si>
    <t>使用用具（屋内）</t>
  </si>
  <si>
    <t>屋外移動</t>
  </si>
  <si>
    <t>使用用具（屋外）</t>
  </si>
  <si>
    <t>A  D  L</t>
  </si>
  <si>
    <t>食事</t>
  </si>
  <si>
    <t>食事方法</t>
  </si>
  <si>
    <t>食事動作</t>
  </si>
  <si>
    <t>嚥下</t>
  </si>
  <si>
    <t>形態</t>
  </si>
  <si>
    <t>主食</t>
  </si>
  <si>
    <t>副食</t>
  </si>
  <si>
    <t>水分とろみ</t>
  </si>
  <si>
    <t>食事制限</t>
  </si>
  <si>
    <t>道具・用具</t>
  </si>
  <si>
    <t>口腔</t>
  </si>
  <si>
    <t>口腔衛生</t>
  </si>
  <si>
    <t>自歯の有無</t>
  </si>
  <si>
    <t>義歯</t>
  </si>
  <si>
    <t>有無・種類</t>
  </si>
  <si>
    <t>場所</t>
  </si>
  <si>
    <t>入浴</t>
  </si>
  <si>
    <t>入浴動作</t>
  </si>
  <si>
    <t>入浴の制限</t>
  </si>
  <si>
    <t>更衣</t>
  </si>
  <si>
    <t>上衣</t>
  </si>
  <si>
    <t>下衣</t>
  </si>
  <si>
    <t>排泄</t>
  </si>
  <si>
    <t>排泄動作</t>
  </si>
  <si>
    <t>排尿</t>
  </si>
  <si>
    <t>尿意</t>
  </si>
  <si>
    <t>失禁</t>
  </si>
  <si>
    <t>排便</t>
  </si>
  <si>
    <t>便意</t>
  </si>
  <si>
    <t>日中</t>
  </si>
  <si>
    <t>夜間</t>
  </si>
  <si>
    <t>排泄用品</t>
  </si>
  <si>
    <t>IADL</t>
  </si>
  <si>
    <t>調理</t>
  </si>
  <si>
    <t>掃除</t>
  </si>
  <si>
    <t>洗濯</t>
  </si>
  <si>
    <t>買い物</t>
  </si>
  <si>
    <t>金銭管理</t>
  </si>
  <si>
    <t>認知</t>
  </si>
  <si>
    <t>認知症の有無・程度</t>
  </si>
  <si>
    <t>BPSD</t>
  </si>
  <si>
    <t>会    話</t>
  </si>
  <si>
    <t>意思疎通</t>
  </si>
  <si>
    <t>入居予定日：</t>
  </si>
  <si>
    <t>眠剤</t>
  </si>
  <si>
    <t>下剤</t>
  </si>
  <si>
    <t>コロナワクチン接種状況</t>
  </si>
  <si>
    <t>趣味</t>
  </si>
  <si>
    <t>居宅介護支援事業所　安濃津ろまん</t>
  </si>
  <si>
    <r>
      <rPr>
        <sz val="9"/>
        <color theme="1"/>
        <rFont val="Arial"/>
        <family val="2"/>
      </rPr>
      <t xml:space="preserve">主治医
</t>
    </r>
    <r>
      <rPr>
        <sz val="7"/>
        <color theme="1"/>
        <rFont val="Arial"/>
        <family val="2"/>
      </rPr>
      <t>＊安濃津ろまん
　入居後(中)　</t>
    </r>
  </si>
  <si>
    <t>先生</t>
  </si>
  <si>
    <t>往診医</t>
  </si>
  <si>
    <t>かかりつけ</t>
  </si>
  <si>
    <t>通院状況</t>
  </si>
  <si>
    <t>アレルギー</t>
  </si>
  <si>
    <t>服薬状況</t>
  </si>
  <si>
    <t>介護サービス</t>
    <phoneticPr fontId="16"/>
  </si>
  <si>
    <t>主治医
＊安濃津ろまん
　入居後(中)　</t>
    <phoneticPr fontId="16"/>
  </si>
  <si>
    <t>利用サ|ビス</t>
    <phoneticPr fontId="16"/>
  </si>
  <si>
    <t>インフォーマル
サービス</t>
    <phoneticPr fontId="16"/>
  </si>
  <si>
    <r>
      <rPr>
        <sz val="9"/>
        <color theme="1"/>
        <rFont val="MS UI Gothic"/>
        <family val="3"/>
        <charset val="128"/>
      </rPr>
      <t>●</t>
    </r>
    <r>
      <rPr>
        <sz val="8"/>
        <color theme="1"/>
        <rFont val="MS UI Gothic"/>
        <family val="3"/>
        <charset val="128"/>
      </rPr>
      <t>住宅改修の必要性</t>
    </r>
    <phoneticPr fontId="16"/>
  </si>
  <si>
    <t>特別な
医療処置</t>
    <rPh sb="0" eb="2">
      <t>トクベツ</t>
    </rPh>
    <rPh sb="4" eb="6">
      <t>イリョウ</t>
    </rPh>
    <rPh sb="6" eb="8">
      <t>ショチ</t>
    </rPh>
    <phoneticPr fontId="16"/>
  </si>
</sst>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yyyy/mm/dd"/>
  </numFmts>
  <fonts count="34">
    <font>
      <sz val="10"/>
      <color rgb="FF000000"/>
      <name val="Arial"/>
      <scheme val="minor"/>
    </font>
    <font>
      <sz val="12"/>
      <color theme="1"/>
      <name val="Arial"/>
      <family val="2"/>
    </font>
    <font>
      <sz val="10"/>
      <color theme="1"/>
      <name val="Arial"/>
      <family val="2"/>
    </font>
    <font>
      <sz val="10"/>
      <name val="Arial"/>
      <family val="2"/>
    </font>
    <font>
      <sz val="10"/>
      <color theme="1"/>
      <name val="Arial"/>
      <family val="2"/>
      <scheme val="minor"/>
    </font>
    <font>
      <sz val="9"/>
      <color theme="1"/>
      <name val="Arial"/>
      <family val="2"/>
    </font>
    <font>
      <sz val="6"/>
      <color theme="1"/>
      <name val="Arial"/>
      <family val="2"/>
    </font>
    <font>
      <sz val="10"/>
      <color theme="1"/>
      <name val="Arial"/>
      <family val="2"/>
    </font>
    <font>
      <b/>
      <sz val="10"/>
      <color theme="1"/>
      <name val="Arial"/>
      <family val="2"/>
    </font>
    <font>
      <sz val="8"/>
      <color theme="1"/>
      <name val="Arial"/>
      <family val="2"/>
    </font>
    <font>
      <sz val="9"/>
      <color theme="1"/>
      <name val="Arial"/>
      <family val="2"/>
      <scheme val="minor"/>
    </font>
    <font>
      <sz val="9"/>
      <color rgb="FF000000"/>
      <name val="&quot;Google Sans Mono&quot;"/>
    </font>
    <font>
      <sz val="11"/>
      <color theme="1"/>
      <name val="Arial"/>
      <family val="2"/>
    </font>
    <font>
      <sz val="11"/>
      <color theme="1"/>
      <name val="Arial"/>
      <family val="2"/>
      <scheme val="minor"/>
    </font>
    <font>
      <sz val="10"/>
      <color theme="1"/>
      <name val="Arial"/>
      <family val="2"/>
      <scheme val="minor"/>
    </font>
    <font>
      <sz val="7"/>
      <color theme="1"/>
      <name val="Arial"/>
      <family val="2"/>
    </font>
    <font>
      <sz val="6"/>
      <name val="Arial"/>
      <family val="3"/>
      <charset val="128"/>
      <scheme val="minor"/>
    </font>
    <font>
      <sz val="8"/>
      <color theme="1"/>
      <name val="MS UI Gothic"/>
      <family val="3"/>
      <charset val="128"/>
    </font>
    <font>
      <sz val="8"/>
      <color rgb="FF000000"/>
      <name val="MS UI Gothic"/>
      <family val="3"/>
      <charset val="128"/>
    </font>
    <font>
      <sz val="8"/>
      <name val="MS UI Gothic"/>
      <family val="3"/>
      <charset val="128"/>
    </font>
    <font>
      <sz val="10"/>
      <color rgb="FF000000"/>
      <name val="MS UI Gothic"/>
      <family val="3"/>
      <charset val="128"/>
    </font>
    <font>
      <sz val="9"/>
      <color theme="1"/>
      <name val="MS UI Gothic"/>
      <family val="3"/>
      <charset val="128"/>
    </font>
    <font>
      <sz val="9"/>
      <color rgb="FF000000"/>
      <name val="MS UI Gothic"/>
      <family val="3"/>
      <charset val="128"/>
    </font>
    <font>
      <sz val="10"/>
      <color theme="1"/>
      <name val="MS UI Gothic"/>
      <family val="3"/>
      <charset val="128"/>
    </font>
    <font>
      <sz val="10"/>
      <name val="MS UI Gothic"/>
      <family val="3"/>
      <charset val="128"/>
    </font>
    <font>
      <sz val="9"/>
      <name val="MS UI Gothic"/>
      <family val="3"/>
      <charset val="128"/>
    </font>
    <font>
      <sz val="6"/>
      <color theme="1"/>
      <name val="MS UI Gothic"/>
      <family val="3"/>
      <charset val="128"/>
    </font>
    <font>
      <sz val="6"/>
      <name val="MS UI Gothic"/>
      <family val="3"/>
      <charset val="128"/>
    </font>
    <font>
      <b/>
      <sz val="16"/>
      <color theme="1"/>
      <name val="MS UI Gothic"/>
      <family val="3"/>
      <charset val="128"/>
    </font>
    <font>
      <b/>
      <sz val="16"/>
      <color rgb="FF000000"/>
      <name val="MS UI Gothic"/>
      <family val="3"/>
      <charset val="128"/>
    </font>
    <font>
      <b/>
      <sz val="16"/>
      <name val="MS UI Gothic"/>
      <family val="3"/>
      <charset val="128"/>
    </font>
    <font>
      <sz val="14"/>
      <color theme="1"/>
      <name val="MS UI Gothic"/>
      <family val="3"/>
      <charset val="128"/>
    </font>
    <font>
      <sz val="14"/>
      <color rgb="FF000000"/>
      <name val="MS UI Gothic"/>
      <family val="3"/>
      <charset val="128"/>
    </font>
    <font>
      <sz val="14"/>
      <name val="MS UI Gothic"/>
      <family val="3"/>
      <charset val="128"/>
    </font>
  </fonts>
  <fills count="6">
    <fill>
      <patternFill patternType="none"/>
    </fill>
    <fill>
      <patternFill patternType="gray125"/>
    </fill>
    <fill>
      <patternFill patternType="solid">
        <fgColor rgb="FFFFFFFF"/>
        <bgColor rgb="FFFFFFFF"/>
      </patternFill>
    </fill>
    <fill>
      <patternFill patternType="solid">
        <fgColor rgb="FFA4C2F4"/>
        <bgColor rgb="FFA4C2F4"/>
      </patternFill>
    </fill>
    <fill>
      <patternFill patternType="solid">
        <fgColor theme="9" tint="0.59999389629810485"/>
        <bgColor rgb="FFA4C2F4"/>
      </patternFill>
    </fill>
    <fill>
      <patternFill patternType="solid">
        <fgColor theme="9" tint="0.59999389629810485"/>
        <bgColor indexed="64"/>
      </patternFill>
    </fill>
  </fills>
  <borders count="40">
    <border>
      <left/>
      <right/>
      <top/>
      <bottom/>
      <diagonal/>
    </border>
    <border>
      <left/>
      <right/>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style="thin">
        <color rgb="FF000000"/>
      </right>
      <top/>
      <bottom/>
      <diagonal/>
    </border>
    <border>
      <left/>
      <right style="thin">
        <color rgb="FF000000"/>
      </right>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right/>
      <top/>
      <bottom/>
      <diagonal/>
    </border>
    <border>
      <left/>
      <right/>
      <top/>
      <bottom style="thin">
        <color rgb="FF000000"/>
      </bottom>
      <diagonal/>
    </border>
    <border>
      <left style="thin">
        <color rgb="FF000000"/>
      </left>
      <right style="thin">
        <color rgb="FF000000"/>
      </right>
      <top style="thin">
        <color indexed="64"/>
      </top>
      <bottom/>
      <diagonal/>
    </border>
    <border>
      <left/>
      <right/>
      <top style="thin">
        <color indexed="64"/>
      </top>
      <bottom style="thin">
        <color rgb="FF000000"/>
      </bottom>
      <diagonal/>
    </border>
    <border>
      <left/>
      <right style="thin">
        <color rgb="FF000000"/>
      </right>
      <top style="thin">
        <color indexed="64"/>
      </top>
      <bottom style="thin">
        <color rgb="FF000000"/>
      </bottom>
      <diagonal/>
    </border>
    <border>
      <left/>
      <right/>
      <top style="thin">
        <color indexed="64"/>
      </top>
      <bottom/>
      <diagonal/>
    </border>
    <border>
      <left/>
      <right style="thin">
        <color rgb="FF000000"/>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rgb="FF000000"/>
      </top>
      <bottom style="thin">
        <color rgb="FF000000"/>
      </bottom>
      <diagonal/>
    </border>
    <border>
      <left style="thin">
        <color rgb="FF000000"/>
      </left>
      <right/>
      <top style="thin">
        <color indexed="64"/>
      </top>
      <bottom/>
      <diagonal/>
    </border>
    <border>
      <left/>
      <right style="thin">
        <color indexed="64"/>
      </right>
      <top style="thin">
        <color indexed="64"/>
      </top>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rgb="FF000000"/>
      </top>
      <bottom/>
      <diagonal/>
    </border>
    <border>
      <left style="thin">
        <color indexed="64"/>
      </left>
      <right/>
      <top/>
      <bottom/>
      <diagonal/>
    </border>
    <border>
      <left/>
      <right style="thin">
        <color indexed="64"/>
      </right>
      <top/>
      <bottom/>
      <diagonal/>
    </border>
    <border>
      <left style="hair">
        <color indexed="64"/>
      </left>
      <right/>
      <top style="thin">
        <color indexed="64"/>
      </top>
      <bottom/>
      <diagonal/>
    </border>
    <border>
      <left style="hair">
        <color indexed="64"/>
      </left>
      <right/>
      <top/>
      <bottom/>
      <diagonal/>
    </border>
    <border>
      <left style="hair">
        <color indexed="64"/>
      </left>
      <right/>
      <top/>
      <bottom style="thin">
        <color indexed="64"/>
      </bottom>
      <diagonal/>
    </border>
    <border>
      <left style="hair">
        <color indexed="64"/>
      </left>
      <right/>
      <top style="thin">
        <color rgb="FF000000"/>
      </top>
      <bottom style="thin">
        <color rgb="FF000000"/>
      </bottom>
      <diagonal/>
    </border>
    <border>
      <left/>
      <right style="hair">
        <color indexed="64"/>
      </right>
      <top style="thin">
        <color indexed="64"/>
      </top>
      <bottom/>
      <diagonal/>
    </border>
    <border>
      <left/>
      <right style="hair">
        <color indexed="64"/>
      </right>
      <top/>
      <bottom style="thin">
        <color rgb="FF000000"/>
      </bottom>
      <diagonal/>
    </border>
    <border>
      <left/>
      <right style="hair">
        <color indexed="64"/>
      </right>
      <top style="thin">
        <color rgb="FF000000"/>
      </top>
      <bottom/>
      <diagonal/>
    </border>
  </borders>
  <cellStyleXfs count="1">
    <xf numFmtId="0" fontId="0" fillId="0" borderId="0"/>
  </cellStyleXfs>
  <cellXfs count="308">
    <xf numFmtId="0" fontId="0" fillId="0" borderId="0" xfId="0"/>
    <xf numFmtId="0" fontId="1" fillId="2" borderId="0" xfId="0" applyFont="1" applyFill="1" applyAlignment="1">
      <alignment vertical="center"/>
    </xf>
    <xf numFmtId="0" fontId="5" fillId="0" borderId="1" xfId="0" applyFont="1" applyBorder="1" applyAlignment="1">
      <alignment horizontal="center" vertical="center" wrapText="1"/>
    </xf>
    <xf numFmtId="0" fontId="4" fillId="0" borderId="1" xfId="0" applyFont="1" applyBorder="1"/>
    <xf numFmtId="0" fontId="4" fillId="0" borderId="0" xfId="0" applyFont="1"/>
    <xf numFmtId="14" fontId="4" fillId="0" borderId="0" xfId="0" applyNumberFormat="1" applyFont="1"/>
    <xf numFmtId="0" fontId="20" fillId="0" borderId="0" xfId="0" applyFont="1"/>
    <xf numFmtId="0" fontId="5" fillId="0" borderId="0" xfId="0" applyFont="1" applyAlignment="1">
      <alignment vertical="center" wrapText="1"/>
    </xf>
    <xf numFmtId="0" fontId="0" fillId="0" borderId="0" xfId="0"/>
    <xf numFmtId="0" fontId="3" fillId="0" borderId="5" xfId="0" applyFont="1" applyBorder="1"/>
    <xf numFmtId="0" fontId="3" fillId="0" borderId="1" xfId="0" applyFont="1" applyBorder="1"/>
    <xf numFmtId="0" fontId="3" fillId="0" borderId="3" xfId="0" applyFont="1" applyBorder="1"/>
    <xf numFmtId="0" fontId="2" fillId="3" borderId="2" xfId="0" applyFont="1" applyFill="1" applyBorder="1" applyAlignment="1">
      <alignment vertical="center"/>
    </xf>
    <xf numFmtId="0" fontId="5" fillId="0" borderId="10" xfId="0" applyFont="1" applyBorder="1" applyAlignment="1">
      <alignment vertical="center" wrapText="1"/>
    </xf>
    <xf numFmtId="0" fontId="3" fillId="0" borderId="2" xfId="0" applyFont="1" applyBorder="1"/>
    <xf numFmtId="0" fontId="5" fillId="3" borderId="0" xfId="0" applyFont="1" applyFill="1" applyAlignment="1">
      <alignment horizontal="center" vertical="center"/>
    </xf>
    <xf numFmtId="0" fontId="5" fillId="3" borderId="1" xfId="0" applyFont="1" applyFill="1" applyBorder="1" applyAlignment="1">
      <alignment horizontal="center" vertical="center"/>
    </xf>
    <xf numFmtId="0" fontId="9" fillId="3" borderId="0" xfId="0" applyFont="1" applyFill="1" applyAlignment="1">
      <alignment horizontal="center" vertical="center"/>
    </xf>
    <xf numFmtId="0" fontId="5" fillId="0" borderId="0" xfId="0" applyFont="1" applyAlignment="1">
      <alignment horizontal="center" vertical="center"/>
    </xf>
    <xf numFmtId="0" fontId="9" fillId="0" borderId="0" xfId="0" applyFont="1" applyAlignment="1">
      <alignment horizontal="center" vertical="center"/>
    </xf>
    <xf numFmtId="0" fontId="4" fillId="3" borderId="11" xfId="0" applyFont="1" applyFill="1" applyBorder="1" applyAlignment="1">
      <alignment horizontal="center" vertical="center"/>
    </xf>
    <xf numFmtId="0" fontId="3" fillId="0" borderId="12" xfId="0" applyFont="1" applyBorder="1"/>
    <xf numFmtId="0" fontId="3" fillId="0" borderId="13" xfId="0" applyFont="1" applyBorder="1"/>
    <xf numFmtId="0" fontId="4" fillId="0" borderId="11" xfId="0" applyFont="1" applyBorder="1" applyAlignment="1">
      <alignment horizontal="center" vertical="center"/>
    </xf>
    <xf numFmtId="0" fontId="2" fillId="0" borderId="11" xfId="0" applyFont="1" applyBorder="1" applyAlignment="1">
      <alignment vertical="center" wrapText="1"/>
    </xf>
    <xf numFmtId="0" fontId="3" fillId="0" borderId="10" xfId="0" applyFont="1" applyBorder="1"/>
    <xf numFmtId="0" fontId="4" fillId="0" borderId="12" xfId="0" applyFont="1" applyBorder="1" applyAlignment="1">
      <alignment horizontal="center" vertical="center"/>
    </xf>
    <xf numFmtId="0" fontId="2" fillId="3" borderId="4" xfId="0" applyFont="1" applyFill="1" applyBorder="1" applyAlignment="1">
      <alignment horizontal="center" vertical="center" textRotation="255"/>
    </xf>
    <xf numFmtId="0" fontId="3" fillId="0" borderId="4" xfId="0" applyFont="1" applyBorder="1"/>
    <xf numFmtId="0" fontId="3" fillId="0" borderId="6" xfId="0" applyFont="1" applyBorder="1"/>
    <xf numFmtId="0" fontId="5" fillId="3" borderId="4" xfId="0" applyFont="1" applyFill="1" applyBorder="1" applyAlignment="1">
      <alignment horizontal="center" vertical="center" textRotation="255"/>
    </xf>
    <xf numFmtId="0" fontId="7" fillId="3" borderId="0" xfId="0" applyFont="1" applyFill="1" applyAlignment="1">
      <alignment horizontal="center" vertical="center"/>
    </xf>
    <xf numFmtId="0" fontId="2" fillId="3" borderId="0" xfId="0" applyFont="1" applyFill="1" applyAlignment="1">
      <alignment horizontal="center" vertical="center"/>
    </xf>
    <xf numFmtId="0" fontId="5" fillId="2" borderId="0" xfId="0" applyFont="1" applyFill="1" applyAlignment="1">
      <alignment horizontal="center" vertical="center"/>
    </xf>
    <xf numFmtId="0" fontId="2" fillId="3" borderId="1" xfId="0" applyFont="1" applyFill="1" applyBorder="1" applyAlignment="1">
      <alignment horizontal="center" vertical="center"/>
    </xf>
    <xf numFmtId="0" fontId="2" fillId="3" borderId="1" xfId="0" applyFont="1" applyFill="1" applyBorder="1" applyAlignment="1">
      <alignment vertical="center"/>
    </xf>
    <xf numFmtId="0" fontId="7" fillId="3" borderId="1" xfId="0" applyFont="1" applyFill="1" applyBorder="1" applyAlignment="1">
      <alignment vertical="center"/>
    </xf>
    <xf numFmtId="0" fontId="9" fillId="3" borderId="1" xfId="0" applyFont="1" applyFill="1" applyBorder="1" applyAlignment="1">
      <alignment horizontal="center" vertical="center"/>
    </xf>
    <xf numFmtId="0" fontId="5" fillId="0" borderId="5" xfId="0" applyFont="1" applyBorder="1" applyAlignment="1">
      <alignment horizontal="center" vertical="center"/>
    </xf>
    <xf numFmtId="0" fontId="2" fillId="3" borderId="7" xfId="0" applyFont="1" applyFill="1" applyBorder="1" applyAlignment="1">
      <alignment horizontal="center" vertical="center"/>
    </xf>
    <xf numFmtId="0" fontId="3" fillId="0" borderId="8" xfId="0" applyFont="1" applyBorder="1"/>
    <xf numFmtId="0" fontId="3" fillId="0" borderId="9" xfId="0" applyFont="1" applyBorder="1"/>
    <xf numFmtId="0" fontId="8" fillId="0" borderId="0" xfId="0" applyFont="1" applyAlignment="1">
      <alignment horizontal="center" vertical="center"/>
    </xf>
    <xf numFmtId="0" fontId="5" fillId="3" borderId="1" xfId="0" applyFont="1" applyFill="1" applyBorder="1" applyAlignment="1">
      <alignment horizontal="center" vertical="center" wrapText="1"/>
    </xf>
    <xf numFmtId="0" fontId="1" fillId="2" borderId="0" xfId="0" applyFont="1" applyFill="1" applyAlignment="1">
      <alignment vertical="center"/>
    </xf>
    <xf numFmtId="0" fontId="4" fillId="0" borderId="1" xfId="0" applyFont="1" applyBorder="1" applyAlignment="1">
      <alignment horizontal="center"/>
    </xf>
    <xf numFmtId="0" fontId="2" fillId="0" borderId="1" xfId="0" applyFont="1" applyBorder="1" applyAlignment="1">
      <alignment horizontal="center" vertical="center"/>
    </xf>
    <xf numFmtId="176" fontId="2" fillId="0" borderId="1" xfId="0" applyNumberFormat="1" applyFont="1" applyBorder="1" applyAlignment="1">
      <alignment horizontal="center" vertical="center"/>
    </xf>
    <xf numFmtId="0" fontId="12" fillId="2" borderId="0" xfId="0" applyFont="1" applyFill="1" applyAlignment="1">
      <alignment horizontal="right"/>
    </xf>
    <xf numFmtId="0" fontId="13" fillId="0" borderId="0" xfId="0" applyFont="1" applyAlignment="1">
      <alignment horizontal="center"/>
    </xf>
    <xf numFmtId="0" fontId="5" fillId="3" borderId="2" xfId="0" applyFont="1" applyFill="1" applyBorder="1" applyAlignment="1">
      <alignment horizontal="center" vertical="center"/>
    </xf>
    <xf numFmtId="0" fontId="5" fillId="0" borderId="1" xfId="0" applyFont="1" applyBorder="1" applyAlignment="1">
      <alignment horizontal="center" vertical="center" wrapText="1"/>
    </xf>
    <xf numFmtId="0" fontId="6" fillId="3" borderId="1" xfId="0" applyFont="1" applyFill="1" applyBorder="1" applyAlignment="1">
      <alignment horizontal="center" vertical="center"/>
    </xf>
    <xf numFmtId="0" fontId="5" fillId="0" borderId="1" xfId="0" applyFont="1" applyBorder="1" applyAlignment="1">
      <alignment horizontal="center" vertical="center"/>
    </xf>
    <xf numFmtId="0" fontId="2" fillId="0" borderId="0" xfId="0" applyFont="1" applyAlignment="1">
      <alignment horizontal="center" vertical="center"/>
    </xf>
    <xf numFmtId="176" fontId="5" fillId="0" borderId="0" xfId="0" applyNumberFormat="1" applyFont="1" applyAlignment="1">
      <alignment horizontal="center" vertical="center"/>
    </xf>
    <xf numFmtId="0" fontId="5" fillId="0" borderId="10" xfId="0" applyFont="1" applyBorder="1" applyAlignment="1">
      <alignment horizontal="center" vertical="center"/>
    </xf>
    <xf numFmtId="0" fontId="2" fillId="3" borderId="1" xfId="0" applyFont="1" applyFill="1" applyBorder="1" applyAlignment="1">
      <alignment horizontal="center" vertical="center" wrapText="1"/>
    </xf>
    <xf numFmtId="0" fontId="2" fillId="3" borderId="5" xfId="0" applyFont="1" applyFill="1" applyBorder="1" applyAlignment="1">
      <alignment horizontal="center" vertical="center" textRotation="255"/>
    </xf>
    <xf numFmtId="0" fontId="2" fillId="3" borderId="5" xfId="0" applyFont="1" applyFill="1" applyBorder="1" applyAlignment="1">
      <alignment horizontal="center" vertical="center" textRotation="255" wrapText="1"/>
    </xf>
    <xf numFmtId="0" fontId="9" fillId="0" borderId="1" xfId="0" applyFont="1" applyBorder="1" applyAlignment="1">
      <alignment horizontal="center" vertical="center"/>
    </xf>
    <xf numFmtId="0" fontId="2" fillId="3" borderId="0" xfId="0" applyFont="1" applyFill="1" applyAlignment="1">
      <alignment horizontal="center" vertical="center" wrapText="1"/>
    </xf>
    <xf numFmtId="0" fontId="11" fillId="2" borderId="1" xfId="0" applyFont="1" applyFill="1" applyBorder="1" applyAlignment="1">
      <alignment horizontal="center" vertical="center"/>
    </xf>
    <xf numFmtId="0" fontId="7" fillId="2" borderId="0" xfId="0" applyFont="1" applyFill="1" applyAlignment="1">
      <alignment horizontal="center" vertical="center"/>
    </xf>
    <xf numFmtId="0" fontId="3" fillId="0" borderId="14" xfId="0" applyFont="1" applyBorder="1"/>
    <xf numFmtId="0" fontId="3" fillId="0" borderId="15" xfId="0" applyFont="1" applyBorder="1"/>
    <xf numFmtId="0" fontId="5" fillId="0" borderId="1" xfId="0" applyFont="1" applyBorder="1" applyAlignment="1">
      <alignment vertical="center" wrapText="1"/>
    </xf>
    <xf numFmtId="0" fontId="5" fillId="0" borderId="11" xfId="0" applyFont="1" applyBorder="1" applyAlignment="1">
      <alignment vertical="center" wrapText="1"/>
    </xf>
    <xf numFmtId="0" fontId="5" fillId="3" borderId="1" xfId="0" applyFont="1" applyFill="1" applyBorder="1" applyAlignment="1">
      <alignment vertical="center"/>
    </xf>
    <xf numFmtId="0" fontId="7" fillId="3" borderId="7" xfId="0" applyFont="1" applyFill="1" applyBorder="1" applyAlignment="1">
      <alignment horizontal="center"/>
    </xf>
    <xf numFmtId="0" fontId="5" fillId="0" borderId="7" xfId="0" applyFont="1" applyBorder="1" applyAlignment="1">
      <alignment horizontal="center" vertical="center"/>
    </xf>
    <xf numFmtId="0" fontId="5" fillId="0" borderId="11" xfId="0" applyFont="1" applyBorder="1" applyAlignment="1">
      <alignment horizontal="center" vertical="center"/>
    </xf>
    <xf numFmtId="0" fontId="5" fillId="0" borderId="12" xfId="0" applyFont="1" applyBorder="1" applyAlignment="1">
      <alignment vertical="center" wrapText="1"/>
    </xf>
    <xf numFmtId="0" fontId="2" fillId="0" borderId="12" xfId="0" applyFont="1" applyBorder="1" applyAlignment="1">
      <alignment vertical="center"/>
    </xf>
    <xf numFmtId="0" fontId="9" fillId="0" borderId="11" xfId="0" applyFont="1" applyBorder="1" applyAlignment="1">
      <alignment horizontal="center" vertical="center"/>
    </xf>
    <xf numFmtId="0" fontId="5" fillId="3" borderId="11" xfId="0" applyFont="1" applyFill="1" applyBorder="1" applyAlignment="1">
      <alignment horizontal="center" vertical="center"/>
    </xf>
    <xf numFmtId="0" fontId="2" fillId="0" borderId="7" xfId="0" applyFont="1" applyBorder="1" applyAlignment="1">
      <alignment vertical="center"/>
    </xf>
    <xf numFmtId="0" fontId="5" fillId="0" borderId="12" xfId="0" applyFont="1" applyBorder="1" applyAlignment="1">
      <alignment horizontal="left" vertical="center"/>
    </xf>
    <xf numFmtId="0" fontId="5" fillId="0" borderId="7" xfId="0" applyFont="1" applyBorder="1" applyAlignment="1">
      <alignment horizontal="left" vertical="center"/>
    </xf>
    <xf numFmtId="0" fontId="2" fillId="0" borderId="7" xfId="0" applyFont="1" applyBorder="1" applyAlignment="1">
      <alignment horizontal="left" vertical="center"/>
    </xf>
    <xf numFmtId="0" fontId="5" fillId="0" borderId="11" xfId="0" applyFont="1" applyBorder="1" applyAlignment="1">
      <alignment horizontal="left" vertical="top"/>
    </xf>
    <xf numFmtId="0" fontId="10" fillId="0" borderId="7" xfId="0" applyFont="1" applyBorder="1" applyAlignment="1">
      <alignment horizontal="center" vertical="center"/>
    </xf>
    <xf numFmtId="0" fontId="9" fillId="3" borderId="1" xfId="0" applyFont="1" applyFill="1" applyBorder="1" applyAlignment="1">
      <alignment vertical="center"/>
    </xf>
    <xf numFmtId="176" fontId="2" fillId="0" borderId="0" xfId="0" applyNumberFormat="1" applyFont="1" applyAlignment="1">
      <alignment horizontal="center" vertical="center"/>
    </xf>
    <xf numFmtId="0" fontId="14" fillId="0" borderId="1" xfId="0" applyFont="1" applyBorder="1" applyAlignment="1">
      <alignment horizontal="center"/>
    </xf>
    <xf numFmtId="0" fontId="4" fillId="0" borderId="11" xfId="0" applyFont="1" applyBorder="1"/>
    <xf numFmtId="0" fontId="2" fillId="0" borderId="0" xfId="0" applyFont="1" applyAlignment="1">
      <alignment horizontal="left" vertical="top" wrapText="1"/>
    </xf>
    <xf numFmtId="0" fontId="5" fillId="3" borderId="7" xfId="0" applyFont="1" applyFill="1" applyBorder="1" applyAlignment="1">
      <alignment horizontal="center" vertical="center"/>
    </xf>
    <xf numFmtId="0" fontId="21" fillId="4" borderId="30" xfId="0" applyFont="1" applyFill="1" applyBorder="1" applyAlignment="1">
      <alignment horizontal="center" vertical="center"/>
    </xf>
    <xf numFmtId="0" fontId="21" fillId="4" borderId="12" xfId="0" applyFont="1" applyFill="1" applyBorder="1" applyAlignment="1">
      <alignment horizontal="center" vertical="center"/>
    </xf>
    <xf numFmtId="0" fontId="21" fillId="4" borderId="13" xfId="0" applyFont="1" applyFill="1" applyBorder="1" applyAlignment="1">
      <alignment horizontal="center" vertical="center"/>
    </xf>
    <xf numFmtId="0" fontId="21" fillId="4" borderId="31" xfId="0" applyFont="1" applyFill="1" applyBorder="1" applyAlignment="1">
      <alignment horizontal="center" vertical="center"/>
    </xf>
    <xf numFmtId="0" fontId="21" fillId="4" borderId="14" xfId="0" applyFont="1" applyFill="1" applyBorder="1" applyAlignment="1">
      <alignment horizontal="center" vertical="center"/>
    </xf>
    <xf numFmtId="0" fontId="21" fillId="4" borderId="5" xfId="0" applyFont="1" applyFill="1" applyBorder="1" applyAlignment="1">
      <alignment horizontal="center" vertical="center"/>
    </xf>
    <xf numFmtId="0" fontId="23" fillId="0" borderId="11" xfId="0" applyFont="1" applyBorder="1" applyAlignment="1">
      <alignment horizontal="center" vertical="center" wrapText="1"/>
    </xf>
    <xf numFmtId="0" fontId="23" fillId="0" borderId="12" xfId="0" applyFont="1" applyBorder="1" applyAlignment="1">
      <alignment horizontal="center" vertical="center" wrapText="1"/>
    </xf>
    <xf numFmtId="0" fontId="23" fillId="0" borderId="13" xfId="0" applyFont="1" applyBorder="1" applyAlignment="1">
      <alignment horizontal="center" vertical="center" wrapText="1"/>
    </xf>
    <xf numFmtId="0" fontId="23" fillId="0" borderId="10" xfId="0" applyFont="1" applyBorder="1" applyAlignment="1">
      <alignment horizontal="center" vertical="center" wrapText="1"/>
    </xf>
    <xf numFmtId="0" fontId="23" fillId="0" borderId="14" xfId="0" applyFont="1" applyBorder="1" applyAlignment="1">
      <alignment horizontal="center" vertical="center" wrapText="1"/>
    </xf>
    <xf numFmtId="0" fontId="23" fillId="0" borderId="5" xfId="0" applyFont="1" applyBorder="1" applyAlignment="1">
      <alignment horizontal="center" vertical="center" wrapText="1"/>
    </xf>
    <xf numFmtId="0" fontId="21" fillId="4" borderId="21" xfId="0" applyFont="1" applyFill="1" applyBorder="1" applyAlignment="1">
      <alignment horizontal="center" vertical="center"/>
    </xf>
    <xf numFmtId="0" fontId="24" fillId="0" borderId="19" xfId="0" applyFont="1" applyBorder="1" applyAlignment="1">
      <alignment horizontal="center" vertical="center" shrinkToFit="1"/>
    </xf>
    <xf numFmtId="0" fontId="24" fillId="0" borderId="14" xfId="0" applyFont="1" applyBorder="1" applyAlignment="1">
      <alignment horizontal="center" vertical="center" shrinkToFit="1"/>
    </xf>
    <xf numFmtId="0" fontId="24" fillId="0" borderId="28" xfId="0" applyFont="1" applyBorder="1" applyAlignment="1">
      <alignment horizontal="center" vertical="center" shrinkToFit="1"/>
    </xf>
    <xf numFmtId="0" fontId="24" fillId="0" borderId="33" xfId="0" applyFont="1" applyBorder="1" applyAlignment="1">
      <alignment horizontal="center" vertical="center" wrapText="1"/>
    </xf>
    <xf numFmtId="0" fontId="24" fillId="0" borderId="19" xfId="0" applyFont="1" applyBorder="1" applyAlignment="1">
      <alignment horizontal="center" vertical="center" wrapText="1"/>
    </xf>
    <xf numFmtId="0" fontId="24" fillId="0" borderId="27" xfId="0" applyFont="1" applyBorder="1" applyAlignment="1">
      <alignment horizontal="center" vertical="center" wrapText="1"/>
    </xf>
    <xf numFmtId="0" fontId="24" fillId="0" borderId="34" xfId="0" applyFont="1" applyBorder="1" applyAlignment="1">
      <alignment horizontal="center" vertical="center" wrapText="1"/>
    </xf>
    <xf numFmtId="0" fontId="24" fillId="0" borderId="14" xfId="0" applyFont="1" applyBorder="1" applyAlignment="1">
      <alignment horizontal="center" vertical="center" wrapText="1"/>
    </xf>
    <xf numFmtId="0" fontId="24" fillId="0" borderId="32" xfId="0" applyFont="1" applyBorder="1" applyAlignment="1">
      <alignment horizontal="center" vertical="center" wrapText="1"/>
    </xf>
    <xf numFmtId="0" fontId="24" fillId="0" borderId="35" xfId="0" applyFont="1" applyBorder="1" applyAlignment="1">
      <alignment horizontal="center" vertical="center" wrapText="1"/>
    </xf>
    <xf numFmtId="0" fontId="24" fillId="0" borderId="28" xfId="0" applyFont="1" applyBorder="1" applyAlignment="1">
      <alignment horizontal="center" vertical="center" wrapText="1"/>
    </xf>
    <xf numFmtId="0" fontId="24" fillId="0" borderId="29" xfId="0" applyFont="1" applyBorder="1" applyAlignment="1">
      <alignment horizontal="center" vertical="center" wrapText="1"/>
    </xf>
    <xf numFmtId="0" fontId="21" fillId="0" borderId="0" xfId="0" applyFont="1" applyAlignment="1">
      <alignment horizontal="left" vertical="center" wrapText="1"/>
    </xf>
    <xf numFmtId="0" fontId="20" fillId="0" borderId="0" xfId="0" applyFont="1" applyAlignment="1">
      <alignment horizontal="left" wrapText="1"/>
    </xf>
    <xf numFmtId="0" fontId="24" fillId="0" borderId="5" xfId="0" applyFont="1" applyBorder="1" applyAlignment="1">
      <alignment horizontal="left" wrapText="1"/>
    </xf>
    <xf numFmtId="0" fontId="24" fillId="0" borderId="1" xfId="0" applyFont="1" applyBorder="1" applyAlignment="1">
      <alignment horizontal="left" wrapText="1"/>
    </xf>
    <xf numFmtId="0" fontId="24" fillId="0" borderId="3" xfId="0" applyFont="1" applyBorder="1" applyAlignment="1">
      <alignment horizontal="left" wrapText="1"/>
    </xf>
    <xf numFmtId="0" fontId="23" fillId="2" borderId="14" xfId="0" applyFont="1" applyFill="1" applyBorder="1" applyAlignment="1">
      <alignment horizontal="center"/>
    </xf>
    <xf numFmtId="0" fontId="21" fillId="4" borderId="22" xfId="0" applyFont="1" applyFill="1" applyBorder="1" applyAlignment="1">
      <alignment horizontal="center" vertical="center" wrapText="1"/>
    </xf>
    <xf numFmtId="0" fontId="21" fillId="4" borderId="23" xfId="0" applyFont="1" applyFill="1" applyBorder="1" applyAlignment="1">
      <alignment horizontal="center" vertical="center" wrapText="1"/>
    </xf>
    <xf numFmtId="0" fontId="21" fillId="4" borderId="24" xfId="0" applyFont="1" applyFill="1" applyBorder="1" applyAlignment="1">
      <alignment horizontal="center" vertical="center" wrapText="1"/>
    </xf>
    <xf numFmtId="0" fontId="21" fillId="0" borderId="22" xfId="0" applyFont="1" applyBorder="1" applyAlignment="1">
      <alignment horizontal="center" vertical="center" shrinkToFit="1"/>
    </xf>
    <xf numFmtId="0" fontId="21" fillId="0" borderId="23" xfId="0" applyFont="1" applyBorder="1" applyAlignment="1">
      <alignment horizontal="center" vertical="center" shrinkToFit="1"/>
    </xf>
    <xf numFmtId="0" fontId="21" fillId="0" borderId="24" xfId="0" applyFont="1" applyBorder="1" applyAlignment="1">
      <alignment horizontal="center" vertical="center" shrinkToFit="1"/>
    </xf>
    <xf numFmtId="0" fontId="17" fillId="4" borderId="21" xfId="0" applyFont="1" applyFill="1" applyBorder="1" applyAlignment="1">
      <alignment horizontal="center" vertical="center"/>
    </xf>
    <xf numFmtId="0" fontId="24" fillId="0" borderId="21" xfId="0" applyFont="1" applyBorder="1" applyAlignment="1">
      <alignment horizontal="center" vertical="center" shrinkToFit="1"/>
    </xf>
    <xf numFmtId="0" fontId="21" fillId="4" borderId="21" xfId="0" applyFont="1" applyFill="1" applyBorder="1" applyAlignment="1">
      <alignment horizontal="left" vertical="center"/>
    </xf>
    <xf numFmtId="0" fontId="23" fillId="4" borderId="1" xfId="0" applyFont="1" applyFill="1" applyBorder="1" applyAlignment="1">
      <alignment horizontal="center" vertical="center"/>
    </xf>
    <xf numFmtId="0" fontId="24" fillId="5" borderId="1" xfId="0" applyFont="1" applyFill="1" applyBorder="1"/>
    <xf numFmtId="0" fontId="24" fillId="5" borderId="3" xfId="0" applyFont="1" applyFill="1" applyBorder="1"/>
    <xf numFmtId="0" fontId="23" fillId="4" borderId="5" xfId="0" applyFont="1" applyFill="1" applyBorder="1" applyAlignment="1">
      <alignment horizontal="center" vertical="center" textRotation="255"/>
    </xf>
    <xf numFmtId="0" fontId="23" fillId="4" borderId="5" xfId="0" applyFont="1" applyFill="1" applyBorder="1" applyAlignment="1">
      <alignment horizontal="center" vertical="center" textRotation="255" wrapText="1"/>
    </xf>
    <xf numFmtId="0" fontId="24" fillId="5" borderId="5" xfId="0" applyFont="1" applyFill="1" applyBorder="1"/>
    <xf numFmtId="0" fontId="23" fillId="4" borderId="4" xfId="0" applyFont="1" applyFill="1" applyBorder="1" applyAlignment="1">
      <alignment horizontal="center" vertical="center" textRotation="255"/>
    </xf>
    <xf numFmtId="0" fontId="24" fillId="5" borderId="4" xfId="0" applyFont="1" applyFill="1" applyBorder="1"/>
    <xf numFmtId="0" fontId="24" fillId="5" borderId="6" xfId="0" applyFont="1" applyFill="1" applyBorder="1"/>
    <xf numFmtId="0" fontId="21" fillId="4" borderId="4" xfId="0" applyFont="1" applyFill="1" applyBorder="1" applyAlignment="1">
      <alignment horizontal="center" vertical="center" textRotation="255"/>
    </xf>
    <xf numFmtId="0" fontId="23" fillId="4" borderId="16" xfId="0" applyFont="1" applyFill="1" applyBorder="1" applyAlignment="1">
      <alignment horizontal="center" vertical="center" textRotation="255"/>
    </xf>
    <xf numFmtId="0" fontId="23" fillId="4" borderId="0" xfId="0" applyFont="1" applyFill="1" applyAlignment="1">
      <alignment horizontal="center" vertical="center"/>
    </xf>
    <xf numFmtId="0" fontId="20" fillId="0" borderId="0" xfId="0" applyFont="1" applyAlignment="1">
      <alignment horizontal="left"/>
    </xf>
    <xf numFmtId="0" fontId="24" fillId="0" borderId="5" xfId="0" applyFont="1" applyBorder="1" applyAlignment="1">
      <alignment horizontal="left"/>
    </xf>
    <xf numFmtId="0" fontId="24" fillId="0" borderId="1" xfId="0" applyFont="1" applyBorder="1" applyAlignment="1">
      <alignment horizontal="left"/>
    </xf>
    <xf numFmtId="0" fontId="24" fillId="0" borderId="3" xfId="0" applyFont="1" applyBorder="1" applyAlignment="1">
      <alignment horizontal="left"/>
    </xf>
    <xf numFmtId="0" fontId="21" fillId="0" borderId="1" xfId="0" applyFont="1" applyBorder="1" applyAlignment="1">
      <alignment horizontal="center" vertical="center" shrinkToFit="1"/>
    </xf>
    <xf numFmtId="0" fontId="24" fillId="0" borderId="1" xfId="0" applyFont="1" applyBorder="1" applyAlignment="1">
      <alignment shrinkToFit="1"/>
    </xf>
    <xf numFmtId="0" fontId="24" fillId="0" borderId="3" xfId="0" applyFont="1" applyBorder="1" applyAlignment="1">
      <alignment shrinkToFit="1"/>
    </xf>
    <xf numFmtId="0" fontId="23" fillId="4" borderId="1" xfId="0" applyFont="1" applyFill="1" applyBorder="1" applyAlignment="1">
      <alignment horizontal="center" vertical="center" wrapText="1"/>
    </xf>
    <xf numFmtId="0" fontId="23" fillId="4" borderId="1" xfId="0" applyFont="1" applyFill="1" applyBorder="1" applyAlignment="1">
      <alignment horizontal="center" vertical="center" shrinkToFit="1"/>
    </xf>
    <xf numFmtId="0" fontId="24" fillId="5" borderId="1" xfId="0" applyFont="1" applyFill="1" applyBorder="1" applyAlignment="1">
      <alignment shrinkToFit="1"/>
    </xf>
    <xf numFmtId="0" fontId="24" fillId="5" borderId="3" xfId="0" applyFont="1" applyFill="1" applyBorder="1" applyAlignment="1">
      <alignment shrinkToFit="1"/>
    </xf>
    <xf numFmtId="0" fontId="21" fillId="0" borderId="36" xfId="0" applyFont="1" applyBorder="1" applyAlignment="1">
      <alignment horizontal="center" vertical="center" shrinkToFit="1"/>
    </xf>
    <xf numFmtId="0" fontId="24" fillId="0" borderId="8" xfId="0" applyFont="1" applyBorder="1" applyAlignment="1">
      <alignment shrinkToFit="1"/>
    </xf>
    <xf numFmtId="0" fontId="24" fillId="0" borderId="9" xfId="0" applyFont="1" applyBorder="1" applyAlignment="1">
      <alignment shrinkToFit="1"/>
    </xf>
    <xf numFmtId="0" fontId="23" fillId="4" borderId="0" xfId="0" applyFont="1" applyFill="1" applyAlignment="1">
      <alignment horizontal="center" vertical="center" wrapText="1"/>
    </xf>
    <xf numFmtId="0" fontId="24" fillId="5" borderId="21" xfId="0" applyFont="1" applyFill="1" applyBorder="1"/>
    <xf numFmtId="0" fontId="21" fillId="0" borderId="21" xfId="0" applyFont="1" applyBorder="1" applyAlignment="1">
      <alignment horizontal="left" vertical="center" wrapText="1"/>
    </xf>
    <xf numFmtId="0" fontId="20" fillId="0" borderId="21" xfId="0" applyFont="1" applyBorder="1" applyAlignment="1">
      <alignment horizontal="left" vertical="center"/>
    </xf>
    <xf numFmtId="0" fontId="24" fillId="0" borderId="21" xfId="0" applyFont="1" applyBorder="1" applyAlignment="1">
      <alignment horizontal="left" vertical="center"/>
    </xf>
    <xf numFmtId="0" fontId="21" fillId="0" borderId="14" xfId="0" applyFont="1" applyBorder="1" applyAlignment="1">
      <alignment horizontal="left" vertical="center" wrapText="1"/>
    </xf>
    <xf numFmtId="0" fontId="20" fillId="0" borderId="14" xfId="0" applyFont="1" applyBorder="1" applyAlignment="1">
      <alignment horizontal="left" vertical="center"/>
    </xf>
    <xf numFmtId="0" fontId="24" fillId="0" borderId="5" xfId="0" applyFont="1" applyBorder="1" applyAlignment="1">
      <alignment horizontal="left" vertical="center"/>
    </xf>
    <xf numFmtId="0" fontId="24" fillId="0" borderId="1" xfId="0" applyFont="1" applyBorder="1" applyAlignment="1">
      <alignment horizontal="left" vertical="center"/>
    </xf>
    <xf numFmtId="0" fontId="24" fillId="0" borderId="3" xfId="0" applyFont="1" applyBorder="1" applyAlignment="1">
      <alignment horizontal="left" vertical="center"/>
    </xf>
    <xf numFmtId="0" fontId="23" fillId="4" borderId="15" xfId="0" applyFont="1" applyFill="1" applyBorder="1" applyAlignment="1">
      <alignment horizontal="center" vertical="center" wrapText="1"/>
    </xf>
    <xf numFmtId="0" fontId="24" fillId="5" borderId="15" xfId="0" applyFont="1" applyFill="1" applyBorder="1"/>
    <xf numFmtId="0" fontId="21" fillId="0" borderId="15" xfId="0" applyFont="1" applyBorder="1" applyAlignment="1">
      <alignment horizontal="center" vertical="center" shrinkToFit="1"/>
    </xf>
    <xf numFmtId="0" fontId="24" fillId="0" borderId="15" xfId="0" applyFont="1" applyBorder="1" applyAlignment="1">
      <alignment shrinkToFit="1"/>
    </xf>
    <xf numFmtId="0" fontId="17" fillId="0" borderId="1" xfId="0" applyFont="1" applyBorder="1" applyAlignment="1">
      <alignment horizontal="center" vertical="center" shrinkToFit="1"/>
    </xf>
    <xf numFmtId="0" fontId="20" fillId="5" borderId="0" xfId="0" applyFont="1" applyFill="1"/>
    <xf numFmtId="0" fontId="21" fillId="4" borderId="1" xfId="0" applyFont="1" applyFill="1" applyBorder="1" applyAlignment="1">
      <alignment vertical="center"/>
    </xf>
    <xf numFmtId="0" fontId="24" fillId="0" borderId="21" xfId="0" applyFont="1" applyBorder="1" applyAlignment="1">
      <alignment horizontal="left"/>
    </xf>
    <xf numFmtId="0" fontId="20" fillId="0" borderId="21" xfId="0" applyFont="1" applyBorder="1" applyAlignment="1">
      <alignment horizontal="left"/>
    </xf>
    <xf numFmtId="0" fontId="21" fillId="0" borderId="0" xfId="0" applyFont="1" applyAlignment="1">
      <alignment horizontal="center" vertical="center" shrinkToFit="1"/>
    </xf>
    <xf numFmtId="0" fontId="20" fillId="0" borderId="0" xfId="0" applyFont="1" applyAlignment="1">
      <alignment shrinkToFit="1"/>
    </xf>
    <xf numFmtId="0" fontId="24" fillId="0" borderId="5" xfId="0" applyFont="1" applyBorder="1" applyAlignment="1">
      <alignment shrinkToFit="1"/>
    </xf>
    <xf numFmtId="0" fontId="24" fillId="0" borderId="14" xfId="0" applyFont="1" applyBorder="1" applyAlignment="1">
      <alignment shrinkToFit="1"/>
    </xf>
    <xf numFmtId="0" fontId="23" fillId="4" borderId="14" xfId="0" applyFont="1" applyFill="1" applyBorder="1" applyAlignment="1">
      <alignment horizontal="center" vertical="center"/>
    </xf>
    <xf numFmtId="0" fontId="24" fillId="5" borderId="14" xfId="0" applyFont="1" applyFill="1" applyBorder="1"/>
    <xf numFmtId="0" fontId="23" fillId="0" borderId="14" xfId="0" applyFont="1" applyBorder="1" applyAlignment="1">
      <alignment vertical="center"/>
    </xf>
    <xf numFmtId="0" fontId="24" fillId="0" borderId="5" xfId="0" applyFont="1" applyBorder="1"/>
    <xf numFmtId="0" fontId="24" fillId="0" borderId="1" xfId="0" applyFont="1" applyBorder="1"/>
    <xf numFmtId="0" fontId="24" fillId="0" borderId="3" xfId="0" applyFont="1" applyBorder="1"/>
    <xf numFmtId="0" fontId="23" fillId="4" borderId="7" xfId="0" applyFont="1" applyFill="1" applyBorder="1" applyAlignment="1">
      <alignment horizontal="center" vertical="center"/>
    </xf>
    <xf numFmtId="0" fontId="24" fillId="5" borderId="8" xfId="0" applyFont="1" applyFill="1" applyBorder="1"/>
    <xf numFmtId="0" fontId="24" fillId="5" borderId="9" xfId="0" applyFont="1" applyFill="1" applyBorder="1"/>
    <xf numFmtId="0" fontId="17" fillId="0" borderId="0" xfId="0" applyFont="1" applyAlignment="1">
      <alignment horizontal="center" vertical="center" shrinkToFit="1"/>
    </xf>
    <xf numFmtId="0" fontId="20" fillId="0" borderId="0" xfId="0" applyFont="1" applyAlignment="1">
      <alignment vertical="center" shrinkToFit="1"/>
    </xf>
    <xf numFmtId="0" fontId="20" fillId="0" borderId="14" xfId="0" applyFont="1" applyBorder="1" applyAlignment="1">
      <alignment vertical="center" shrinkToFit="1"/>
    </xf>
    <xf numFmtId="0" fontId="26" fillId="4" borderId="14" xfId="0" applyFont="1" applyFill="1" applyBorder="1" applyAlignment="1">
      <alignment horizontal="center" vertical="center" wrapText="1"/>
    </xf>
    <xf numFmtId="0" fontId="27" fillId="5" borderId="14" xfId="0" applyFont="1" applyFill="1" applyBorder="1"/>
    <xf numFmtId="0" fontId="27" fillId="5" borderId="5" xfId="0" applyFont="1" applyFill="1" applyBorder="1"/>
    <xf numFmtId="0" fontId="27" fillId="5" borderId="15" xfId="0" applyFont="1" applyFill="1" applyBorder="1"/>
    <xf numFmtId="0" fontId="27" fillId="5" borderId="1" xfId="0" applyFont="1" applyFill="1" applyBorder="1"/>
    <xf numFmtId="0" fontId="27" fillId="5" borderId="3" xfId="0" applyFont="1" applyFill="1" applyBorder="1"/>
    <xf numFmtId="0" fontId="21" fillId="0" borderId="7" xfId="0" applyFont="1" applyBorder="1" applyAlignment="1">
      <alignment horizontal="center" vertical="center" shrinkToFit="1"/>
    </xf>
    <xf numFmtId="0" fontId="21" fillId="0" borderId="8" xfId="0" applyFont="1" applyBorder="1" applyAlignment="1">
      <alignment horizontal="center" vertical="center" shrinkToFit="1"/>
    </xf>
    <xf numFmtId="0" fontId="21" fillId="0" borderId="25" xfId="0" applyFont="1" applyBorder="1" applyAlignment="1">
      <alignment horizontal="center" vertical="center" shrinkToFit="1"/>
    </xf>
    <xf numFmtId="0" fontId="24" fillId="5" borderId="12" xfId="0" applyFont="1" applyFill="1" applyBorder="1"/>
    <xf numFmtId="0" fontId="24" fillId="5" borderId="13" xfId="0" applyFont="1" applyFill="1" applyBorder="1"/>
    <xf numFmtId="0" fontId="23" fillId="0" borderId="7" xfId="0" applyFont="1" applyBorder="1" applyAlignment="1">
      <alignment horizontal="center" vertical="center" shrinkToFit="1"/>
    </xf>
    <xf numFmtId="0" fontId="24" fillId="0" borderId="8" xfId="0" applyFont="1" applyBorder="1" applyAlignment="1">
      <alignment horizontal="center" shrinkToFit="1"/>
    </xf>
    <xf numFmtId="0" fontId="24" fillId="0" borderId="9" xfId="0" applyFont="1" applyBorder="1" applyAlignment="1">
      <alignment horizontal="center" shrinkToFit="1"/>
    </xf>
    <xf numFmtId="0" fontId="23" fillId="0" borderId="12" xfId="0" applyFont="1" applyBorder="1" applyAlignment="1">
      <alignment vertical="center"/>
    </xf>
    <xf numFmtId="0" fontId="24" fillId="0" borderId="13" xfId="0" applyFont="1" applyBorder="1"/>
    <xf numFmtId="0" fontId="21" fillId="0" borderId="26" xfId="0" applyFont="1" applyBorder="1" applyAlignment="1">
      <alignment horizontal="center" vertical="center" shrinkToFit="1"/>
    </xf>
    <xf numFmtId="0" fontId="21" fillId="0" borderId="19" xfId="0" applyFont="1" applyBorder="1" applyAlignment="1">
      <alignment horizontal="center" vertical="center" shrinkToFit="1"/>
    </xf>
    <xf numFmtId="0" fontId="21" fillId="0" borderId="37" xfId="0" applyFont="1" applyBorder="1" applyAlignment="1">
      <alignment horizontal="center" vertical="center" shrinkToFit="1"/>
    </xf>
    <xf numFmtId="0" fontId="21" fillId="0" borderId="2" xfId="0" applyFont="1" applyBorder="1" applyAlignment="1">
      <alignment horizontal="center" vertical="center" shrinkToFit="1"/>
    </xf>
    <xf numFmtId="0" fontId="21" fillId="0" borderId="38" xfId="0" applyFont="1" applyBorder="1" applyAlignment="1">
      <alignment horizontal="center" vertical="center" shrinkToFit="1"/>
    </xf>
    <xf numFmtId="0" fontId="21" fillId="0" borderId="11" xfId="0" applyFont="1" applyBorder="1" applyAlignment="1">
      <alignment horizontal="center" vertical="center" shrinkToFit="1"/>
    </xf>
    <xf numFmtId="0" fontId="21" fillId="0" borderId="12" xfId="0" applyFont="1" applyBorder="1" applyAlignment="1">
      <alignment horizontal="center" vertical="center" shrinkToFit="1"/>
    </xf>
    <xf numFmtId="0" fontId="21" fillId="0" borderId="39" xfId="0" applyFont="1" applyBorder="1" applyAlignment="1">
      <alignment horizontal="center" vertical="center" shrinkToFit="1"/>
    </xf>
    <xf numFmtId="0" fontId="24" fillId="0" borderId="15" xfId="0" applyFont="1" applyBorder="1" applyAlignment="1">
      <alignment horizontal="center" vertical="center" shrinkToFit="1"/>
    </xf>
    <xf numFmtId="0" fontId="24" fillId="0" borderId="12" xfId="0" applyFont="1" applyBorder="1" applyAlignment="1">
      <alignment horizontal="center" vertical="center" shrinkToFit="1"/>
    </xf>
    <xf numFmtId="0" fontId="24" fillId="0" borderId="12" xfId="0" applyFont="1" applyBorder="1" applyAlignment="1">
      <alignment shrinkToFit="1"/>
    </xf>
    <xf numFmtId="0" fontId="24" fillId="0" borderId="13" xfId="0" applyFont="1" applyBorder="1" applyAlignment="1">
      <alignment shrinkToFit="1"/>
    </xf>
    <xf numFmtId="0" fontId="24" fillId="0" borderId="2" xfId="0" applyFont="1" applyBorder="1" applyAlignment="1">
      <alignment shrinkToFit="1"/>
    </xf>
    <xf numFmtId="0" fontId="21" fillId="4" borderId="14" xfId="0" applyFont="1" applyFill="1" applyBorder="1" applyAlignment="1">
      <alignment vertical="center"/>
    </xf>
    <xf numFmtId="0" fontId="21" fillId="4" borderId="7" xfId="0" applyFont="1" applyFill="1" applyBorder="1" applyAlignment="1">
      <alignment horizontal="center" vertical="center"/>
    </xf>
    <xf numFmtId="0" fontId="25" fillId="5" borderId="8" xfId="0" applyFont="1" applyFill="1" applyBorder="1" applyAlignment="1">
      <alignment vertical="center"/>
    </xf>
    <xf numFmtId="0" fontId="25" fillId="5" borderId="9" xfId="0" applyFont="1" applyFill="1" applyBorder="1" applyAlignment="1">
      <alignment vertical="center"/>
    </xf>
    <xf numFmtId="0" fontId="23" fillId="0" borderId="11" xfId="0" applyFont="1" applyBorder="1" applyAlignment="1">
      <alignment horizontal="center" vertical="center" shrinkToFit="1"/>
    </xf>
    <xf numFmtId="0" fontId="24" fillId="0" borderId="13" xfId="0" applyFont="1" applyBorder="1" applyAlignment="1">
      <alignment horizontal="center" vertical="center" shrinkToFit="1"/>
    </xf>
    <xf numFmtId="0" fontId="24" fillId="0" borderId="2" xfId="0" applyFont="1" applyBorder="1" applyAlignment="1">
      <alignment horizontal="center" vertical="center" shrinkToFit="1"/>
    </xf>
    <xf numFmtId="0" fontId="24" fillId="0" borderId="1" xfId="0" applyFont="1" applyBorder="1" applyAlignment="1">
      <alignment horizontal="center" vertical="center" shrinkToFit="1"/>
    </xf>
    <xf numFmtId="0" fontId="24" fillId="0" borderId="3" xfId="0" applyFont="1" applyBorder="1" applyAlignment="1">
      <alignment horizontal="center" vertical="center" shrinkToFit="1"/>
    </xf>
    <xf numFmtId="0" fontId="21" fillId="0" borderId="14" xfId="0" applyFont="1" applyBorder="1" applyAlignment="1">
      <alignment horizontal="center" vertical="center" shrinkToFit="1"/>
    </xf>
    <xf numFmtId="0" fontId="21" fillId="0" borderId="9" xfId="0" applyFont="1" applyBorder="1" applyAlignment="1">
      <alignment horizontal="center" vertical="center" shrinkToFit="1"/>
    </xf>
    <xf numFmtId="0" fontId="25" fillId="5" borderId="4" xfId="0" applyFont="1" applyFill="1" applyBorder="1"/>
    <xf numFmtId="0" fontId="25" fillId="5" borderId="6" xfId="0" applyFont="1" applyFill="1" applyBorder="1"/>
    <xf numFmtId="0" fontId="21" fillId="2" borderId="0" xfId="0" applyFont="1" applyFill="1" applyAlignment="1">
      <alignment horizontal="center" vertical="center"/>
    </xf>
    <xf numFmtId="0" fontId="21" fillId="0" borderId="5" xfId="0" applyFont="1" applyBorder="1" applyAlignment="1">
      <alignment horizontal="center" vertical="center"/>
    </xf>
    <xf numFmtId="0" fontId="21" fillId="4" borderId="1" xfId="0" applyFont="1" applyFill="1" applyBorder="1" applyAlignment="1">
      <alignment horizontal="center" vertical="center"/>
    </xf>
    <xf numFmtId="0" fontId="25" fillId="5" borderId="1" xfId="0" applyFont="1" applyFill="1" applyBorder="1"/>
    <xf numFmtId="0" fontId="25" fillId="5" borderId="3" xfId="0" applyFont="1" applyFill="1" applyBorder="1"/>
    <xf numFmtId="0" fontId="25" fillId="5" borderId="8" xfId="0" applyFont="1" applyFill="1" applyBorder="1"/>
    <xf numFmtId="0" fontId="25" fillId="5" borderId="9" xfId="0" applyFont="1" applyFill="1" applyBorder="1"/>
    <xf numFmtId="0" fontId="21" fillId="4" borderId="0" xfId="0" applyFont="1" applyFill="1" applyAlignment="1">
      <alignment horizontal="center" vertical="center"/>
    </xf>
    <xf numFmtId="0" fontId="22" fillId="5" borderId="0" xfId="0" applyFont="1" applyFill="1"/>
    <xf numFmtId="0" fontId="25" fillId="5" borderId="5" xfId="0" applyFont="1" applyFill="1" applyBorder="1"/>
    <xf numFmtId="0" fontId="21" fillId="0" borderId="13" xfId="0" applyFont="1" applyBorder="1" applyAlignment="1">
      <alignment horizontal="center" vertical="center" shrinkToFit="1"/>
    </xf>
    <xf numFmtId="0" fontId="21" fillId="0" borderId="3" xfId="0" applyFont="1" applyBorder="1" applyAlignment="1">
      <alignment horizontal="center" vertical="center" shrinkToFit="1"/>
    </xf>
    <xf numFmtId="0" fontId="28" fillId="2" borderId="0" xfId="0" applyFont="1" applyFill="1" applyAlignment="1">
      <alignment vertical="center"/>
    </xf>
    <xf numFmtId="0" fontId="29" fillId="0" borderId="0" xfId="0" applyFont="1"/>
    <xf numFmtId="0" fontId="30" fillId="0" borderId="14" xfId="0" applyFont="1" applyBorder="1"/>
    <xf numFmtId="0" fontId="21" fillId="0" borderId="0" xfId="0" applyFont="1" applyAlignment="1">
      <alignment horizontal="center" vertical="center"/>
    </xf>
    <xf numFmtId="0" fontId="22" fillId="0" borderId="0" xfId="0" applyFont="1"/>
    <xf numFmtId="176" fontId="23" fillId="0" borderId="0" xfId="0" applyNumberFormat="1" applyFont="1" applyAlignment="1">
      <alignment horizontal="center" vertical="center" shrinkToFit="1"/>
    </xf>
    <xf numFmtId="0" fontId="21" fillId="0" borderId="14" xfId="0" applyFont="1" applyBorder="1" applyAlignment="1">
      <alignment horizontal="center"/>
    </xf>
    <xf numFmtId="0" fontId="25" fillId="0" borderId="14" xfId="0" applyFont="1" applyBorder="1"/>
    <xf numFmtId="0" fontId="25" fillId="0" borderId="1" xfId="0" applyFont="1" applyBorder="1"/>
    <xf numFmtId="0" fontId="21" fillId="0" borderId="21" xfId="0" applyFont="1" applyBorder="1" applyAlignment="1">
      <alignment horizontal="center" vertical="center" shrinkToFit="1"/>
    </xf>
    <xf numFmtId="176" fontId="21" fillId="0" borderId="0" xfId="0" applyNumberFormat="1" applyFont="1" applyAlignment="1">
      <alignment horizontal="center" vertical="center" shrinkToFit="1"/>
    </xf>
    <xf numFmtId="0" fontId="26" fillId="4" borderId="1" xfId="0" applyFont="1" applyFill="1" applyBorder="1" applyAlignment="1">
      <alignment horizontal="center" vertical="center"/>
    </xf>
    <xf numFmtId="0" fontId="21" fillId="0" borderId="1" xfId="0" applyFont="1" applyBorder="1" applyAlignment="1">
      <alignment horizontal="center" vertical="center"/>
    </xf>
    <xf numFmtId="0" fontId="21" fillId="4" borderId="1" xfId="0" applyFont="1" applyFill="1" applyBorder="1" applyAlignment="1">
      <alignment horizontal="center" vertical="center" wrapText="1"/>
    </xf>
    <xf numFmtId="0" fontId="31" fillId="0" borderId="0" xfId="0" applyFont="1" applyAlignment="1">
      <alignment horizontal="center" vertical="center" shrinkToFit="1"/>
    </xf>
    <xf numFmtId="0" fontId="32" fillId="0" borderId="0" xfId="0" applyFont="1" applyAlignment="1">
      <alignment shrinkToFit="1"/>
    </xf>
    <xf numFmtId="0" fontId="33" fillId="0" borderId="1" xfId="0" applyFont="1" applyBorder="1" applyAlignment="1">
      <alignment shrinkToFit="1"/>
    </xf>
    <xf numFmtId="0" fontId="23" fillId="0" borderId="0" xfId="0" applyFont="1" applyAlignment="1">
      <alignment horizontal="center" vertical="center" shrinkToFit="1"/>
    </xf>
    <xf numFmtId="0" fontId="21" fillId="0" borderId="10" xfId="0" applyFont="1" applyBorder="1" applyAlignment="1">
      <alignment horizontal="center" vertical="center" shrinkToFit="1"/>
    </xf>
    <xf numFmtId="0" fontId="17" fillId="4" borderId="0" xfId="0" applyFont="1" applyFill="1" applyAlignment="1">
      <alignment horizontal="center" vertical="center"/>
    </xf>
    <xf numFmtId="0" fontId="18" fillId="5" borderId="0" xfId="0" applyFont="1" applyFill="1"/>
    <xf numFmtId="0" fontId="19" fillId="5" borderId="5" xfId="0" applyFont="1" applyFill="1" applyBorder="1"/>
    <xf numFmtId="0" fontId="19" fillId="5" borderId="1" xfId="0" applyFont="1" applyFill="1" applyBorder="1"/>
    <xf numFmtId="0" fontId="19" fillId="5" borderId="3" xfId="0" applyFont="1" applyFill="1" applyBorder="1"/>
    <xf numFmtId="0" fontId="17" fillId="4" borderId="0" xfId="0" applyFont="1" applyFill="1" applyAlignment="1">
      <alignment horizontal="center" vertical="center" wrapText="1"/>
    </xf>
    <xf numFmtId="0" fontId="21" fillId="0" borderId="19" xfId="0" applyFont="1" applyBorder="1" applyAlignment="1">
      <alignment horizontal="left" vertical="center" wrapText="1"/>
    </xf>
    <xf numFmtId="0" fontId="20" fillId="0" borderId="19" xfId="0" applyFont="1" applyBorder="1" applyAlignment="1">
      <alignment horizontal="left" wrapText="1"/>
    </xf>
    <xf numFmtId="0" fontId="24" fillId="0" borderId="20" xfId="0" applyFont="1" applyBorder="1" applyAlignment="1">
      <alignment horizontal="left" wrapText="1"/>
    </xf>
    <xf numFmtId="0" fontId="20" fillId="0" borderId="14" xfId="0" applyFont="1" applyBorder="1" applyAlignment="1">
      <alignment horizontal="left" wrapText="1"/>
    </xf>
    <xf numFmtId="0" fontId="24" fillId="0" borderId="15" xfId="0" applyFont="1" applyBorder="1" applyAlignment="1">
      <alignment horizontal="left" wrapText="1"/>
    </xf>
    <xf numFmtId="0" fontId="22" fillId="0" borderId="1" xfId="0" applyFont="1" applyBorder="1" applyAlignment="1">
      <alignment horizontal="center" vertical="center" shrinkToFit="1"/>
    </xf>
    <xf numFmtId="0" fontId="21" fillId="0" borderId="17" xfId="0" applyFont="1" applyBorder="1" applyAlignment="1">
      <alignment horizontal="center" vertical="center" shrinkToFit="1"/>
    </xf>
    <xf numFmtId="0" fontId="24" fillId="0" borderId="17" xfId="0" applyFont="1" applyBorder="1" applyAlignment="1">
      <alignment shrinkToFit="1"/>
    </xf>
    <xf numFmtId="0" fontId="24" fillId="0" borderId="18" xfId="0" applyFont="1" applyBorder="1" applyAlignment="1">
      <alignment shrinkToFit="1"/>
    </xf>
    <xf numFmtId="0" fontId="23" fillId="4" borderId="15" xfId="0" applyFont="1" applyFill="1" applyBorder="1" applyAlignment="1">
      <alignment horizontal="center" vertical="center"/>
    </xf>
    <xf numFmtId="0" fontId="21" fillId="0" borderId="10" xfId="0" applyFont="1" applyBorder="1" applyAlignment="1">
      <alignment horizontal="left" vertical="center" wrapText="1"/>
    </xf>
    <xf numFmtId="0" fontId="24" fillId="0" borderId="2" xfId="0" applyFont="1" applyBorder="1" applyAlignment="1">
      <alignment horizontal="left"/>
    </xf>
    <xf numFmtId="0" fontId="23" fillId="4" borderId="10" xfId="0" applyFont="1" applyFill="1" applyBorder="1" applyAlignment="1">
      <alignment vertical="center"/>
    </xf>
    <xf numFmtId="0" fontId="23" fillId="4" borderId="17" xfId="0" applyFont="1" applyFill="1" applyBorder="1" applyAlignment="1">
      <alignment horizontal="center" vertical="center"/>
    </xf>
    <xf numFmtId="0" fontId="24" fillId="5" borderId="17" xfId="0" applyFont="1" applyFill="1" applyBorder="1"/>
    <xf numFmtId="0" fontId="24" fillId="5" borderId="18" xfId="0" applyFont="1" applyFill="1" applyBorder="1"/>
    <xf numFmtId="0" fontId="21" fillId="0" borderId="1" xfId="0" applyFont="1" applyBorder="1" applyAlignment="1">
      <alignment horizontal="left" vertical="center" shrinkToFit="1"/>
    </xf>
    <xf numFmtId="0" fontId="24" fillId="0" borderId="1" xfId="0" applyFont="1" applyBorder="1" applyAlignment="1">
      <alignment horizontal="left" vertical="center" shrinkToFit="1"/>
    </xf>
    <xf numFmtId="0" fontId="24" fillId="0" borderId="3" xfId="0" applyFont="1" applyBorder="1" applyAlignment="1">
      <alignment horizontal="left" vertical="center" shrinkToFit="1"/>
    </xf>
    <xf numFmtId="0" fontId="20" fillId="0" borderId="0" xfId="0" applyFont="1" applyAlignment="1">
      <alignment horizontal="left" vertical="center"/>
    </xf>
    <xf numFmtId="0" fontId="23" fillId="4" borderId="2" xfId="0" applyFont="1" applyFill="1" applyBorder="1" applyAlignment="1">
      <alignment vertical="center"/>
    </xf>
    <xf numFmtId="0" fontId="23" fillId="4" borderId="21" xfId="0" applyFont="1" applyFill="1" applyBorder="1" applyAlignment="1">
      <alignment horizontal="center" vertical="center" textRotation="255"/>
    </xf>
    <xf numFmtId="0" fontId="17" fillId="0" borderId="21" xfId="0" applyFont="1" applyBorder="1" applyAlignment="1">
      <alignment horizontal="center" vertical="center" shrinkToFit="1"/>
    </xf>
    <xf numFmtId="0" fontId="17" fillId="0" borderId="22" xfId="0" applyFont="1" applyBorder="1" applyAlignment="1">
      <alignment horizontal="center" vertical="center" shrinkToFit="1"/>
    </xf>
    <xf numFmtId="0" fontId="25" fillId="5" borderId="21" xfId="0" applyFont="1" applyFill="1" applyBorder="1" applyAlignment="1">
      <alignment horizontal="center" vertical="center" wrapText="1"/>
    </xf>
    <xf numFmtId="0" fontId="24" fillId="0" borderId="21" xfId="0" applyFont="1" applyBorder="1" applyAlignment="1">
      <alignment horizontal="left" vertical="center" wrapText="1"/>
    </xf>
    <xf numFmtId="0" fontId="23" fillId="4" borderId="1" xfId="0" applyFont="1" applyFill="1" applyBorder="1" applyAlignment="1">
      <alignment vertical="center"/>
    </xf>
    <xf numFmtId="0" fontId="21" fillId="4" borderId="10" xfId="0" applyFont="1" applyFill="1" applyBorder="1" applyAlignment="1">
      <alignment horizontal="center" vertical="center"/>
    </xf>
    <xf numFmtId="0" fontId="24" fillId="5" borderId="2" xfId="0" applyFont="1" applyFill="1" applyBorder="1"/>
    <xf numFmtId="0" fontId="17" fillId="4" borderId="11" xfId="0" applyFont="1" applyFill="1" applyBorder="1" applyAlignment="1">
      <alignment horizontal="center" vertical="center"/>
    </xf>
    <xf numFmtId="0" fontId="19" fillId="5" borderId="12" xfId="0" applyFont="1" applyFill="1" applyBorder="1"/>
    <xf numFmtId="0" fontId="19" fillId="5" borderId="13" xfId="0" applyFont="1" applyFill="1" applyBorder="1"/>
    <xf numFmtId="0" fontId="19" fillId="5" borderId="2" xfId="0" applyFont="1" applyFill="1" applyBorder="1"/>
    <xf numFmtId="0" fontId="20" fillId="0" borderId="14" xfId="0" applyFont="1" applyBorder="1" applyAlignment="1">
      <alignment horizontal="left"/>
    </xf>
    <xf numFmtId="0" fontId="24" fillId="0" borderId="10" xfId="0" applyFont="1" applyBorder="1" applyAlignment="1">
      <alignment horizontal="left" vertical="center" wrapText="1"/>
    </xf>
    <xf numFmtId="0" fontId="24" fillId="0" borderId="14" xfId="0" applyFont="1" applyBorder="1" applyAlignment="1">
      <alignment horizontal="left" vertical="center" wrapText="1"/>
    </xf>
    <xf numFmtId="0" fontId="24" fillId="0" borderId="5" xfId="0" applyFont="1" applyBorder="1" applyAlignment="1">
      <alignment horizontal="left" vertical="center" wrapText="1"/>
    </xf>
    <xf numFmtId="0" fontId="24" fillId="0" borderId="2" xfId="0" applyFont="1" applyBorder="1" applyAlignment="1">
      <alignment horizontal="left" vertical="center" wrapText="1"/>
    </xf>
    <xf numFmtId="0" fontId="24" fillId="0" borderId="15" xfId="0" applyFont="1" applyBorder="1" applyAlignment="1">
      <alignment horizontal="left" vertical="center" wrapText="1"/>
    </xf>
    <xf numFmtId="0" fontId="24" fillId="0" borderId="3" xfId="0" applyFont="1" applyBorder="1" applyAlignment="1">
      <alignment horizontal="left" vertical="center" wrapText="1"/>
    </xf>
  </cellXfs>
  <cellStyles count="1">
    <cellStyle name="標準" xfId="0" builtinId="0"/>
  </cellStyles>
  <dxfs count="2">
    <dxf>
      <fill>
        <patternFill patternType="solid">
          <fgColor rgb="FFFFE599"/>
          <bgColor rgb="FFFFE599"/>
        </patternFill>
      </fill>
    </dxf>
    <dxf>
      <fill>
        <patternFill patternType="solid">
          <fgColor rgb="FFFFE599"/>
          <bgColor rgb="FFFFE599"/>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drawings/drawing1.xml><?xml version="1.0" encoding="utf-8"?>
<xdr:wsDr xmlns:xdr="http://schemas.openxmlformats.org/drawingml/2006/spreadsheetDrawing" xmlns:a="http://schemas.openxmlformats.org/drawingml/2006/main">
  <xdr:oneCellAnchor>
    <xdr:from>
      <xdr:col>0</xdr:col>
      <xdr:colOff>133350</xdr:colOff>
      <xdr:row>3</xdr:row>
      <xdr:rowOff>47625</xdr:rowOff>
    </xdr:from>
    <xdr:ext cx="6677025" cy="1266825"/>
    <xdr:grpSp>
      <xdr:nvGrpSpPr>
        <xdr:cNvPr id="2" name="Shape 2" title="図形描画">
          <a:extLst>
            <a:ext uri="{FF2B5EF4-FFF2-40B4-BE49-F238E27FC236}">
              <a16:creationId xmlns:a16="http://schemas.microsoft.com/office/drawing/2014/main" id="{00000000-0008-0000-0100-000002000000}"/>
            </a:ext>
          </a:extLst>
        </xdr:cNvPr>
        <xdr:cNvGrpSpPr/>
      </xdr:nvGrpSpPr>
      <xdr:grpSpPr>
        <a:xfrm>
          <a:off x="133350" y="590550"/>
          <a:ext cx="6677025" cy="1266825"/>
          <a:chOff x="324825" y="1258725"/>
          <a:chExt cx="6659100" cy="1248600"/>
        </a:xfrm>
      </xdr:grpSpPr>
      <xdr:sp macro="" textlink="">
        <xdr:nvSpPr>
          <xdr:cNvPr id="7" name="Shape 7">
            <a:extLst>
              <a:ext uri="{FF2B5EF4-FFF2-40B4-BE49-F238E27FC236}">
                <a16:creationId xmlns:a16="http://schemas.microsoft.com/office/drawing/2014/main" id="{00000000-0008-0000-0100-000007000000}"/>
              </a:ext>
            </a:extLst>
          </xdr:cNvPr>
          <xdr:cNvSpPr/>
        </xdr:nvSpPr>
        <xdr:spPr>
          <a:xfrm>
            <a:off x="324825" y="1258725"/>
            <a:ext cx="6659100" cy="1248600"/>
          </a:xfrm>
          <a:prstGeom prst="roundRect">
            <a:avLst>
              <a:gd name="adj" fmla="val 16667"/>
            </a:avLst>
          </a:prstGeom>
          <a:solidFill>
            <a:srgbClr val="FFF2CC"/>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ctr" rtl="0">
              <a:spcBef>
                <a:spcPts val="0"/>
              </a:spcBef>
              <a:spcAft>
                <a:spcPts val="0"/>
              </a:spcAft>
              <a:buNone/>
            </a:pPr>
            <a:endParaRPr sz="1400"/>
          </a:p>
        </xdr:txBody>
      </xdr:sp>
      <xdr:sp macro="" textlink="">
        <xdr:nvSpPr>
          <xdr:cNvPr id="8" name="Shape 8">
            <a:extLst>
              <a:ext uri="{FF2B5EF4-FFF2-40B4-BE49-F238E27FC236}">
                <a16:creationId xmlns:a16="http://schemas.microsoft.com/office/drawing/2014/main" id="{00000000-0008-0000-0100-000008000000}"/>
              </a:ext>
            </a:extLst>
          </xdr:cNvPr>
          <xdr:cNvSpPr txBox="1"/>
        </xdr:nvSpPr>
        <xdr:spPr>
          <a:xfrm>
            <a:off x="484725" y="1471900"/>
            <a:ext cx="6499200" cy="400200"/>
          </a:xfrm>
          <a:prstGeom prst="rect">
            <a:avLst/>
          </a:prstGeom>
          <a:noFill/>
          <a:ln>
            <a:noFill/>
          </a:ln>
        </xdr:spPr>
        <xdr:txBody>
          <a:bodyPr spcFirstLastPara="1" wrap="square" lIns="91425" tIns="91425" rIns="91425" bIns="91425" anchor="t" anchorCtr="0">
            <a:spAutoFit/>
          </a:bodyPr>
          <a:lstStyle/>
          <a:p>
            <a:pPr marL="0" lvl="0" indent="0" algn="l" rtl="0">
              <a:spcBef>
                <a:spcPts val="0"/>
              </a:spcBef>
              <a:spcAft>
                <a:spcPts val="0"/>
              </a:spcAft>
              <a:buNone/>
            </a:pPr>
            <a:r>
              <a:rPr lang="en-US" sz="1400"/>
              <a:t>このシートは</a:t>
            </a:r>
            <a:r>
              <a:rPr lang="en-US" sz="1400">
                <a:solidFill>
                  <a:srgbClr val="FF0000"/>
                </a:solidFill>
              </a:rPr>
              <a:t>原本</a:t>
            </a:r>
            <a:r>
              <a:rPr lang="en-US" sz="1400"/>
              <a:t>です。このシートを複製後にデータを反映させてください。</a:t>
            </a:r>
            <a:endParaRPr sz="1400"/>
          </a:p>
        </xdr:txBody>
      </xdr:sp>
      <xdr:sp macro="" textlink="">
        <xdr:nvSpPr>
          <xdr:cNvPr id="9" name="Shape 9">
            <a:extLst>
              <a:ext uri="{FF2B5EF4-FFF2-40B4-BE49-F238E27FC236}">
                <a16:creationId xmlns:a16="http://schemas.microsoft.com/office/drawing/2014/main" id="{00000000-0008-0000-0100-000009000000}"/>
              </a:ext>
            </a:extLst>
          </xdr:cNvPr>
          <xdr:cNvSpPr txBox="1"/>
        </xdr:nvSpPr>
        <xdr:spPr>
          <a:xfrm>
            <a:off x="420375" y="1931075"/>
            <a:ext cx="6468000" cy="400200"/>
          </a:xfrm>
          <a:prstGeom prst="rect">
            <a:avLst/>
          </a:prstGeom>
          <a:noFill/>
          <a:ln>
            <a:noFill/>
          </a:ln>
        </xdr:spPr>
        <xdr:txBody>
          <a:bodyPr spcFirstLastPara="1" wrap="square" lIns="91425" tIns="91425" rIns="91425" bIns="91425" anchor="t" anchorCtr="0">
            <a:spAutoFit/>
          </a:bodyPr>
          <a:lstStyle/>
          <a:p>
            <a:pPr marL="0" lvl="0" indent="0" algn="l" rtl="0">
              <a:spcBef>
                <a:spcPts val="0"/>
              </a:spcBef>
              <a:spcAft>
                <a:spcPts val="0"/>
              </a:spcAft>
              <a:buNone/>
            </a:pPr>
            <a:r>
              <a:rPr lang="en-US" sz="1400"/>
              <a:t>複製方法：このシートの下部にある</a:t>
            </a:r>
            <a:r>
              <a:rPr lang="en-US" sz="1400">
                <a:solidFill>
                  <a:srgbClr val="4A86E8"/>
                </a:solidFill>
              </a:rPr>
              <a:t>「原本」右クリック　→　コピーを作成</a:t>
            </a:r>
            <a:endParaRPr sz="1400">
              <a:solidFill>
                <a:srgbClr val="4A86E8"/>
              </a:solidFill>
            </a:endParaRPr>
          </a:p>
        </xdr:txBody>
      </xdr:sp>
    </xdr:grpSp>
    <xdr:clientData fLocksWithSheet="0"/>
  </xdr:oneCellAnchor>
</xdr:wsDr>
</file>

<file path=xl/drawings/drawing2.xml><?xml version="1.0" encoding="utf-8"?>
<xdr:wsDr xmlns:xdr="http://schemas.openxmlformats.org/drawingml/2006/spreadsheetDrawing" xmlns:a="http://schemas.openxmlformats.org/drawingml/2006/main">
  <xdr:oneCellAnchor>
    <xdr:from>
      <xdr:col>1</xdr:col>
      <xdr:colOff>104775</xdr:colOff>
      <xdr:row>3</xdr:row>
      <xdr:rowOff>123825</xdr:rowOff>
    </xdr:from>
    <xdr:ext cx="6572250" cy="1447800"/>
    <xdr:grpSp>
      <xdr:nvGrpSpPr>
        <xdr:cNvPr id="2" name="Shape 2" title="図形描画">
          <a:extLst>
            <a:ext uri="{FF2B5EF4-FFF2-40B4-BE49-F238E27FC236}">
              <a16:creationId xmlns:a16="http://schemas.microsoft.com/office/drawing/2014/main" id="{00000000-0008-0000-0400-000002000000}"/>
            </a:ext>
          </a:extLst>
        </xdr:cNvPr>
        <xdr:cNvGrpSpPr/>
      </xdr:nvGrpSpPr>
      <xdr:grpSpPr>
        <a:xfrm>
          <a:off x="266700" y="666750"/>
          <a:ext cx="6572250" cy="1447800"/>
          <a:chOff x="406050" y="1157200"/>
          <a:chExt cx="6557400" cy="1431300"/>
        </a:xfrm>
      </xdr:grpSpPr>
      <xdr:sp macro="" textlink="">
        <xdr:nvSpPr>
          <xdr:cNvPr id="10" name="Shape 10">
            <a:extLst>
              <a:ext uri="{FF2B5EF4-FFF2-40B4-BE49-F238E27FC236}">
                <a16:creationId xmlns:a16="http://schemas.microsoft.com/office/drawing/2014/main" id="{00000000-0008-0000-0400-00000A000000}"/>
              </a:ext>
            </a:extLst>
          </xdr:cNvPr>
          <xdr:cNvSpPr/>
        </xdr:nvSpPr>
        <xdr:spPr>
          <a:xfrm>
            <a:off x="406050" y="1157200"/>
            <a:ext cx="6557400" cy="1431300"/>
          </a:xfrm>
          <a:prstGeom prst="roundRect">
            <a:avLst>
              <a:gd name="adj" fmla="val 16667"/>
            </a:avLst>
          </a:prstGeom>
          <a:solidFill>
            <a:srgbClr val="FFF2CC"/>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ctr" rtl="0">
              <a:spcBef>
                <a:spcPts val="0"/>
              </a:spcBef>
              <a:spcAft>
                <a:spcPts val="0"/>
              </a:spcAft>
              <a:buNone/>
            </a:pPr>
            <a:endParaRPr sz="1400"/>
          </a:p>
        </xdr:txBody>
      </xdr:sp>
      <xdr:sp macro="" textlink="">
        <xdr:nvSpPr>
          <xdr:cNvPr id="11" name="Shape 11">
            <a:extLst>
              <a:ext uri="{FF2B5EF4-FFF2-40B4-BE49-F238E27FC236}">
                <a16:creationId xmlns:a16="http://schemas.microsoft.com/office/drawing/2014/main" id="{00000000-0008-0000-0400-00000B000000}"/>
              </a:ext>
            </a:extLst>
          </xdr:cNvPr>
          <xdr:cNvSpPr txBox="1"/>
        </xdr:nvSpPr>
        <xdr:spPr>
          <a:xfrm>
            <a:off x="739350" y="1309475"/>
            <a:ext cx="6141300" cy="400200"/>
          </a:xfrm>
          <a:prstGeom prst="rect">
            <a:avLst/>
          </a:prstGeom>
          <a:noFill/>
          <a:ln>
            <a:noFill/>
          </a:ln>
        </xdr:spPr>
        <xdr:txBody>
          <a:bodyPr spcFirstLastPara="1" wrap="square" lIns="91425" tIns="91425" rIns="91425" bIns="91425" anchor="t" anchorCtr="0">
            <a:spAutoFit/>
          </a:bodyPr>
          <a:lstStyle/>
          <a:p>
            <a:pPr marL="0" lvl="0" indent="0" algn="l" rtl="0">
              <a:spcBef>
                <a:spcPts val="0"/>
              </a:spcBef>
              <a:spcAft>
                <a:spcPts val="0"/>
              </a:spcAft>
              <a:buNone/>
            </a:pPr>
            <a:r>
              <a:rPr lang="en-US" sz="1400"/>
              <a:t>このシートは</a:t>
            </a:r>
            <a:r>
              <a:rPr lang="en-US" sz="1400">
                <a:solidFill>
                  <a:srgbClr val="FF0000"/>
                </a:solidFill>
              </a:rPr>
              <a:t>原本</a:t>
            </a:r>
            <a:r>
              <a:rPr lang="en-US" sz="1400"/>
              <a:t>です。</a:t>
            </a:r>
            <a:r>
              <a:rPr lang="en-US" sz="1400" u="sng"/>
              <a:t>シートを複製後に、データを反映して下さい。</a:t>
            </a:r>
            <a:endParaRPr sz="1400" u="sng"/>
          </a:p>
        </xdr:txBody>
      </xdr:sp>
      <xdr:sp macro="" textlink="">
        <xdr:nvSpPr>
          <xdr:cNvPr id="12" name="Shape 12">
            <a:extLst>
              <a:ext uri="{FF2B5EF4-FFF2-40B4-BE49-F238E27FC236}">
                <a16:creationId xmlns:a16="http://schemas.microsoft.com/office/drawing/2014/main" id="{00000000-0008-0000-0400-00000C000000}"/>
              </a:ext>
            </a:extLst>
          </xdr:cNvPr>
          <xdr:cNvSpPr txBox="1"/>
        </xdr:nvSpPr>
        <xdr:spPr>
          <a:xfrm>
            <a:off x="842525" y="1709675"/>
            <a:ext cx="5847000" cy="400200"/>
          </a:xfrm>
          <a:prstGeom prst="rect">
            <a:avLst/>
          </a:prstGeom>
          <a:noFill/>
          <a:ln>
            <a:noFill/>
          </a:ln>
        </xdr:spPr>
        <xdr:txBody>
          <a:bodyPr spcFirstLastPara="1" wrap="square" lIns="91425" tIns="91425" rIns="91425" bIns="91425" anchor="t" anchorCtr="0">
            <a:spAutoFit/>
          </a:bodyPr>
          <a:lstStyle/>
          <a:p>
            <a:pPr marL="0" lvl="0" indent="0" algn="l" rtl="0">
              <a:spcBef>
                <a:spcPts val="0"/>
              </a:spcBef>
              <a:spcAft>
                <a:spcPts val="0"/>
              </a:spcAft>
              <a:buNone/>
            </a:pPr>
            <a:r>
              <a:rPr lang="en-US" sz="1400"/>
              <a:t>※複製後、</a:t>
            </a:r>
            <a:r>
              <a:rPr lang="en-US" sz="1400">
                <a:solidFill>
                  <a:srgbClr val="4A86E8"/>
                </a:solidFill>
              </a:rPr>
              <a:t>シート名は手入力</a:t>
            </a:r>
            <a:r>
              <a:rPr lang="en-US" sz="1400"/>
              <a:t>して下さい。</a:t>
            </a:r>
            <a:endParaRPr sz="1400"/>
          </a:p>
        </xdr:txBody>
      </xdr:sp>
      <xdr:sp macro="" textlink="">
        <xdr:nvSpPr>
          <xdr:cNvPr id="13" name="Shape 13">
            <a:extLst>
              <a:ext uri="{FF2B5EF4-FFF2-40B4-BE49-F238E27FC236}">
                <a16:creationId xmlns:a16="http://schemas.microsoft.com/office/drawing/2014/main" id="{00000000-0008-0000-0400-00000D000000}"/>
              </a:ext>
            </a:extLst>
          </xdr:cNvPr>
          <xdr:cNvSpPr txBox="1"/>
        </xdr:nvSpPr>
        <xdr:spPr>
          <a:xfrm>
            <a:off x="842525" y="2109875"/>
            <a:ext cx="5847000" cy="400200"/>
          </a:xfrm>
          <a:prstGeom prst="rect">
            <a:avLst/>
          </a:prstGeom>
          <a:noFill/>
          <a:ln>
            <a:noFill/>
          </a:ln>
        </xdr:spPr>
        <xdr:txBody>
          <a:bodyPr spcFirstLastPara="1" wrap="square" lIns="91425" tIns="91425" rIns="91425" bIns="91425" anchor="t" anchorCtr="0">
            <a:spAutoFit/>
          </a:bodyPr>
          <a:lstStyle/>
          <a:p>
            <a:pPr marL="0" lvl="0" indent="0" algn="l" rtl="0">
              <a:spcBef>
                <a:spcPts val="0"/>
              </a:spcBef>
              <a:spcAft>
                <a:spcPts val="0"/>
              </a:spcAft>
              <a:buNone/>
            </a:pPr>
            <a:r>
              <a:rPr lang="en-US" sz="1400"/>
              <a:t>複製：下部の「原本」シート　右クリック　→　コピーを作成</a:t>
            </a:r>
            <a:endParaRPr sz="1400"/>
          </a:p>
        </xdr:txBody>
      </xdr:sp>
    </xdr:grpSp>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AK112"/>
  <sheetViews>
    <sheetView workbookViewId="0"/>
  </sheetViews>
  <sheetFormatPr defaultColWidth="12.5703125" defaultRowHeight="15.75" customHeight="1"/>
  <cols>
    <col min="1" max="37" width="2.42578125" customWidth="1"/>
  </cols>
  <sheetData>
    <row r="1" spans="1:37" ht="14.25" customHeight="1">
      <c r="A1" s="44" t="s">
        <v>0</v>
      </c>
      <c r="B1" s="8"/>
      <c r="C1" s="8"/>
      <c r="D1" s="8"/>
      <c r="E1" s="8"/>
      <c r="F1" s="8"/>
      <c r="G1" s="8"/>
      <c r="H1" s="8"/>
      <c r="I1" s="8"/>
      <c r="J1" s="8"/>
      <c r="K1" s="8"/>
      <c r="L1" s="1"/>
      <c r="M1" s="1"/>
      <c r="N1" s="45" t="str">
        <f t="array" aca="1" ref="N1" ca="1">IFERROR(
    INDEX(データ集約!A:ZZ, MATCH(D6, データ集約!C:C, 0), MATCH("事業所の選択", データ集約!1:1, 0)),
    ""
)</f>
        <v/>
      </c>
      <c r="O1" s="10"/>
      <c r="P1" s="10"/>
      <c r="Q1" s="10"/>
      <c r="R1" s="10"/>
      <c r="S1" s="10"/>
      <c r="T1" s="10"/>
      <c r="U1" s="10"/>
      <c r="V1" s="10"/>
      <c r="W1" s="10"/>
      <c r="X1" s="10"/>
      <c r="Y1" s="10"/>
      <c r="Z1" s="3"/>
      <c r="AA1" s="46" t="s">
        <v>1</v>
      </c>
      <c r="AB1" s="10"/>
      <c r="AC1" s="10"/>
      <c r="AD1" s="10"/>
      <c r="AE1" s="10"/>
      <c r="AF1" s="47" t="str">
        <f t="array" aca="1" ref="AF1" ca="1">IFERROR(
    INDEX(データ集約!A:ZZ, MATCH(D6, データ集約!C:C, 0), MATCH("作成日", データ集約!1:1, 0)),
    ""
)</f>
        <v/>
      </c>
      <c r="AG1" s="10"/>
      <c r="AH1" s="10"/>
      <c r="AI1" s="10"/>
      <c r="AJ1" s="10"/>
      <c r="AK1" s="10"/>
    </row>
    <row r="2" spans="1:37" ht="14.25" customHeight="1">
      <c r="A2" s="8"/>
      <c r="B2" s="8"/>
      <c r="C2" s="8"/>
      <c r="D2" s="8"/>
      <c r="E2" s="8"/>
      <c r="F2" s="8"/>
      <c r="G2" s="8"/>
      <c r="H2" s="8"/>
      <c r="I2" s="8"/>
      <c r="J2" s="8"/>
      <c r="K2" s="8"/>
      <c r="L2" s="1"/>
      <c r="M2" s="1"/>
      <c r="N2" s="1"/>
      <c r="O2" s="1"/>
      <c r="P2" s="1"/>
      <c r="Q2" s="1"/>
      <c r="R2" s="1"/>
      <c r="S2" s="1"/>
      <c r="T2" s="1"/>
      <c r="U2" s="1"/>
      <c r="V2" s="1"/>
      <c r="W2" s="1"/>
      <c r="X2" s="48" t="s">
        <v>140</v>
      </c>
      <c r="Y2" s="8"/>
      <c r="Z2" s="8"/>
      <c r="AA2" s="8"/>
      <c r="AB2" s="8"/>
      <c r="AC2" s="8"/>
      <c r="AD2" s="49" t="str">
        <f t="array" aca="1" ref="AD2" ca="1">IFERROR(
    INDEX(データ集約!A:ZZ, MATCH(D6, データ集約!C:C, 0), MATCH("入居予定日", データ集約!1:1, 0)),
    ""
)</f>
        <v/>
      </c>
      <c r="AE2" s="8"/>
      <c r="AF2" s="8"/>
      <c r="AG2" s="8"/>
      <c r="AH2" s="8"/>
      <c r="AI2" s="8"/>
      <c r="AJ2" s="8"/>
      <c r="AK2" s="8"/>
    </row>
    <row r="3" spans="1:37" ht="14.25" customHeight="1">
      <c r="A3" s="10"/>
      <c r="B3" s="10"/>
      <c r="C3" s="10"/>
      <c r="D3" s="10"/>
      <c r="E3" s="10"/>
      <c r="F3" s="10"/>
      <c r="G3" s="10"/>
      <c r="H3" s="10"/>
      <c r="I3" s="10"/>
      <c r="J3" s="10"/>
      <c r="K3" s="10"/>
      <c r="L3" s="2"/>
      <c r="M3" s="2"/>
      <c r="N3" s="2"/>
      <c r="O3" s="2"/>
      <c r="P3" s="2"/>
      <c r="Q3" s="2"/>
      <c r="R3" s="2"/>
      <c r="S3" s="2"/>
      <c r="T3" s="2"/>
      <c r="U3" s="2"/>
      <c r="V3" s="2"/>
      <c r="W3" s="2"/>
      <c r="X3" s="10"/>
      <c r="Y3" s="10"/>
      <c r="Z3" s="10"/>
      <c r="AA3" s="10"/>
      <c r="AB3" s="10"/>
      <c r="AC3" s="10"/>
      <c r="AD3" s="10"/>
      <c r="AE3" s="10"/>
      <c r="AF3" s="10"/>
      <c r="AG3" s="10"/>
      <c r="AH3" s="10"/>
      <c r="AI3" s="10"/>
      <c r="AJ3" s="10"/>
      <c r="AK3" s="10"/>
    </row>
    <row r="4" spans="1:37" ht="14.25" customHeight="1">
      <c r="A4" s="50" t="s">
        <v>2</v>
      </c>
      <c r="B4" s="10"/>
      <c r="C4" s="10"/>
      <c r="D4" s="10"/>
      <c r="E4" s="10"/>
      <c r="F4" s="11"/>
      <c r="G4" s="51" t="str">
        <f t="array" aca="1" ref="G4" ca="1">IFERROR(
    INDEX(データ集約!A:ZZ, MATCH(D6, データ集約!C:C, 0), MATCH("アセスメントの理由", データ集約!1:1, 0)),
    ""
)</f>
        <v/>
      </c>
      <c r="H4" s="10"/>
      <c r="I4" s="10"/>
      <c r="J4" s="10"/>
      <c r="K4" s="10"/>
      <c r="L4" s="10"/>
      <c r="M4" s="10"/>
      <c r="N4" s="10"/>
      <c r="O4" s="10"/>
      <c r="P4" s="10"/>
      <c r="Q4" s="11"/>
      <c r="R4" s="43" t="s">
        <v>3</v>
      </c>
      <c r="S4" s="10"/>
      <c r="T4" s="11"/>
      <c r="U4" s="51" t="str">
        <f t="array" aca="1" ref="U4" ca="1">IFERROR(
    INDEX(データ集約!A:ZZ, MATCH(D6, データ集約!C:C, 0), MATCH("面談場所", データ集約!1:1, 0)),
    ""
)</f>
        <v/>
      </c>
      <c r="V4" s="10"/>
      <c r="W4" s="10"/>
      <c r="X4" s="10"/>
      <c r="Y4" s="10"/>
      <c r="Z4" s="10"/>
      <c r="AA4" s="10"/>
      <c r="AB4" s="10"/>
      <c r="AC4" s="11"/>
      <c r="AD4" s="43" t="s">
        <v>4</v>
      </c>
      <c r="AE4" s="10"/>
      <c r="AF4" s="11"/>
      <c r="AG4" s="51" t="str">
        <f t="array" aca="1" ref="AG4" ca="1">IFERROR(
    INDEX(データ集約!A:ZZ, MATCH(D6, データ集約!C:C, 0), MATCH("作成者", データ集約!1:1, 0)),
    ""
)</f>
        <v/>
      </c>
      <c r="AH4" s="10"/>
      <c r="AI4" s="10"/>
      <c r="AJ4" s="10"/>
      <c r="AK4" s="11"/>
    </row>
    <row r="5" spans="1:37" ht="14.25" customHeight="1">
      <c r="A5" s="27" t="s">
        <v>5</v>
      </c>
      <c r="B5" s="52" t="s">
        <v>6</v>
      </c>
      <c r="C5" s="11"/>
      <c r="D5" s="53" t="str">
        <f t="array" aca="1" ref="D5" ca="1">IFERROR(
    INDEX(利用者一覧!A:I, MATCH(D6, 利用者一覧!C:C, 0), MATCH("氏名（ふりがな）", 利用者一覧!1:1, 0)),
    ""
)</f>
        <v/>
      </c>
      <c r="E5" s="10"/>
      <c r="F5" s="10"/>
      <c r="G5" s="10"/>
      <c r="H5" s="10"/>
      <c r="I5" s="10"/>
      <c r="J5" s="10"/>
      <c r="K5" s="10"/>
      <c r="L5" s="10"/>
      <c r="M5" s="10"/>
      <c r="N5" s="10"/>
      <c r="O5" s="10"/>
      <c r="P5" s="10"/>
      <c r="Q5" s="11"/>
      <c r="R5" s="16" t="s">
        <v>7</v>
      </c>
      <c r="S5" s="10"/>
      <c r="T5" s="10"/>
      <c r="U5" s="10"/>
      <c r="V5" s="10"/>
      <c r="W5" s="11"/>
      <c r="X5" s="16" t="s">
        <v>8</v>
      </c>
      <c r="Y5" s="10"/>
      <c r="Z5" s="10"/>
      <c r="AA5" s="10"/>
      <c r="AB5" s="10"/>
      <c r="AC5" s="11"/>
      <c r="AD5" s="16" t="s">
        <v>9</v>
      </c>
      <c r="AE5" s="10"/>
      <c r="AF5" s="10"/>
      <c r="AG5" s="10"/>
      <c r="AH5" s="10"/>
      <c r="AI5" s="10"/>
      <c r="AJ5" s="10"/>
      <c r="AK5" s="11"/>
    </row>
    <row r="6" spans="1:37" ht="14.25" customHeight="1">
      <c r="A6" s="28"/>
      <c r="B6" s="31" t="s">
        <v>10</v>
      </c>
      <c r="C6" s="9"/>
      <c r="D6" s="42" t="s">
        <v>11</v>
      </c>
      <c r="E6" s="8"/>
      <c r="F6" s="8"/>
      <c r="G6" s="8"/>
      <c r="H6" s="8"/>
      <c r="I6" s="8"/>
      <c r="J6" s="8"/>
      <c r="K6" s="8"/>
      <c r="L6" s="8"/>
      <c r="M6" s="8"/>
      <c r="N6" s="8"/>
      <c r="O6" s="8"/>
      <c r="P6" s="54" t="s">
        <v>12</v>
      </c>
      <c r="Q6" s="9"/>
      <c r="R6" s="18" t="str">
        <f t="array" aca="1" ref="R6" ca="1">IFERROR(
    INDEX(利用者一覧!A:I, MATCH(D6, 利用者一覧!C:C, 0), MATCH("性別", 利用者一覧!1:1, 0)),
    ""
)</f>
        <v/>
      </c>
      <c r="S6" s="8"/>
      <c r="T6" s="8"/>
      <c r="U6" s="8"/>
      <c r="V6" s="8"/>
      <c r="W6" s="9"/>
      <c r="X6" s="55" t="str">
        <f t="array" aca="1" ref="X6" ca="1">IFERROR(
    INDEX(利用者一覧!A:I, MATCH(D6, 利用者一覧!C:C, 0), MATCH("生年月日", 利用者一覧!1:1, 0)),
    ""
)</f>
        <v/>
      </c>
      <c r="Y6" s="8"/>
      <c r="Z6" s="8"/>
      <c r="AA6" s="8"/>
      <c r="AB6" s="8"/>
      <c r="AC6" s="9"/>
      <c r="AD6" s="18" t="str">
        <f ca="1">IFERROR(
  DATEDIF(
    DATE(
      IF(LEFT(X6, 2) = "令和", 2018 + MID(X6, 3, FIND("年", X6) - 3),
      IF(LEFT(X6, 2) = "平成", 1988 + MID(X6, 3, FIND("年", X6) - 3),
      IF(LEFT(X6, 2) = "昭和", 1925 + MID(X6, 3, FIND("年", X6) - 3),
      IF(LEFT(X6, 2) = "大正", 1911 + MID(X6, 3, FIND("年", X6) - 3),
      IF(LEFT(X6, 2) = "明治", 1867 + MID(X6, 3, FIND("年", X6) - 3),
      0))))),
      MID(X6, FIND("年", X6) + 1, FIND("月", X6) - FIND("年", X6) - 1),
      MID(X6, FIND("月", X6) + 1, FIND("日", X6) - FIND("月", X6) - 1)
    ),
    TODAY(),
    "Y"
  ),
  ""
)</f>
        <v/>
      </c>
      <c r="AE6" s="8"/>
      <c r="AF6" s="8"/>
      <c r="AG6" s="8"/>
      <c r="AH6" s="8"/>
      <c r="AI6" s="9"/>
      <c r="AJ6" s="33" t="s">
        <v>13</v>
      </c>
      <c r="AK6" s="9"/>
    </row>
    <row r="7" spans="1:37" ht="14.25" customHeight="1">
      <c r="A7" s="28"/>
      <c r="B7" s="10"/>
      <c r="C7" s="11"/>
      <c r="D7" s="10"/>
      <c r="E7" s="10"/>
      <c r="F7" s="10"/>
      <c r="G7" s="10"/>
      <c r="H7" s="10"/>
      <c r="I7" s="10"/>
      <c r="J7" s="10"/>
      <c r="K7" s="10"/>
      <c r="L7" s="10"/>
      <c r="M7" s="10"/>
      <c r="N7" s="10"/>
      <c r="O7" s="10"/>
      <c r="P7" s="10"/>
      <c r="Q7" s="11"/>
      <c r="R7" s="10"/>
      <c r="S7" s="10"/>
      <c r="T7" s="10"/>
      <c r="U7" s="10"/>
      <c r="V7" s="10"/>
      <c r="W7" s="11"/>
      <c r="X7" s="10"/>
      <c r="Y7" s="10"/>
      <c r="Z7" s="10"/>
      <c r="AA7" s="10"/>
      <c r="AB7" s="10"/>
      <c r="AC7" s="11"/>
      <c r="AD7" s="10"/>
      <c r="AE7" s="10"/>
      <c r="AF7" s="10"/>
      <c r="AG7" s="10"/>
      <c r="AH7" s="10"/>
      <c r="AI7" s="11"/>
      <c r="AJ7" s="10"/>
      <c r="AK7" s="11"/>
    </row>
    <row r="8" spans="1:37" ht="14.25" customHeight="1">
      <c r="A8" s="28"/>
      <c r="B8" s="31" t="s">
        <v>14</v>
      </c>
      <c r="C8" s="9"/>
      <c r="D8" s="18" t="str">
        <f t="array" aca="1" ref="D8" ca="1">IFERROR(
    INDEX(利用者一覧!A:I, MATCH(D6, 利用者一覧!C:C, 0), MATCH("住所", 利用者一覧!1:1, 0)),
    ""
)</f>
        <v/>
      </c>
      <c r="E8" s="8"/>
      <c r="F8" s="8"/>
      <c r="G8" s="8"/>
      <c r="H8" s="8"/>
      <c r="I8" s="8"/>
      <c r="J8" s="8"/>
      <c r="K8" s="8"/>
      <c r="L8" s="8"/>
      <c r="M8" s="8"/>
      <c r="N8" s="8"/>
      <c r="O8" s="8"/>
      <c r="P8" s="8"/>
      <c r="Q8" s="8"/>
      <c r="R8" s="8"/>
      <c r="S8" s="8"/>
      <c r="T8" s="8"/>
      <c r="U8" s="8"/>
      <c r="V8" s="8"/>
      <c r="W8" s="8"/>
      <c r="X8" s="8"/>
      <c r="Y8" s="8"/>
      <c r="Z8" s="9"/>
      <c r="AA8" s="15" t="s">
        <v>15</v>
      </c>
      <c r="AB8" s="8"/>
      <c r="AC8" s="9"/>
      <c r="AD8" s="18" t="str">
        <f t="array" aca="1" ref="AD8" ca="1">IFERROR(
    INDEX(利用者一覧!A:I, MATCH(D6, 利用者一覧!C:C, 0), MATCH("連絡先", 利用者一覧!1:1, 0)),
    ""
)</f>
        <v/>
      </c>
      <c r="AE8" s="8"/>
      <c r="AF8" s="8"/>
      <c r="AG8" s="8"/>
      <c r="AH8" s="8"/>
      <c r="AI8" s="8"/>
      <c r="AJ8" s="8"/>
      <c r="AK8" s="9"/>
    </row>
    <row r="9" spans="1:37" ht="14.25" customHeight="1">
      <c r="A9" s="29"/>
      <c r="B9" s="10"/>
      <c r="C9" s="11"/>
      <c r="D9" s="10"/>
      <c r="E9" s="10"/>
      <c r="F9" s="10"/>
      <c r="G9" s="10"/>
      <c r="H9" s="10"/>
      <c r="I9" s="10"/>
      <c r="J9" s="10"/>
      <c r="K9" s="10"/>
      <c r="L9" s="10"/>
      <c r="M9" s="10"/>
      <c r="N9" s="10"/>
      <c r="O9" s="10"/>
      <c r="P9" s="10"/>
      <c r="Q9" s="10"/>
      <c r="R9" s="10"/>
      <c r="S9" s="10"/>
      <c r="T9" s="10"/>
      <c r="U9" s="10"/>
      <c r="V9" s="10"/>
      <c r="W9" s="10"/>
      <c r="X9" s="10"/>
      <c r="Y9" s="10"/>
      <c r="Z9" s="11"/>
      <c r="AA9" s="10"/>
      <c r="AB9" s="10"/>
      <c r="AC9" s="11"/>
      <c r="AD9" s="10"/>
      <c r="AE9" s="10"/>
      <c r="AF9" s="10"/>
      <c r="AG9" s="10"/>
      <c r="AH9" s="10"/>
      <c r="AI9" s="10"/>
      <c r="AJ9" s="10"/>
      <c r="AK9" s="11"/>
    </row>
    <row r="10" spans="1:37" ht="14.25" customHeight="1">
      <c r="A10" s="27" t="s">
        <v>16</v>
      </c>
      <c r="B10" s="32" t="s">
        <v>17</v>
      </c>
      <c r="C10" s="8"/>
      <c r="D10" s="9"/>
      <c r="E10" s="34" t="s">
        <v>18</v>
      </c>
      <c r="F10" s="10"/>
      <c r="G10" s="10"/>
      <c r="H10" s="10"/>
      <c r="I10" s="11"/>
      <c r="J10" s="34" t="s">
        <v>19</v>
      </c>
      <c r="K10" s="10"/>
      <c r="L10" s="10"/>
      <c r="M10" s="10"/>
      <c r="N10" s="10"/>
      <c r="O10" s="10"/>
      <c r="P10" s="11"/>
      <c r="Q10" s="39" t="s">
        <v>20</v>
      </c>
      <c r="R10" s="40"/>
      <c r="S10" s="40"/>
      <c r="T10" s="40"/>
      <c r="U10" s="41"/>
      <c r="V10" s="39" t="s">
        <v>21</v>
      </c>
      <c r="W10" s="40"/>
      <c r="X10" s="40"/>
      <c r="Y10" s="40"/>
      <c r="Z10" s="40"/>
      <c r="AA10" s="40"/>
      <c r="AB10" s="40"/>
      <c r="AC10" s="40"/>
      <c r="AD10" s="40"/>
      <c r="AE10" s="40"/>
      <c r="AF10" s="40"/>
      <c r="AG10" s="40"/>
      <c r="AH10" s="41"/>
      <c r="AI10" s="16" t="s">
        <v>22</v>
      </c>
      <c r="AJ10" s="10"/>
      <c r="AK10" s="11"/>
    </row>
    <row r="11" spans="1:37" ht="14.25" customHeight="1">
      <c r="A11" s="28"/>
      <c r="B11" s="8"/>
      <c r="C11" s="8"/>
      <c r="D11" s="9"/>
      <c r="E11" s="18" t="str">
        <f t="array" aca="1" ref="E11" ca="1">IFERROR(
    INDEX(利用者一覧!A:I, MATCH(D6, 利用者一覧!C:C, 0), MATCH("利用者ID（被保険者番号）", 利用者一覧!1:1, 0)),
    ""
)</f>
        <v/>
      </c>
      <c r="F11" s="8"/>
      <c r="G11" s="8"/>
      <c r="H11" s="8"/>
      <c r="I11" s="9"/>
      <c r="J11" s="18" t="str">
        <f t="array" aca="1" ref="J11" ca="1">IFERROR(
    INDEX(データ集約!A:ZZ, MATCH(D6, データ集約!C:C, 0), MATCH("要介護度", データ集約!1:1, 0)),
    ""
)</f>
        <v/>
      </c>
      <c r="K11" s="8"/>
      <c r="L11" s="8"/>
      <c r="M11" s="8"/>
      <c r="N11" s="8"/>
      <c r="O11" s="8"/>
      <c r="P11" s="9"/>
      <c r="Q11" s="56" t="str">
        <f t="array" aca="1" ref="Q11" ca="1">IFERROR(
    INDEX(データ集約!A:ZZ, MATCH(D6, データ集約!C:C, 0), MATCH("認定日", データ集約!1:1, 0)),
    ""
)</f>
        <v/>
      </c>
      <c r="R11" s="8"/>
      <c r="S11" s="8"/>
      <c r="T11" s="8"/>
      <c r="U11" s="9"/>
      <c r="V11" s="56" t="str">
        <f t="array" aca="1" ref="V11" ca="1">IFERROR(
    INDEX(データ集約!A:ZZ, MATCH(D6, データ集約!C:C, 0), MATCH("認定期間｜開始", データ集約!1:1, 0)),
    ""
)</f>
        <v/>
      </c>
      <c r="W11" s="8"/>
      <c r="X11" s="8"/>
      <c r="Y11" s="8"/>
      <c r="Z11" s="8"/>
      <c r="AA11" s="8"/>
      <c r="AB11" s="18" t="s">
        <v>23</v>
      </c>
      <c r="AC11" s="18" t="str">
        <f t="array" aca="1" ref="AC11" ca="1">IFERROR(
    INDEX(データ集約!A:ZZ, MATCH(D6, データ集約!C:C, 0), MATCH("認定期間｜終了", データ集約!1:1, 0)),
    ""
)</f>
        <v/>
      </c>
      <c r="AD11" s="8"/>
      <c r="AE11" s="8"/>
      <c r="AF11" s="8"/>
      <c r="AG11" s="8"/>
      <c r="AH11" s="9"/>
      <c r="AI11" s="18" t="str">
        <f t="array" aca="1" ref="AI11" ca="1">IFERROR(
    INDEX(データ集約!A:ZZ, MATCH(D6, データ集約!C:C, 0), MATCH("負担割合", データ集約!1:1, 0)),
    ""
)</f>
        <v/>
      </c>
      <c r="AJ11" s="8"/>
      <c r="AK11" s="9"/>
    </row>
    <row r="12" spans="1:37" ht="14.25" customHeight="1">
      <c r="A12" s="28"/>
      <c r="B12" s="10"/>
      <c r="C12" s="10"/>
      <c r="D12" s="11"/>
      <c r="E12" s="10"/>
      <c r="F12" s="10"/>
      <c r="G12" s="10"/>
      <c r="H12" s="10"/>
      <c r="I12" s="11"/>
      <c r="J12" s="10"/>
      <c r="K12" s="10"/>
      <c r="L12" s="10"/>
      <c r="M12" s="10"/>
      <c r="N12" s="10"/>
      <c r="O12" s="10"/>
      <c r="P12" s="11"/>
      <c r="Q12" s="14"/>
      <c r="R12" s="10"/>
      <c r="S12" s="10"/>
      <c r="T12" s="10"/>
      <c r="U12" s="11"/>
      <c r="V12" s="14"/>
      <c r="W12" s="10"/>
      <c r="X12" s="10"/>
      <c r="Y12" s="10"/>
      <c r="Z12" s="10"/>
      <c r="AA12" s="10"/>
      <c r="AB12" s="10"/>
      <c r="AC12" s="10"/>
      <c r="AD12" s="10"/>
      <c r="AE12" s="10"/>
      <c r="AF12" s="10"/>
      <c r="AG12" s="10"/>
      <c r="AH12" s="11"/>
      <c r="AI12" s="10"/>
      <c r="AJ12" s="10"/>
      <c r="AK12" s="11"/>
    </row>
    <row r="13" spans="1:37" ht="14.25" customHeight="1">
      <c r="A13" s="28"/>
      <c r="B13" s="34" t="s">
        <v>24</v>
      </c>
      <c r="C13" s="10"/>
      <c r="D13" s="10"/>
      <c r="E13" s="10"/>
      <c r="F13" s="10"/>
      <c r="G13" s="10"/>
      <c r="H13" s="10"/>
      <c r="I13" s="10"/>
      <c r="J13" s="10"/>
      <c r="K13" s="10"/>
      <c r="L13" s="11"/>
      <c r="M13" s="34" t="s">
        <v>25</v>
      </c>
      <c r="N13" s="10"/>
      <c r="O13" s="10"/>
      <c r="P13" s="10"/>
      <c r="Q13" s="11"/>
      <c r="R13" s="34" t="s">
        <v>26</v>
      </c>
      <c r="S13" s="10"/>
      <c r="T13" s="10"/>
      <c r="U13" s="11"/>
      <c r="V13" s="34" t="s">
        <v>27</v>
      </c>
      <c r="W13" s="10"/>
      <c r="X13" s="10"/>
      <c r="Y13" s="11"/>
      <c r="Z13" s="37" t="s">
        <v>28</v>
      </c>
      <c r="AA13" s="10"/>
      <c r="AB13" s="10"/>
      <c r="AC13" s="10"/>
      <c r="AD13" s="10"/>
      <c r="AE13" s="11"/>
      <c r="AF13" s="37" t="s">
        <v>29</v>
      </c>
      <c r="AG13" s="10"/>
      <c r="AH13" s="10"/>
      <c r="AI13" s="10"/>
      <c r="AJ13" s="10"/>
      <c r="AK13" s="11"/>
    </row>
    <row r="14" spans="1:37" ht="14.25" customHeight="1">
      <c r="A14" s="28"/>
      <c r="B14" s="18" t="str">
        <f t="array" aca="1" ref="B14" ca="1">IFERROR(
    INDEX(データ集約!A:ZZ, MATCH(D6, データ集約!C:C, 0), MATCH("医療保険", データ集約!1:1, 0)),
    ""
)</f>
        <v/>
      </c>
      <c r="C14" s="8"/>
      <c r="D14" s="8"/>
      <c r="E14" s="8"/>
      <c r="F14" s="8"/>
      <c r="G14" s="8"/>
      <c r="H14" s="8"/>
      <c r="I14" s="8"/>
      <c r="J14" s="8"/>
      <c r="K14" s="8"/>
      <c r="L14" s="9"/>
      <c r="M14" s="18" t="str">
        <f t="array" aca="1" ref="M14" ca="1">IFERROR(
    INDEX(データ集約!A:ZZ, MATCH(D6, データ集約!C:C, 0), MATCH("身体障がい者手帳の有無", データ集約!1:1, 0)),
    ""
)</f>
        <v/>
      </c>
      <c r="N14" s="8"/>
      <c r="O14" s="18" t="str">
        <f t="array" aca="1" ref="O14" ca="1">IFERROR(
    INDEX(データ集約!A:ZZ, MATCH(D6, データ集約!C:C, 0), MATCH("種類", データ集約!1:1, 0)),
    ""
)</f>
        <v/>
      </c>
      <c r="P14" s="8"/>
      <c r="Q14" s="9"/>
      <c r="R14" s="18" t="str">
        <f t="array" aca="1" ref="R14" ca="1">IFERROR(
    INDEX(データ集約!A:ZZ, MATCH(D6, データ集約!C:C, 0), MATCH("難病申請", データ集約!1:1, 0)),
    ""
)</f>
        <v/>
      </c>
      <c r="S14" s="8"/>
      <c r="T14" s="8"/>
      <c r="U14" s="9"/>
      <c r="V14" s="18" t="str">
        <f t="array" aca="1" ref="V14" ca="1">IFERROR(
    INDEX(データ集約!A:ZZ, MATCH(D6, データ集約!C:C, 0), MATCH("生活保護", データ集約!1:1, 0)),
    ""
)</f>
        <v/>
      </c>
      <c r="W14" s="8"/>
      <c r="X14" s="8"/>
      <c r="Y14" s="9"/>
      <c r="Z14" s="18" t="str">
        <f t="array" aca="1" ref="Z14" ca="1">IFERROR(
    INDEX(データ集約!A:ZZ, MATCH(D6, データ集約!C:C, 0), MATCH("障がい者日常生活自立度", データ集約!1:1, 0)),
    ""
)</f>
        <v/>
      </c>
      <c r="AA14" s="8"/>
      <c r="AB14" s="8"/>
      <c r="AC14" s="8"/>
      <c r="AD14" s="8"/>
      <c r="AE14" s="9"/>
      <c r="AF14" s="18" t="str">
        <f t="array" aca="1" ref="AF14" ca="1">IFERROR(
    INDEX(データ集約!A:ZZ, MATCH(D6, データ集約!C:C, 0), MATCH("認知症日常生活自立度", データ集約!1:1, 0)),
    ""
)</f>
        <v/>
      </c>
      <c r="AG14" s="8"/>
      <c r="AH14" s="8"/>
      <c r="AI14" s="8"/>
      <c r="AJ14" s="8"/>
      <c r="AK14" s="9"/>
    </row>
    <row r="15" spans="1:37" ht="14.25" customHeight="1">
      <c r="A15" s="29"/>
      <c r="B15" s="10"/>
      <c r="C15" s="10"/>
      <c r="D15" s="10"/>
      <c r="E15" s="10"/>
      <c r="F15" s="10"/>
      <c r="G15" s="10"/>
      <c r="H15" s="10"/>
      <c r="I15" s="10"/>
      <c r="J15" s="10"/>
      <c r="K15" s="10"/>
      <c r="L15" s="11"/>
      <c r="M15" s="10"/>
      <c r="N15" s="10"/>
      <c r="O15" s="10"/>
      <c r="P15" s="10"/>
      <c r="Q15" s="11"/>
      <c r="R15" s="10"/>
      <c r="S15" s="10"/>
      <c r="T15" s="10"/>
      <c r="U15" s="11"/>
      <c r="V15" s="10"/>
      <c r="W15" s="10"/>
      <c r="X15" s="10"/>
      <c r="Y15" s="11"/>
      <c r="Z15" s="10"/>
      <c r="AA15" s="10"/>
      <c r="AB15" s="10"/>
      <c r="AC15" s="10"/>
      <c r="AD15" s="10"/>
      <c r="AE15" s="11"/>
      <c r="AF15" s="10"/>
      <c r="AG15" s="10"/>
      <c r="AH15" s="10"/>
      <c r="AI15" s="10"/>
      <c r="AJ15" s="10"/>
      <c r="AK15" s="11"/>
    </row>
    <row r="16" spans="1:37" ht="14.25" customHeight="1">
      <c r="A16" s="27" t="s">
        <v>30</v>
      </c>
      <c r="B16" s="34" t="s">
        <v>31</v>
      </c>
      <c r="C16" s="10"/>
      <c r="D16" s="10"/>
      <c r="E16" s="10"/>
      <c r="F16" s="10"/>
      <c r="G16" s="10"/>
      <c r="H16" s="10"/>
      <c r="I16" s="10"/>
      <c r="J16" s="11"/>
      <c r="K16" s="34" t="s">
        <v>32</v>
      </c>
      <c r="L16" s="10"/>
      <c r="M16" s="10"/>
      <c r="N16" s="11"/>
      <c r="O16" s="34" t="s">
        <v>33</v>
      </c>
      <c r="P16" s="10"/>
      <c r="Q16" s="11"/>
      <c r="R16" s="34" t="s">
        <v>34</v>
      </c>
      <c r="S16" s="10"/>
      <c r="T16" s="10"/>
      <c r="U16" s="11"/>
      <c r="V16" s="34" t="s">
        <v>35</v>
      </c>
      <c r="W16" s="10"/>
      <c r="X16" s="10"/>
      <c r="Y16" s="11"/>
      <c r="Z16" s="34" t="s">
        <v>15</v>
      </c>
      <c r="AA16" s="10"/>
      <c r="AB16" s="10"/>
      <c r="AC16" s="10"/>
      <c r="AD16" s="10"/>
      <c r="AE16" s="11"/>
      <c r="AF16" s="34" t="s">
        <v>36</v>
      </c>
      <c r="AG16" s="10"/>
      <c r="AH16" s="10"/>
      <c r="AI16" s="10"/>
      <c r="AJ16" s="10"/>
      <c r="AK16" s="11"/>
    </row>
    <row r="17" spans="1:37" ht="14.25" customHeight="1">
      <c r="A17" s="28"/>
      <c r="B17" s="33" t="s">
        <v>37</v>
      </c>
      <c r="C17" s="9"/>
      <c r="D17" s="18" t="str">
        <f t="array" aca="1" ref="D17" ca="1">IFERROR(
    INDEX(データ集約!A:ZZ, MATCH(D6, データ集約!C:C, 0), MATCH("家族氏名-1", データ集約!1:1, 0)),
    ""
)</f>
        <v/>
      </c>
      <c r="E17" s="8"/>
      <c r="F17" s="8"/>
      <c r="G17" s="8"/>
      <c r="H17" s="8"/>
      <c r="I17" s="8"/>
      <c r="J17" s="38" t="s">
        <v>12</v>
      </c>
      <c r="K17" s="18" t="str">
        <f t="array" aca="1" ref="K17" ca="1">IFERROR(
    INDEX(データ集約!A:ZZ, MATCH(D6, データ集約!C:C, 0), MATCH("続柄-1", データ集約!1:1, 0)),
    ""
)</f>
        <v/>
      </c>
      <c r="L17" s="8"/>
      <c r="M17" s="8"/>
      <c r="N17" s="9"/>
      <c r="O17" s="18" t="str">
        <f t="array" aca="1" ref="O17" ca="1">IFERROR(
    INDEX(データ集約!A:ZZ, MATCH(D6, データ集約!C:C, 0), MATCH("同居有無-1", データ集約!1:1, 0)),
    ""
)</f>
        <v/>
      </c>
      <c r="P17" s="8"/>
      <c r="Q17" s="9"/>
      <c r="R17" s="18" t="str">
        <f t="array" aca="1" ref="R17" ca="1">IFERROR(
    INDEX(データ集約!A:ZZ, MATCH(D6, データ集約!C:C, 0), MATCH("介護-1", データ集約!1:1, 0)),
    ""
)</f>
        <v/>
      </c>
      <c r="S17" s="8"/>
      <c r="T17" s="8"/>
      <c r="U17" s="9"/>
      <c r="V17" s="18" t="str">
        <f t="array" aca="1" ref="V17" ca="1">IFERROR(
    INDEX(データ集約!A:ZZ, MATCH(D6, データ集約!C:C, 0), MATCH("就労-1", データ集約!1:1, 0)),
    ""
)</f>
        <v/>
      </c>
      <c r="W17" s="8"/>
      <c r="X17" s="8"/>
      <c r="Y17" s="9"/>
      <c r="Z17" s="18" t="str">
        <f t="array" aca="1" ref="Z17" ca="1">IFERROR(
    INDEX(データ集約!A:ZZ, MATCH(D6, データ集約!C:C, 0), MATCH("連絡先-1", データ集約!1:1, 0)),
    ""
)</f>
        <v/>
      </c>
      <c r="AA17" s="8"/>
      <c r="AB17" s="8"/>
      <c r="AC17" s="8"/>
      <c r="AD17" s="8"/>
      <c r="AE17" s="9"/>
      <c r="AF17" s="18" t="str">
        <f t="array" aca="1" ref="AF17" ca="1">IFERROR(
    INDEX(データ集約!A:ZZ, MATCH(D6, データ集約!C:C, 0), MATCH("備考-1", データ集約!1:1, 0)),
    ""
)</f>
        <v/>
      </c>
      <c r="AG17" s="8"/>
      <c r="AH17" s="8"/>
      <c r="AI17" s="8"/>
      <c r="AJ17" s="8"/>
      <c r="AK17" s="9"/>
    </row>
    <row r="18" spans="1:37" ht="14.25" customHeight="1">
      <c r="A18" s="28"/>
      <c r="B18" s="10"/>
      <c r="C18" s="11"/>
      <c r="D18" s="10"/>
      <c r="E18" s="10"/>
      <c r="F18" s="10"/>
      <c r="G18" s="10"/>
      <c r="H18" s="10"/>
      <c r="I18" s="10"/>
      <c r="J18" s="11"/>
      <c r="K18" s="10"/>
      <c r="L18" s="10"/>
      <c r="M18" s="10"/>
      <c r="N18" s="11"/>
      <c r="O18" s="10"/>
      <c r="P18" s="10"/>
      <c r="Q18" s="11"/>
      <c r="R18" s="10"/>
      <c r="S18" s="10"/>
      <c r="T18" s="10"/>
      <c r="U18" s="11"/>
      <c r="V18" s="10"/>
      <c r="W18" s="10"/>
      <c r="X18" s="10"/>
      <c r="Y18" s="11"/>
      <c r="Z18" s="10"/>
      <c r="AA18" s="10"/>
      <c r="AB18" s="10"/>
      <c r="AC18" s="10"/>
      <c r="AD18" s="10"/>
      <c r="AE18" s="11"/>
      <c r="AF18" s="10"/>
      <c r="AG18" s="10"/>
      <c r="AH18" s="10"/>
      <c r="AI18" s="10"/>
      <c r="AJ18" s="10"/>
      <c r="AK18" s="11"/>
    </row>
    <row r="19" spans="1:37" ht="14.25" customHeight="1">
      <c r="A19" s="28"/>
      <c r="B19" s="33" t="s">
        <v>38</v>
      </c>
      <c r="C19" s="9"/>
      <c r="D19" s="18" t="str">
        <f t="array" aca="1" ref="D19" ca="1">IFERROR(
    INDEX(データ集約!A:ZZ, MATCH(D6, データ集約!C:C, 0), MATCH("家族氏名-2", データ集約!1:1, 0)),
    ""
)</f>
        <v/>
      </c>
      <c r="E19" s="8"/>
      <c r="F19" s="8"/>
      <c r="G19" s="8"/>
      <c r="H19" s="8"/>
      <c r="I19" s="8"/>
      <c r="J19" s="38" t="s">
        <v>12</v>
      </c>
      <c r="K19" s="18" t="str">
        <f t="array" aca="1" ref="K19" ca="1">IFERROR(
    INDEX(データ集約!A:ZZ, MATCH(D6, データ集約!C:C, 0), MATCH("続柄-2", データ集約!1:1, 0)),
    ""
)</f>
        <v/>
      </c>
      <c r="L19" s="8"/>
      <c r="M19" s="8"/>
      <c r="N19" s="9"/>
      <c r="O19" s="18" t="str">
        <f t="array" aca="1" ref="O19" ca="1">IFERROR(
    INDEX(データ集約!A:ZZ, MATCH(D6, データ集約!C:C, 0), MATCH("同居有無-2", データ集約!1:1, 0)),
    ""
)</f>
        <v/>
      </c>
      <c r="P19" s="8"/>
      <c r="Q19" s="9"/>
      <c r="R19" s="18" t="str">
        <f t="array" aca="1" ref="R19" ca="1">IFERROR(
    INDEX(データ集約!A:ZZ, MATCH(D6, データ集約!C:C, 0), MATCH("介護-2", データ集約!1:1, 0)),
    ""
)</f>
        <v/>
      </c>
      <c r="S19" s="8"/>
      <c r="T19" s="8"/>
      <c r="U19" s="9"/>
      <c r="V19" s="18" t="str">
        <f t="array" aca="1" ref="V19" ca="1">IFERROR(
    INDEX(データ集約!A:ZZ, MATCH(D6, データ集約!C:C, 0), MATCH("就労-2", データ集約!1:1, 0)),
    ""
)</f>
        <v/>
      </c>
      <c r="W19" s="8"/>
      <c r="X19" s="8"/>
      <c r="Y19" s="9"/>
      <c r="Z19" s="18" t="str">
        <f t="array" aca="1" ref="Z19" ca="1">IFERROR(
    INDEX(データ集約!A:ZZ, MATCH(D6, データ集約!C:C, 0), MATCH("連絡先-2", データ集約!1:1, 0)),
    ""
)</f>
        <v/>
      </c>
      <c r="AA19" s="8"/>
      <c r="AB19" s="8"/>
      <c r="AC19" s="8"/>
      <c r="AD19" s="8"/>
      <c r="AE19" s="9"/>
      <c r="AF19" s="18" t="str">
        <f t="array" aca="1" ref="AF19" ca="1">IFERROR(
    INDEX(データ集約!A:ZZ, MATCH(D6, データ集約!C:C, 0), MATCH("備考-2", データ集約!1:1, 0)),
    ""
)</f>
        <v/>
      </c>
      <c r="AG19" s="8"/>
      <c r="AH19" s="8"/>
      <c r="AI19" s="8"/>
      <c r="AJ19" s="8"/>
      <c r="AK19" s="9"/>
    </row>
    <row r="20" spans="1:37" ht="14.25" customHeight="1">
      <c r="A20" s="29"/>
      <c r="B20" s="10"/>
      <c r="C20" s="11"/>
      <c r="D20" s="10"/>
      <c r="E20" s="10"/>
      <c r="F20" s="10"/>
      <c r="G20" s="10"/>
      <c r="H20" s="10"/>
      <c r="I20" s="10"/>
      <c r="J20" s="11"/>
      <c r="K20" s="10"/>
      <c r="L20" s="10"/>
      <c r="M20" s="10"/>
      <c r="N20" s="11"/>
      <c r="O20" s="10"/>
      <c r="P20" s="10"/>
      <c r="Q20" s="11"/>
      <c r="R20" s="10"/>
      <c r="S20" s="10"/>
      <c r="T20" s="10"/>
      <c r="U20" s="11"/>
      <c r="V20" s="10"/>
      <c r="W20" s="10"/>
      <c r="X20" s="10"/>
      <c r="Y20" s="11"/>
      <c r="Z20" s="10"/>
      <c r="AA20" s="10"/>
      <c r="AB20" s="10"/>
      <c r="AC20" s="10"/>
      <c r="AD20" s="10"/>
      <c r="AE20" s="11"/>
      <c r="AF20" s="10"/>
      <c r="AG20" s="10"/>
      <c r="AH20" s="10"/>
      <c r="AI20" s="10"/>
      <c r="AJ20" s="10"/>
      <c r="AK20" s="11"/>
    </row>
    <row r="21" spans="1:37" ht="14.25" customHeight="1">
      <c r="A21" s="27" t="s">
        <v>52</v>
      </c>
      <c r="B21" s="34" t="s">
        <v>53</v>
      </c>
      <c r="C21" s="10"/>
      <c r="D21" s="10"/>
      <c r="E21" s="10"/>
      <c r="F21" s="10"/>
      <c r="G21" s="10"/>
      <c r="H21" s="10"/>
      <c r="I21" s="10"/>
      <c r="J21" s="10"/>
      <c r="K21" s="10"/>
      <c r="L21" s="10"/>
      <c r="M21" s="11"/>
      <c r="N21" s="34" t="s">
        <v>54</v>
      </c>
      <c r="O21" s="10"/>
      <c r="P21" s="10"/>
      <c r="Q21" s="10"/>
      <c r="R21" s="11"/>
      <c r="S21" s="34" t="s">
        <v>55</v>
      </c>
      <c r="T21" s="10"/>
      <c r="U21" s="10"/>
      <c r="V21" s="10"/>
      <c r="W21" s="10"/>
      <c r="X21" s="10"/>
      <c r="Y21" s="11"/>
      <c r="Z21" s="36" t="s">
        <v>56</v>
      </c>
      <c r="AA21" s="10"/>
      <c r="AB21" s="10"/>
      <c r="AC21" s="10"/>
      <c r="AD21" s="10"/>
      <c r="AE21" s="10"/>
      <c r="AF21" s="10"/>
      <c r="AG21" s="10"/>
      <c r="AH21" s="10"/>
      <c r="AI21" s="10"/>
      <c r="AJ21" s="10"/>
      <c r="AK21" s="11"/>
    </row>
    <row r="22" spans="1:37" ht="14.25" customHeight="1">
      <c r="A22" s="28"/>
      <c r="B22" s="18" t="str">
        <f t="array" aca="1" ref="B22" ca="1">IFERROR(
    INDEX(データ集約!A:ZZ, MATCH(D6, データ集約!C:C, 0), MATCH("疾患名-1", データ集約!1:1, 0)),
    ""
)</f>
        <v/>
      </c>
      <c r="C22" s="8"/>
      <c r="D22" s="8"/>
      <c r="E22" s="8"/>
      <c r="F22" s="8"/>
      <c r="G22" s="8"/>
      <c r="H22" s="8"/>
      <c r="I22" s="8"/>
      <c r="J22" s="8"/>
      <c r="K22" s="8"/>
      <c r="L22" s="8"/>
      <c r="M22" s="9"/>
      <c r="N22" s="19" t="str">
        <f t="array" aca="1" ref="N22" ca="1">IFERROR(
    INDEX(データ集約!A:ZZ, MATCH(D6, データ集約!C:C, 0), MATCH("発症日-1", データ集約!1:1, 0)),
    ""
)</f>
        <v/>
      </c>
      <c r="O22" s="8"/>
      <c r="P22" s="8"/>
      <c r="Q22" s="8"/>
      <c r="R22" s="9"/>
      <c r="S22" s="18" t="str">
        <f t="array" aca="1" ref="S22" ca="1">IFERROR(
    INDEX(データ集約!A:ZZ, MATCH(D6, データ集約!C:C, 0), MATCH("診療機関-1", データ集約!1:1, 0)),
    ""
)</f>
        <v/>
      </c>
      <c r="T22" s="8"/>
      <c r="U22" s="8"/>
      <c r="V22" s="8"/>
      <c r="W22" s="8"/>
      <c r="X22" s="8"/>
      <c r="Y22" s="9"/>
      <c r="Z22" s="7" t="str">
        <f t="array" aca="1" ref="Z22" ca="1">IFERROR(
    INDEX(データ集約!A:ZZ, MATCH(D6, データ集約!C:C, 0), MATCH("既往歴", データ集約!1:1, 0)),
    ""
)</f>
        <v/>
      </c>
      <c r="AA22" s="8"/>
      <c r="AB22" s="8"/>
      <c r="AC22" s="8"/>
      <c r="AD22" s="8"/>
      <c r="AE22" s="8"/>
      <c r="AF22" s="8"/>
      <c r="AG22" s="8"/>
      <c r="AH22" s="8"/>
      <c r="AI22" s="8"/>
      <c r="AJ22" s="8"/>
      <c r="AK22" s="9"/>
    </row>
    <row r="23" spans="1:37" ht="14.25" customHeight="1">
      <c r="A23" s="28"/>
      <c r="B23" s="10"/>
      <c r="C23" s="10"/>
      <c r="D23" s="10"/>
      <c r="E23" s="10"/>
      <c r="F23" s="10"/>
      <c r="G23" s="10"/>
      <c r="H23" s="10"/>
      <c r="I23" s="10"/>
      <c r="J23" s="10"/>
      <c r="K23" s="10"/>
      <c r="L23" s="10"/>
      <c r="M23" s="11"/>
      <c r="N23" s="10"/>
      <c r="O23" s="10"/>
      <c r="P23" s="10"/>
      <c r="Q23" s="10"/>
      <c r="R23" s="11"/>
      <c r="S23" s="10"/>
      <c r="T23" s="10"/>
      <c r="U23" s="10"/>
      <c r="V23" s="10"/>
      <c r="W23" s="10"/>
      <c r="X23" s="10"/>
      <c r="Y23" s="11"/>
      <c r="Z23" s="8"/>
      <c r="AA23" s="8"/>
      <c r="AB23" s="8"/>
      <c r="AC23" s="8"/>
      <c r="AD23" s="8"/>
      <c r="AE23" s="8"/>
      <c r="AF23" s="8"/>
      <c r="AG23" s="8"/>
      <c r="AH23" s="8"/>
      <c r="AI23" s="8"/>
      <c r="AJ23" s="8"/>
      <c r="AK23" s="9"/>
    </row>
    <row r="24" spans="1:37" ht="14.25" customHeight="1">
      <c r="A24" s="28"/>
      <c r="B24" s="18" t="str">
        <f t="array" aca="1" ref="B24" ca="1">IFERROR(
    INDEX(データ集約!A:ZZ, MATCH(D6, データ集約!C:C, 0), MATCH("疾患名-2", データ集約!1:1, 0)),
    ""
)</f>
        <v/>
      </c>
      <c r="C24" s="8"/>
      <c r="D24" s="8"/>
      <c r="E24" s="8"/>
      <c r="F24" s="8"/>
      <c r="G24" s="8"/>
      <c r="H24" s="8"/>
      <c r="I24" s="8"/>
      <c r="J24" s="8"/>
      <c r="K24" s="8"/>
      <c r="L24" s="8"/>
      <c r="M24" s="9"/>
      <c r="N24" s="19" t="str">
        <f t="array" aca="1" ref="N24" ca="1">IFERROR(
    INDEX(データ集約!A:ZZ, MATCH(D6, データ集約!C:C, 0), MATCH("発症日-2", データ集約!1:1, 0)),
    ""
)</f>
        <v/>
      </c>
      <c r="O24" s="8"/>
      <c r="P24" s="8"/>
      <c r="Q24" s="8"/>
      <c r="R24" s="9"/>
      <c r="S24" s="18" t="str">
        <f t="array" aca="1" ref="S24" ca="1">IFERROR(
    INDEX(データ集約!A:ZZ, MATCH(D6, データ集約!C:C, 0), MATCH("診療機関-2", データ集約!1:1, 0)),
    ""
)</f>
        <v/>
      </c>
      <c r="T24" s="8"/>
      <c r="U24" s="8"/>
      <c r="V24" s="8"/>
      <c r="W24" s="8"/>
      <c r="X24" s="8"/>
      <c r="Y24" s="9"/>
      <c r="Z24" s="8"/>
      <c r="AA24" s="8"/>
      <c r="AB24" s="8"/>
      <c r="AC24" s="8"/>
      <c r="AD24" s="8"/>
      <c r="AE24" s="8"/>
      <c r="AF24" s="8"/>
      <c r="AG24" s="8"/>
      <c r="AH24" s="8"/>
      <c r="AI24" s="8"/>
      <c r="AJ24" s="8"/>
      <c r="AK24" s="9"/>
    </row>
    <row r="25" spans="1:37" ht="14.25" customHeight="1">
      <c r="A25" s="28"/>
      <c r="B25" s="10"/>
      <c r="C25" s="10"/>
      <c r="D25" s="10"/>
      <c r="E25" s="10"/>
      <c r="F25" s="10"/>
      <c r="G25" s="10"/>
      <c r="H25" s="10"/>
      <c r="I25" s="10"/>
      <c r="J25" s="10"/>
      <c r="K25" s="10"/>
      <c r="L25" s="10"/>
      <c r="M25" s="11"/>
      <c r="N25" s="10"/>
      <c r="O25" s="10"/>
      <c r="P25" s="10"/>
      <c r="Q25" s="10"/>
      <c r="R25" s="11"/>
      <c r="S25" s="10"/>
      <c r="T25" s="10"/>
      <c r="U25" s="10"/>
      <c r="V25" s="10"/>
      <c r="W25" s="10"/>
      <c r="X25" s="10"/>
      <c r="Y25" s="11"/>
      <c r="Z25" s="10"/>
      <c r="AA25" s="10"/>
      <c r="AB25" s="10"/>
      <c r="AC25" s="10"/>
      <c r="AD25" s="10"/>
      <c r="AE25" s="10"/>
      <c r="AF25" s="10"/>
      <c r="AG25" s="10"/>
      <c r="AH25" s="10"/>
      <c r="AI25" s="10"/>
      <c r="AJ25" s="10"/>
      <c r="AK25" s="11"/>
    </row>
    <row r="26" spans="1:37" ht="14.25" customHeight="1">
      <c r="A26" s="28"/>
      <c r="B26" s="18" t="str">
        <f t="array" aca="1" ref="B26" ca="1">IFERROR(
    INDEX(データ集約!A:ZZ, MATCH(D6, データ集約!C:C, 0), MATCH("疾患名-3", データ集約!1:1, 0)),
    ""
)</f>
        <v/>
      </c>
      <c r="C26" s="8"/>
      <c r="D26" s="8"/>
      <c r="E26" s="8"/>
      <c r="F26" s="8"/>
      <c r="G26" s="8"/>
      <c r="H26" s="8"/>
      <c r="I26" s="8"/>
      <c r="J26" s="8"/>
      <c r="K26" s="8"/>
      <c r="L26" s="8"/>
      <c r="M26" s="9"/>
      <c r="N26" s="19" t="str">
        <f t="array" aca="1" ref="N26" ca="1">IFERROR(
    INDEX(データ集約!A:ZZ, MATCH(D6, データ集約!C:C, 0), MATCH("発症日-3", データ集約!1:1, 0)),
    ""
)</f>
        <v/>
      </c>
      <c r="O26" s="8"/>
      <c r="P26" s="8"/>
      <c r="Q26" s="8"/>
      <c r="R26" s="9"/>
      <c r="S26" s="18" t="str">
        <f t="array" aca="1" ref="S26" ca="1">IFERROR(
    INDEX(データ集約!A:ZZ, MATCH(D6, データ集約!C:C, 0), MATCH("診療機関-3", データ集約!1:1, 0)),
    ""
)</f>
        <v/>
      </c>
      <c r="T26" s="8"/>
      <c r="U26" s="8"/>
      <c r="V26" s="8"/>
      <c r="W26" s="8"/>
      <c r="X26" s="8"/>
      <c r="Y26" s="9"/>
      <c r="Z26" s="35" t="s">
        <v>57</v>
      </c>
      <c r="AA26" s="10"/>
      <c r="AB26" s="10"/>
      <c r="AC26" s="10"/>
      <c r="AD26" s="10"/>
      <c r="AE26" s="10"/>
      <c r="AF26" s="10"/>
      <c r="AG26" s="10"/>
      <c r="AH26" s="10"/>
      <c r="AI26" s="10"/>
      <c r="AJ26" s="10"/>
      <c r="AK26" s="11"/>
    </row>
    <row r="27" spans="1:37" ht="14.25" customHeight="1">
      <c r="A27" s="28"/>
      <c r="B27" s="10"/>
      <c r="C27" s="10"/>
      <c r="D27" s="10"/>
      <c r="E27" s="10"/>
      <c r="F27" s="10"/>
      <c r="G27" s="10"/>
      <c r="H27" s="10"/>
      <c r="I27" s="10"/>
      <c r="J27" s="10"/>
      <c r="K27" s="10"/>
      <c r="L27" s="10"/>
      <c r="M27" s="11"/>
      <c r="N27" s="10"/>
      <c r="O27" s="10"/>
      <c r="P27" s="10"/>
      <c r="Q27" s="10"/>
      <c r="R27" s="11"/>
      <c r="S27" s="10"/>
      <c r="T27" s="10"/>
      <c r="U27" s="10"/>
      <c r="V27" s="10"/>
      <c r="W27" s="10"/>
      <c r="X27" s="10"/>
      <c r="Y27" s="11"/>
      <c r="Z27" s="7" t="str">
        <f t="array" aca="1" ref="Z27" ca="1">IFERROR(
    INDEX(データ集約!A:ZZ, MATCH(D6, データ集約!C:C, 0), MATCH("通院", データ集約!1:1, 0)),
    ""
)</f>
        <v/>
      </c>
      <c r="AA27" s="8"/>
      <c r="AB27" s="8"/>
      <c r="AC27" s="8"/>
      <c r="AD27" s="8"/>
      <c r="AE27" s="8"/>
      <c r="AF27" s="8"/>
      <c r="AG27" s="8"/>
      <c r="AH27" s="8"/>
      <c r="AI27" s="8"/>
      <c r="AJ27" s="8"/>
      <c r="AK27" s="9"/>
    </row>
    <row r="28" spans="1:37" ht="14.25" customHeight="1">
      <c r="A28" s="28"/>
      <c r="B28" s="18" t="str">
        <f t="array" aca="1" ref="B28" ca="1">IFERROR(
    INDEX(データ集約!A:ZZ, MATCH(D6, データ集約!C:C, 0), MATCH("疾患名-4", データ集約!1:1, 0)),
    ""
)</f>
        <v/>
      </c>
      <c r="C28" s="8"/>
      <c r="D28" s="8"/>
      <c r="E28" s="8"/>
      <c r="F28" s="8"/>
      <c r="G28" s="8"/>
      <c r="H28" s="8"/>
      <c r="I28" s="8"/>
      <c r="J28" s="8"/>
      <c r="K28" s="8"/>
      <c r="L28" s="8"/>
      <c r="M28" s="9"/>
      <c r="N28" s="19" t="str">
        <f t="array" aca="1" ref="N28" ca="1">IFERROR(
    INDEX(データ集約!A:ZZ, MATCH(D6, データ集約!C:C, 0), MATCH("発症日-4", データ集約!1:1, 0)),
    ""
)</f>
        <v/>
      </c>
      <c r="O28" s="8"/>
      <c r="P28" s="8"/>
      <c r="Q28" s="8"/>
      <c r="R28" s="9"/>
      <c r="S28" s="18" t="str">
        <f t="array" aca="1" ref="S28" ca="1">IFERROR(
    INDEX(データ集約!A:ZZ, MATCH(D6, データ集約!C:C, 0), MATCH("診療機関-4", データ集約!1:1, 0)),
    ""
)</f>
        <v/>
      </c>
      <c r="T28" s="8"/>
      <c r="U28" s="8"/>
      <c r="V28" s="8"/>
      <c r="W28" s="8"/>
      <c r="X28" s="8"/>
      <c r="Y28" s="9"/>
      <c r="Z28" s="8"/>
      <c r="AA28" s="8"/>
      <c r="AB28" s="8"/>
      <c r="AC28" s="8"/>
      <c r="AD28" s="8"/>
      <c r="AE28" s="8"/>
      <c r="AF28" s="8"/>
      <c r="AG28" s="8"/>
      <c r="AH28" s="8"/>
      <c r="AI28" s="8"/>
      <c r="AJ28" s="8"/>
      <c r="AK28" s="9"/>
    </row>
    <row r="29" spans="1:37" ht="14.25" customHeight="1">
      <c r="A29" s="28"/>
      <c r="B29" s="10"/>
      <c r="C29" s="10"/>
      <c r="D29" s="10"/>
      <c r="E29" s="10"/>
      <c r="F29" s="10"/>
      <c r="G29" s="10"/>
      <c r="H29" s="10"/>
      <c r="I29" s="10"/>
      <c r="J29" s="10"/>
      <c r="K29" s="10"/>
      <c r="L29" s="10"/>
      <c r="M29" s="11"/>
      <c r="N29" s="10"/>
      <c r="O29" s="10"/>
      <c r="P29" s="10"/>
      <c r="Q29" s="10"/>
      <c r="R29" s="11"/>
      <c r="S29" s="10"/>
      <c r="T29" s="10"/>
      <c r="U29" s="10"/>
      <c r="V29" s="10"/>
      <c r="W29" s="10"/>
      <c r="X29" s="10"/>
      <c r="Y29" s="11"/>
      <c r="Z29" s="10"/>
      <c r="AA29" s="10"/>
      <c r="AB29" s="10"/>
      <c r="AC29" s="10"/>
      <c r="AD29" s="10"/>
      <c r="AE29" s="10"/>
      <c r="AF29" s="10"/>
      <c r="AG29" s="10"/>
      <c r="AH29" s="10"/>
      <c r="AI29" s="10"/>
      <c r="AJ29" s="10"/>
      <c r="AK29" s="11"/>
    </row>
    <row r="30" spans="1:37" ht="14.25" customHeight="1">
      <c r="A30" s="28"/>
      <c r="B30" s="18" t="str">
        <f t="array" aca="1" ref="B30" ca="1">IFERROR(
    INDEX(データ集約!A:ZZ, MATCH(D6, データ集約!C:C, 0), MATCH("疾患名-5", データ集約!1:1, 0)),
    ""
)</f>
        <v/>
      </c>
      <c r="C30" s="8"/>
      <c r="D30" s="8"/>
      <c r="E30" s="8"/>
      <c r="F30" s="8"/>
      <c r="G30" s="8"/>
      <c r="H30" s="8"/>
      <c r="I30" s="8"/>
      <c r="J30" s="8"/>
      <c r="K30" s="8"/>
      <c r="L30" s="8"/>
      <c r="M30" s="9"/>
      <c r="N30" s="19" t="str">
        <f t="array" aca="1" ref="N30" ca="1">IFERROR(
    INDEX(データ集約!A:ZZ, MATCH(D6, データ集約!C:C, 0), MATCH("発症日-5", データ集約!1:1, 0)),
    ""
)</f>
        <v/>
      </c>
      <c r="O30" s="8"/>
      <c r="P30" s="8"/>
      <c r="Q30" s="8"/>
      <c r="R30" s="9"/>
      <c r="S30" s="18" t="str">
        <f t="array" aca="1" ref="S30" ca="1">IFERROR(
    INDEX(データ集約!A:ZZ, MATCH(D6, データ集約!C:C, 0), MATCH("診療機関-5", データ集約!1:1, 0)),
    ""
)</f>
        <v/>
      </c>
      <c r="T30" s="8"/>
      <c r="U30" s="8"/>
      <c r="V30" s="8"/>
      <c r="W30" s="8"/>
      <c r="X30" s="8"/>
      <c r="Y30" s="9"/>
      <c r="Z30" s="35" t="s">
        <v>58</v>
      </c>
      <c r="AA30" s="10"/>
      <c r="AB30" s="10"/>
      <c r="AC30" s="10"/>
      <c r="AD30" s="10"/>
      <c r="AE30" s="10"/>
      <c r="AF30" s="10"/>
      <c r="AG30" s="10"/>
      <c r="AH30" s="10"/>
      <c r="AI30" s="10"/>
      <c r="AJ30" s="10"/>
      <c r="AK30" s="11"/>
    </row>
    <row r="31" spans="1:37" ht="14.25" customHeight="1">
      <c r="A31" s="28"/>
      <c r="B31" s="10"/>
      <c r="C31" s="10"/>
      <c r="D31" s="10"/>
      <c r="E31" s="10"/>
      <c r="F31" s="10"/>
      <c r="G31" s="10"/>
      <c r="H31" s="10"/>
      <c r="I31" s="10"/>
      <c r="J31" s="10"/>
      <c r="K31" s="10"/>
      <c r="L31" s="10"/>
      <c r="M31" s="11"/>
      <c r="N31" s="10"/>
      <c r="O31" s="10"/>
      <c r="P31" s="10"/>
      <c r="Q31" s="10"/>
      <c r="R31" s="11"/>
      <c r="S31" s="10"/>
      <c r="T31" s="10"/>
      <c r="U31" s="10"/>
      <c r="V31" s="10"/>
      <c r="W31" s="10"/>
      <c r="X31" s="10"/>
      <c r="Y31" s="11"/>
      <c r="Z31" s="20" t="s">
        <v>141</v>
      </c>
      <c r="AA31" s="22"/>
      <c r="AB31" s="23" t="str">
        <f t="array" aca="1" ref="AB31" ca="1">IFERROR(
    INDEX(データ集約!A:ZZ, MATCH(D6, データ集約!C:C, 0), MATCH("服薬｜眠剤の有無", データ集約!1:1, 0)),
    ""
)</f>
        <v/>
      </c>
      <c r="AC31" s="21"/>
      <c r="AD31" s="21"/>
      <c r="AE31" s="22"/>
      <c r="AF31" s="20" t="s">
        <v>142</v>
      </c>
      <c r="AG31" s="22"/>
      <c r="AH31" s="23" t="str">
        <f t="array" aca="1" ref="AH31" ca="1">IFERROR(
    INDEX(データ集約!A:ZZ, MATCH(D6, データ集約!C:C, 0), MATCH("服薬｜下剤の有無", データ集約!1:1, 0)),
    ""
)</f>
        <v/>
      </c>
      <c r="AI31" s="21"/>
      <c r="AJ31" s="21"/>
      <c r="AK31" s="22"/>
    </row>
    <row r="32" spans="1:37" ht="14.25" customHeight="1">
      <c r="A32" s="28"/>
      <c r="B32" s="18" t="str">
        <f t="array" aca="1" ref="B32" ca="1">IFERROR(
    INDEX(データ集約!A:ZZ, MATCH(D6, データ集約!C:C, 0), MATCH("疾患名-6", データ集約!1:1, 0)),
    ""
)</f>
        <v/>
      </c>
      <c r="C32" s="8"/>
      <c r="D32" s="8"/>
      <c r="E32" s="8"/>
      <c r="F32" s="8"/>
      <c r="G32" s="8"/>
      <c r="H32" s="8"/>
      <c r="I32" s="8"/>
      <c r="J32" s="8"/>
      <c r="K32" s="8"/>
      <c r="L32" s="8"/>
      <c r="M32" s="9"/>
      <c r="N32" s="19" t="str">
        <f t="array" aca="1" ref="N32" ca="1">IFERROR(
    INDEX(データ集約!A:ZZ, MATCH(D6, データ集約!C:C, 0), MATCH("発症日-6", データ集約!1:1, 0)),
    ""
)</f>
        <v/>
      </c>
      <c r="O32" s="8"/>
      <c r="P32" s="8"/>
      <c r="Q32" s="8"/>
      <c r="R32" s="9"/>
      <c r="S32" s="18" t="str">
        <f t="array" aca="1" ref="S32" ca="1">IFERROR(
    INDEX(データ集約!A:ZZ, MATCH(D6, データ集約!C:C, 0), MATCH("診療機関-6", データ集約!1:1, 0)),
    ""
)</f>
        <v/>
      </c>
      <c r="T32" s="8"/>
      <c r="U32" s="8"/>
      <c r="V32" s="8"/>
      <c r="W32" s="8"/>
      <c r="X32" s="8"/>
      <c r="Y32" s="9"/>
      <c r="Z32" s="24" t="str">
        <f t="array" aca="1" ref="Z32" ca="1">IFERROR(
    INDEX(データ集約!A:ZZ, MATCH(D6, データ集約!C:C, 0), MATCH("服薬", データ集約!1:1, 0)),
    ""
)</f>
        <v/>
      </c>
      <c r="AA32" s="21"/>
      <c r="AB32" s="21"/>
      <c r="AC32" s="21"/>
      <c r="AD32" s="21"/>
      <c r="AE32" s="21"/>
      <c r="AF32" s="21"/>
      <c r="AG32" s="21"/>
      <c r="AH32" s="21"/>
      <c r="AI32" s="21"/>
      <c r="AJ32" s="21"/>
      <c r="AK32" s="22"/>
    </row>
    <row r="33" spans="1:37" ht="14.25" customHeight="1">
      <c r="A33" s="28"/>
      <c r="B33" s="10"/>
      <c r="C33" s="10"/>
      <c r="D33" s="10"/>
      <c r="E33" s="10"/>
      <c r="F33" s="10"/>
      <c r="G33" s="10"/>
      <c r="H33" s="10"/>
      <c r="I33" s="10"/>
      <c r="J33" s="10"/>
      <c r="K33" s="10"/>
      <c r="L33" s="10"/>
      <c r="M33" s="11"/>
      <c r="N33" s="10"/>
      <c r="O33" s="10"/>
      <c r="P33" s="10"/>
      <c r="Q33" s="10"/>
      <c r="R33" s="11"/>
      <c r="S33" s="10"/>
      <c r="T33" s="10"/>
      <c r="U33" s="10"/>
      <c r="V33" s="10"/>
      <c r="W33" s="10"/>
      <c r="X33" s="10"/>
      <c r="Y33" s="11"/>
      <c r="Z33" s="25"/>
      <c r="AA33" s="8"/>
      <c r="AB33" s="8"/>
      <c r="AC33" s="8"/>
      <c r="AD33" s="8"/>
      <c r="AE33" s="8"/>
      <c r="AF33" s="8"/>
      <c r="AG33" s="8"/>
      <c r="AH33" s="8"/>
      <c r="AI33" s="8"/>
      <c r="AJ33" s="8"/>
      <c r="AK33" s="9"/>
    </row>
    <row r="34" spans="1:37" ht="14.25" customHeight="1">
      <c r="A34" s="28"/>
      <c r="B34" s="20" t="s">
        <v>143</v>
      </c>
      <c r="C34" s="21"/>
      <c r="D34" s="21"/>
      <c r="E34" s="21"/>
      <c r="F34" s="21"/>
      <c r="G34" s="21"/>
      <c r="H34" s="21"/>
      <c r="I34" s="21"/>
      <c r="J34" s="21"/>
      <c r="K34" s="21"/>
      <c r="L34" s="21"/>
      <c r="M34" s="22"/>
      <c r="N34" s="23" t="str">
        <f t="array" aca="1" ref="N34" ca="1">IFERROR(
    INDEX(データ集約!A:ZZ, MATCH(D6, データ集約!C:C, 0), MATCH("コロナワクチン接種状況", データ集約!1:1, 0)),
    ""
)</f>
        <v/>
      </c>
      <c r="O34" s="21"/>
      <c r="P34" s="21"/>
      <c r="Q34" s="21"/>
      <c r="R34" s="22"/>
      <c r="S34" s="23" t="str">
        <f t="array" aca="1" ref="S34" ca="1">IFERROR(
    INDEX(データ集約!A:ZZ, MATCH(D6, データ集約!C:C, 0), MATCH("接種回数", データ集約!1:1, 0)),
    ""
)</f>
        <v/>
      </c>
      <c r="T34" s="21"/>
      <c r="U34" s="21"/>
      <c r="V34" s="21"/>
      <c r="W34" s="21"/>
      <c r="X34" s="26" t="str">
        <f ca="1">IF(N34="接種済み", "回", "")</f>
        <v/>
      </c>
      <c r="Y34" s="22"/>
      <c r="Z34" s="25"/>
      <c r="AA34" s="8"/>
      <c r="AB34" s="8"/>
      <c r="AC34" s="8"/>
      <c r="AD34" s="8"/>
      <c r="AE34" s="8"/>
      <c r="AF34" s="8"/>
      <c r="AG34" s="8"/>
      <c r="AH34" s="8"/>
      <c r="AI34" s="8"/>
      <c r="AJ34" s="8"/>
      <c r="AK34" s="9"/>
    </row>
    <row r="35" spans="1:37" ht="14.25" customHeight="1">
      <c r="A35" s="29"/>
      <c r="B35" s="14"/>
      <c r="C35" s="10"/>
      <c r="D35" s="10"/>
      <c r="E35" s="10"/>
      <c r="F35" s="10"/>
      <c r="G35" s="10"/>
      <c r="H35" s="10"/>
      <c r="I35" s="10"/>
      <c r="J35" s="10"/>
      <c r="K35" s="10"/>
      <c r="L35" s="10"/>
      <c r="M35" s="11"/>
      <c r="N35" s="14"/>
      <c r="O35" s="10"/>
      <c r="P35" s="10"/>
      <c r="Q35" s="10"/>
      <c r="R35" s="11"/>
      <c r="S35" s="14"/>
      <c r="T35" s="10"/>
      <c r="U35" s="10"/>
      <c r="V35" s="10"/>
      <c r="W35" s="10"/>
      <c r="X35" s="10"/>
      <c r="Y35" s="11"/>
      <c r="Z35" s="14"/>
      <c r="AA35" s="10"/>
      <c r="AB35" s="10"/>
      <c r="AC35" s="10"/>
      <c r="AD35" s="10"/>
      <c r="AE35" s="10"/>
      <c r="AF35" s="10"/>
      <c r="AG35" s="10"/>
      <c r="AH35" s="10"/>
      <c r="AI35" s="10"/>
      <c r="AJ35" s="10"/>
      <c r="AK35" s="11"/>
    </row>
    <row r="36" spans="1:37" ht="14.25" customHeight="1">
      <c r="A36" s="30" t="s">
        <v>59</v>
      </c>
      <c r="B36" s="15" t="s">
        <v>60</v>
      </c>
      <c r="C36" s="8"/>
      <c r="D36" s="8"/>
      <c r="E36" s="9"/>
      <c r="F36" s="7" t="str">
        <f t="array" aca="1" ref="F36" ca="1">IFERROR(
    INDEX(データ集約!A:ZZ, MATCH(D6, データ集約!C:C, 0), MATCH("介護サービス", データ集約!1:1, 0)),
    ""
)</f>
        <v/>
      </c>
      <c r="G36" s="8"/>
      <c r="H36" s="8"/>
      <c r="I36" s="8"/>
      <c r="J36" s="8"/>
      <c r="K36" s="8"/>
      <c r="L36" s="8"/>
      <c r="M36" s="8"/>
      <c r="N36" s="8"/>
      <c r="O36" s="8"/>
      <c r="P36" s="8"/>
      <c r="Q36" s="8"/>
      <c r="R36" s="9"/>
      <c r="S36" s="15" t="s">
        <v>61</v>
      </c>
      <c r="T36" s="8"/>
      <c r="U36" s="9"/>
      <c r="V36" s="7" t="str">
        <f t="array" aca="1" ref="V36" ca="1">IFERROR(
    INDEX(データ集約!A:ZZ, MATCH(D6, データ集約!C:C, 0), MATCH("福祉用具", データ集約!1:1, 0)),
    ""
)</f>
        <v/>
      </c>
      <c r="W36" s="8"/>
      <c r="X36" s="8"/>
      <c r="Y36" s="8"/>
      <c r="Z36" s="8"/>
      <c r="AA36" s="8"/>
      <c r="AB36" s="8"/>
      <c r="AC36" s="8"/>
      <c r="AD36" s="8"/>
      <c r="AE36" s="8"/>
      <c r="AF36" s="8"/>
      <c r="AG36" s="8"/>
      <c r="AH36" s="8"/>
      <c r="AI36" s="8"/>
      <c r="AJ36" s="8"/>
      <c r="AK36" s="9"/>
    </row>
    <row r="37" spans="1:37" ht="14.25" customHeight="1">
      <c r="A37" s="28"/>
      <c r="B37" s="8"/>
      <c r="C37" s="8"/>
      <c r="D37" s="8"/>
      <c r="E37" s="9"/>
      <c r="F37" s="8"/>
      <c r="G37" s="8"/>
      <c r="H37" s="8"/>
      <c r="I37" s="8"/>
      <c r="J37" s="8"/>
      <c r="K37" s="8"/>
      <c r="L37" s="8"/>
      <c r="M37" s="8"/>
      <c r="N37" s="8"/>
      <c r="O37" s="8"/>
      <c r="P37" s="8"/>
      <c r="Q37" s="8"/>
      <c r="R37" s="9"/>
      <c r="S37" s="10"/>
      <c r="T37" s="10"/>
      <c r="U37" s="11"/>
      <c r="V37" s="10"/>
      <c r="W37" s="10"/>
      <c r="X37" s="10"/>
      <c r="Y37" s="10"/>
      <c r="Z37" s="10"/>
      <c r="AA37" s="10"/>
      <c r="AB37" s="10"/>
      <c r="AC37" s="10"/>
      <c r="AD37" s="10"/>
      <c r="AE37" s="10"/>
      <c r="AF37" s="10"/>
      <c r="AG37" s="10"/>
      <c r="AH37" s="10"/>
      <c r="AI37" s="10"/>
      <c r="AJ37" s="10"/>
      <c r="AK37" s="11"/>
    </row>
    <row r="38" spans="1:37" ht="14.25" customHeight="1">
      <c r="A38" s="28"/>
      <c r="B38" s="10"/>
      <c r="C38" s="10"/>
      <c r="D38" s="10"/>
      <c r="E38" s="11"/>
      <c r="F38" s="10"/>
      <c r="G38" s="10"/>
      <c r="H38" s="10"/>
      <c r="I38" s="10"/>
      <c r="J38" s="10"/>
      <c r="K38" s="10"/>
      <c r="L38" s="10"/>
      <c r="M38" s="10"/>
      <c r="N38" s="10"/>
      <c r="O38" s="10"/>
      <c r="P38" s="10"/>
      <c r="Q38" s="10"/>
      <c r="R38" s="11"/>
      <c r="S38" s="16" t="s">
        <v>62</v>
      </c>
      <c r="T38" s="10"/>
      <c r="U38" s="11"/>
      <c r="V38" s="66" t="str">
        <f t="array" aca="1" ref="V38" ca="1">IFERROR(
    INDEX(データ集約!A:ZZ, MATCH(D6, データ集約!C:C, 0), MATCH("その他", データ集約!1:1, 0)),
    ""
)</f>
        <v/>
      </c>
      <c r="W38" s="10"/>
      <c r="X38" s="10"/>
      <c r="Y38" s="10"/>
      <c r="Z38" s="10"/>
      <c r="AA38" s="10"/>
      <c r="AB38" s="10"/>
      <c r="AC38" s="10"/>
      <c r="AD38" s="10"/>
      <c r="AE38" s="10"/>
      <c r="AF38" s="10"/>
      <c r="AG38" s="10"/>
      <c r="AH38" s="10"/>
      <c r="AI38" s="10"/>
      <c r="AJ38" s="10"/>
      <c r="AK38" s="11"/>
    </row>
    <row r="39" spans="1:37" ht="14.25" customHeight="1">
      <c r="A39" s="28"/>
      <c r="B39" s="17" t="s">
        <v>63</v>
      </c>
      <c r="C39" s="8"/>
      <c r="D39" s="8"/>
      <c r="E39" s="9"/>
      <c r="F39" s="7" t="str">
        <f t="array" aca="1" ref="F39" ca="1">IFERROR(
    INDEX(データ集約!A:ZZ, MATCH(D6, データ集約!C:C, 0), MATCH("インフォーマルサービス", データ集約!1:1, 0)),
    ""
)</f>
        <v/>
      </c>
      <c r="G39" s="8"/>
      <c r="H39" s="8"/>
      <c r="I39" s="8"/>
      <c r="J39" s="8"/>
      <c r="K39" s="8"/>
      <c r="L39" s="8"/>
      <c r="M39" s="8"/>
      <c r="N39" s="8"/>
      <c r="O39" s="8"/>
      <c r="P39" s="8"/>
      <c r="Q39" s="8"/>
      <c r="R39" s="9"/>
      <c r="S39" s="15" t="s">
        <v>64</v>
      </c>
      <c r="T39" s="8"/>
      <c r="U39" s="9"/>
      <c r="V39" s="7" t="str">
        <f t="array" aca="1" ref="V39" ca="1">IFERROR(
    INDEX(データ集約!A:ZZ, MATCH(D6, データ集約!C:C, 0), MATCH("社会との関り", データ集約!1:1, 0)),
    ""
)</f>
        <v/>
      </c>
      <c r="W39" s="8"/>
      <c r="X39" s="8"/>
      <c r="Y39" s="8"/>
      <c r="Z39" s="8"/>
      <c r="AA39" s="8"/>
      <c r="AB39" s="8"/>
      <c r="AC39" s="8"/>
      <c r="AD39" s="8"/>
      <c r="AE39" s="8"/>
      <c r="AF39" s="8"/>
      <c r="AG39" s="8"/>
      <c r="AH39" s="8"/>
      <c r="AI39" s="8"/>
      <c r="AJ39" s="8"/>
      <c r="AK39" s="9"/>
    </row>
    <row r="40" spans="1:37" ht="14.25" customHeight="1">
      <c r="A40" s="29"/>
      <c r="B40" s="10"/>
      <c r="C40" s="10"/>
      <c r="D40" s="10"/>
      <c r="E40" s="11"/>
      <c r="F40" s="10"/>
      <c r="G40" s="10"/>
      <c r="H40" s="10"/>
      <c r="I40" s="10"/>
      <c r="J40" s="10"/>
      <c r="K40" s="10"/>
      <c r="L40" s="10"/>
      <c r="M40" s="10"/>
      <c r="N40" s="10"/>
      <c r="O40" s="10"/>
      <c r="P40" s="10"/>
      <c r="Q40" s="10"/>
      <c r="R40" s="11"/>
      <c r="S40" s="10"/>
      <c r="T40" s="10"/>
      <c r="U40" s="11"/>
      <c r="V40" s="10"/>
      <c r="W40" s="10"/>
      <c r="X40" s="10"/>
      <c r="Y40" s="10"/>
      <c r="Z40" s="10"/>
      <c r="AA40" s="10"/>
      <c r="AB40" s="10"/>
      <c r="AC40" s="10"/>
      <c r="AD40" s="10"/>
      <c r="AE40" s="10"/>
      <c r="AF40" s="10"/>
      <c r="AG40" s="10"/>
      <c r="AH40" s="10"/>
      <c r="AI40" s="10"/>
      <c r="AJ40" s="10"/>
      <c r="AK40" s="11"/>
    </row>
    <row r="41" spans="1:37" ht="14.25" customHeight="1">
      <c r="A41" s="12" t="s">
        <v>65</v>
      </c>
      <c r="B41" s="10"/>
      <c r="C41" s="10"/>
      <c r="D41" s="10"/>
      <c r="E41" s="10"/>
      <c r="F41" s="10"/>
      <c r="G41" s="10"/>
      <c r="H41" s="10"/>
      <c r="I41" s="10"/>
      <c r="J41" s="10"/>
      <c r="K41" s="10"/>
      <c r="L41" s="10"/>
      <c r="M41" s="10"/>
      <c r="N41" s="10"/>
      <c r="O41" s="10"/>
      <c r="P41" s="10"/>
      <c r="Q41" s="10"/>
      <c r="R41" s="11"/>
      <c r="S41" s="35" t="s">
        <v>66</v>
      </c>
      <c r="T41" s="10"/>
      <c r="U41" s="10"/>
      <c r="V41" s="10"/>
      <c r="W41" s="10"/>
      <c r="X41" s="10"/>
      <c r="Y41" s="10"/>
      <c r="Z41" s="10"/>
      <c r="AA41" s="10"/>
      <c r="AB41" s="10"/>
      <c r="AC41" s="10"/>
      <c r="AD41" s="10"/>
      <c r="AE41" s="10"/>
      <c r="AF41" s="10"/>
      <c r="AG41" s="10"/>
      <c r="AH41" s="10"/>
      <c r="AI41" s="10"/>
      <c r="AJ41" s="10"/>
      <c r="AK41" s="11"/>
    </row>
    <row r="42" spans="1:37" ht="14.25" customHeight="1">
      <c r="A42" s="13" t="str">
        <f t="array" aca="1" ref="A42" ca="1">IFERROR(
    INDEX(データ集約!A:ZZ, MATCH(D6, データ集約!C:C, 0), MATCH("本人の希望", データ集約!1:1, 0)),
    ""
)</f>
        <v/>
      </c>
      <c r="B42" s="8"/>
      <c r="C42" s="8"/>
      <c r="D42" s="8"/>
      <c r="E42" s="8"/>
      <c r="F42" s="8"/>
      <c r="G42" s="8"/>
      <c r="H42" s="8"/>
      <c r="I42" s="8"/>
      <c r="J42" s="8"/>
      <c r="K42" s="8"/>
      <c r="L42" s="8"/>
      <c r="M42" s="8"/>
      <c r="N42" s="8"/>
      <c r="O42" s="8"/>
      <c r="P42" s="8"/>
      <c r="Q42" s="8"/>
      <c r="R42" s="9"/>
      <c r="S42" s="7" t="str">
        <f t="array" aca="1" ref="S42" ca="1">IFERROR(
    INDEX(データ集約!A:ZZ, MATCH(D6, データ集約!C:C, 0), MATCH("家族の希望", データ集約!1:1, 0)),
    ""
)</f>
        <v/>
      </c>
      <c r="T42" s="8"/>
      <c r="U42" s="8"/>
      <c r="V42" s="8"/>
      <c r="W42" s="8"/>
      <c r="X42" s="8"/>
      <c r="Y42" s="8"/>
      <c r="Z42" s="8"/>
      <c r="AA42" s="8"/>
      <c r="AB42" s="8"/>
      <c r="AC42" s="8"/>
      <c r="AD42" s="8"/>
      <c r="AE42" s="8"/>
      <c r="AF42" s="8"/>
      <c r="AG42" s="8"/>
      <c r="AH42" s="8"/>
      <c r="AI42" s="8"/>
      <c r="AJ42" s="8"/>
      <c r="AK42" s="9"/>
    </row>
    <row r="43" spans="1:37" ht="14.25" customHeight="1">
      <c r="A43" s="14"/>
      <c r="B43" s="10"/>
      <c r="C43" s="10"/>
      <c r="D43" s="10"/>
      <c r="E43" s="10"/>
      <c r="F43" s="10"/>
      <c r="G43" s="10"/>
      <c r="H43" s="10"/>
      <c r="I43" s="10"/>
      <c r="J43" s="10"/>
      <c r="K43" s="10"/>
      <c r="L43" s="10"/>
      <c r="M43" s="10"/>
      <c r="N43" s="10"/>
      <c r="O43" s="10"/>
      <c r="P43" s="10"/>
      <c r="Q43" s="10"/>
      <c r="R43" s="11"/>
      <c r="S43" s="10"/>
      <c r="T43" s="10"/>
      <c r="U43" s="10"/>
      <c r="V43" s="10"/>
      <c r="W43" s="10"/>
      <c r="X43" s="10"/>
      <c r="Y43" s="10"/>
      <c r="Z43" s="10"/>
      <c r="AA43" s="10"/>
      <c r="AB43" s="10"/>
      <c r="AC43" s="10"/>
      <c r="AD43" s="10"/>
      <c r="AE43" s="10"/>
      <c r="AF43" s="10"/>
      <c r="AG43" s="10"/>
      <c r="AH43" s="10"/>
      <c r="AI43" s="10"/>
      <c r="AJ43" s="10"/>
      <c r="AK43" s="11"/>
    </row>
    <row r="44" spans="1:37" ht="14.25" customHeight="1">
      <c r="A44" s="12" t="s">
        <v>67</v>
      </c>
      <c r="B44" s="10"/>
      <c r="C44" s="10"/>
      <c r="D44" s="10"/>
      <c r="E44" s="10"/>
      <c r="F44" s="10"/>
      <c r="G44" s="10"/>
      <c r="H44" s="10"/>
      <c r="I44" s="10"/>
      <c r="J44" s="10"/>
      <c r="K44" s="10"/>
      <c r="L44" s="10"/>
      <c r="M44" s="10"/>
      <c r="N44" s="10"/>
      <c r="O44" s="10"/>
      <c r="P44" s="10"/>
      <c r="Q44" s="10"/>
      <c r="R44" s="10"/>
      <c r="S44" s="10"/>
      <c r="T44" s="10"/>
      <c r="U44" s="10"/>
      <c r="V44" s="10"/>
      <c r="W44" s="10"/>
      <c r="X44" s="10"/>
      <c r="Y44" s="10"/>
      <c r="Z44" s="35" t="s">
        <v>144</v>
      </c>
      <c r="AA44" s="10"/>
      <c r="AB44" s="10"/>
      <c r="AC44" s="10"/>
      <c r="AD44" s="10"/>
      <c r="AE44" s="10"/>
      <c r="AF44" s="10"/>
      <c r="AG44" s="10"/>
      <c r="AH44" s="10"/>
      <c r="AI44" s="10"/>
      <c r="AJ44" s="10"/>
      <c r="AK44" s="11"/>
    </row>
    <row r="45" spans="1:37" ht="14.25" customHeight="1">
      <c r="A45" s="13" t="str">
        <f t="array" aca="1" ref="A45" ca="1">IFERROR(
    INDEX(データ集約!A:ZZ, MATCH(D6, データ集約!C:C, 0), MATCH("生活歴", データ集約!1:1, 0)),
    ""
)</f>
        <v/>
      </c>
      <c r="B45" s="8"/>
      <c r="C45" s="8"/>
      <c r="D45" s="8"/>
      <c r="E45" s="8"/>
      <c r="F45" s="8"/>
      <c r="G45" s="8"/>
      <c r="H45" s="8"/>
      <c r="I45" s="8"/>
      <c r="J45" s="8"/>
      <c r="K45" s="8"/>
      <c r="L45" s="8"/>
      <c r="M45" s="8"/>
      <c r="N45" s="8"/>
      <c r="O45" s="8"/>
      <c r="P45" s="8"/>
      <c r="Q45" s="8"/>
      <c r="R45" s="8"/>
      <c r="S45" s="8"/>
      <c r="T45" s="8"/>
      <c r="U45" s="8"/>
      <c r="V45" s="8"/>
      <c r="W45" s="8"/>
      <c r="X45" s="8"/>
      <c r="Y45" s="8"/>
      <c r="Z45" s="7" t="str">
        <f t="array" aca="1" ref="Z45" ca="1">IFERROR(
    INDEX(データ集約!A:ZZ, MATCH(D6, データ集約!C:C, 0), MATCH("趣味", データ集約!1:1, 0)),
    ""
)</f>
        <v/>
      </c>
      <c r="AA45" s="8"/>
      <c r="AB45" s="8"/>
      <c r="AC45" s="8"/>
      <c r="AD45" s="8"/>
      <c r="AE45" s="8"/>
      <c r="AF45" s="8"/>
      <c r="AG45" s="8"/>
      <c r="AH45" s="8"/>
      <c r="AI45" s="8"/>
      <c r="AJ45" s="8"/>
      <c r="AK45" s="8"/>
    </row>
    <row r="46" spans="1:37" ht="14.25" customHeight="1">
      <c r="A46" s="25"/>
      <c r="B46" s="8"/>
      <c r="C46" s="8"/>
      <c r="D46" s="8"/>
      <c r="E46" s="8"/>
      <c r="F46" s="8"/>
      <c r="G46" s="8"/>
      <c r="H46" s="8"/>
      <c r="I46" s="8"/>
      <c r="J46" s="8"/>
      <c r="K46" s="8"/>
      <c r="L46" s="8"/>
      <c r="M46" s="8"/>
      <c r="N46" s="8"/>
      <c r="O46" s="8"/>
      <c r="P46" s="8"/>
      <c r="Q46" s="8"/>
      <c r="R46" s="8"/>
      <c r="S46" s="8"/>
      <c r="T46" s="8"/>
      <c r="U46" s="8"/>
      <c r="V46" s="8"/>
      <c r="W46" s="8"/>
      <c r="X46" s="8"/>
      <c r="Y46" s="8"/>
      <c r="Z46" s="8"/>
      <c r="AA46" s="8"/>
      <c r="AB46" s="8"/>
      <c r="AC46" s="8"/>
      <c r="AD46" s="8"/>
      <c r="AE46" s="8"/>
      <c r="AF46" s="8"/>
      <c r="AG46" s="8"/>
      <c r="AH46" s="8"/>
      <c r="AI46" s="8"/>
      <c r="AJ46" s="8"/>
      <c r="AK46" s="8"/>
    </row>
    <row r="47" spans="1:37" ht="14.25" customHeight="1">
      <c r="A47" s="25"/>
      <c r="B47" s="8"/>
      <c r="C47" s="8"/>
      <c r="D47" s="8"/>
      <c r="E47" s="8"/>
      <c r="F47" s="8"/>
      <c r="G47" s="8"/>
      <c r="H47" s="8"/>
      <c r="I47" s="8"/>
      <c r="J47" s="8"/>
      <c r="K47" s="8"/>
      <c r="L47" s="8"/>
      <c r="M47" s="8"/>
      <c r="N47" s="8"/>
      <c r="O47" s="8"/>
      <c r="P47" s="8"/>
      <c r="Q47" s="8"/>
      <c r="R47" s="8"/>
      <c r="S47" s="8"/>
      <c r="T47" s="8"/>
      <c r="U47" s="8"/>
      <c r="V47" s="8"/>
      <c r="W47" s="8"/>
      <c r="X47" s="8"/>
      <c r="Y47" s="8"/>
      <c r="Z47" s="8"/>
      <c r="AA47" s="8"/>
      <c r="AB47" s="8"/>
      <c r="AC47" s="8"/>
      <c r="AD47" s="8"/>
      <c r="AE47" s="8"/>
      <c r="AF47" s="8"/>
      <c r="AG47" s="8"/>
      <c r="AH47" s="8"/>
      <c r="AI47" s="8"/>
      <c r="AJ47" s="8"/>
      <c r="AK47" s="8"/>
    </row>
    <row r="48" spans="1:37" ht="14.25" customHeight="1">
      <c r="A48" s="25"/>
      <c r="B48" s="8"/>
      <c r="C48" s="8"/>
      <c r="D48" s="8"/>
      <c r="E48" s="8"/>
      <c r="F48" s="8"/>
      <c r="G48" s="8"/>
      <c r="H48" s="8"/>
      <c r="I48" s="8"/>
      <c r="J48" s="8"/>
      <c r="K48" s="8"/>
      <c r="L48" s="8"/>
      <c r="M48" s="8"/>
      <c r="N48" s="8"/>
      <c r="O48" s="8"/>
      <c r="P48" s="8"/>
      <c r="Q48" s="8"/>
      <c r="R48" s="8"/>
      <c r="S48" s="8"/>
      <c r="T48" s="8"/>
      <c r="U48" s="8"/>
      <c r="V48" s="8"/>
      <c r="W48" s="8"/>
      <c r="X48" s="8"/>
      <c r="Y48" s="8"/>
      <c r="Z48" s="8"/>
      <c r="AA48" s="8"/>
      <c r="AB48" s="8"/>
      <c r="AC48" s="8"/>
      <c r="AD48" s="8"/>
      <c r="AE48" s="8"/>
      <c r="AF48" s="8"/>
      <c r="AG48" s="8"/>
      <c r="AH48" s="8"/>
      <c r="AI48" s="8"/>
      <c r="AJ48" s="8"/>
      <c r="AK48" s="8"/>
    </row>
    <row r="49" spans="1:37" ht="14.25" customHeight="1">
      <c r="A49" s="25"/>
      <c r="B49" s="8"/>
      <c r="C49" s="8"/>
      <c r="D49" s="8"/>
      <c r="E49" s="8"/>
      <c r="F49" s="8"/>
      <c r="G49" s="8"/>
      <c r="H49" s="8"/>
      <c r="I49" s="8"/>
      <c r="J49" s="8"/>
      <c r="K49" s="8"/>
      <c r="L49" s="8"/>
      <c r="M49" s="8"/>
      <c r="N49" s="8"/>
      <c r="O49" s="8"/>
      <c r="P49" s="8"/>
      <c r="Q49" s="8"/>
      <c r="R49" s="8"/>
      <c r="S49" s="8"/>
      <c r="T49" s="8"/>
      <c r="U49" s="8"/>
      <c r="V49" s="8"/>
      <c r="W49" s="8"/>
      <c r="X49" s="8"/>
      <c r="Y49" s="8"/>
      <c r="Z49" s="8"/>
      <c r="AA49" s="8"/>
      <c r="AB49" s="8"/>
      <c r="AC49" s="8"/>
      <c r="AD49" s="8"/>
      <c r="AE49" s="8"/>
      <c r="AF49" s="8"/>
      <c r="AG49" s="8"/>
      <c r="AH49" s="8"/>
      <c r="AI49" s="8"/>
      <c r="AJ49" s="8"/>
      <c r="AK49" s="8"/>
    </row>
    <row r="50" spans="1:37" ht="14.25" customHeight="1">
      <c r="A50" s="25"/>
      <c r="B50" s="8"/>
      <c r="C50" s="8"/>
      <c r="D50" s="8"/>
      <c r="E50" s="8"/>
      <c r="F50" s="8"/>
      <c r="G50" s="8"/>
      <c r="H50" s="8"/>
      <c r="I50" s="8"/>
      <c r="J50" s="8"/>
      <c r="K50" s="8"/>
      <c r="L50" s="8"/>
      <c r="M50" s="8"/>
      <c r="N50" s="8"/>
      <c r="O50" s="8"/>
      <c r="P50" s="8"/>
      <c r="Q50" s="8"/>
      <c r="R50" s="8"/>
      <c r="S50" s="8"/>
      <c r="T50" s="8"/>
      <c r="U50" s="8"/>
      <c r="V50" s="8"/>
      <c r="W50" s="8"/>
      <c r="X50" s="8"/>
      <c r="Y50" s="8"/>
      <c r="Z50" s="8"/>
      <c r="AA50" s="8"/>
      <c r="AB50" s="8"/>
      <c r="AC50" s="8"/>
      <c r="AD50" s="8"/>
      <c r="AE50" s="8"/>
      <c r="AF50" s="8"/>
      <c r="AG50" s="8"/>
      <c r="AH50" s="8"/>
      <c r="AI50" s="8"/>
      <c r="AJ50" s="8"/>
      <c r="AK50" s="8"/>
    </row>
    <row r="51" spans="1:37" ht="14.25" customHeight="1">
      <c r="A51" s="12" t="s">
        <v>68</v>
      </c>
      <c r="B51" s="10"/>
      <c r="C51" s="10"/>
      <c r="D51" s="10"/>
      <c r="E51" s="10"/>
      <c r="F51" s="10"/>
      <c r="G51" s="10"/>
      <c r="H51" s="10"/>
      <c r="I51" s="10"/>
      <c r="J51" s="10"/>
      <c r="K51" s="10"/>
      <c r="L51" s="10"/>
      <c r="M51" s="10"/>
      <c r="N51" s="10"/>
      <c r="O51" s="10"/>
      <c r="P51" s="10"/>
      <c r="Q51" s="10"/>
      <c r="R51" s="10"/>
      <c r="S51" s="10"/>
      <c r="T51" s="10"/>
      <c r="U51" s="10"/>
      <c r="V51" s="10"/>
      <c r="W51" s="10"/>
      <c r="X51" s="10"/>
      <c r="Y51" s="10"/>
      <c r="Z51" s="10"/>
      <c r="AA51" s="10"/>
      <c r="AB51" s="10"/>
      <c r="AC51" s="10"/>
      <c r="AD51" s="10"/>
      <c r="AE51" s="10"/>
      <c r="AF51" s="10"/>
      <c r="AG51" s="10"/>
      <c r="AH51" s="10"/>
      <c r="AI51" s="10"/>
      <c r="AJ51" s="10"/>
      <c r="AK51" s="11"/>
    </row>
    <row r="52" spans="1:37" ht="14.25" customHeight="1">
      <c r="A52" s="67" t="str">
        <f t="array" aca="1" ref="A52" ca="1">IFERROR(
    INDEX(データ集約!A:ZZ, MATCH(D6, データ集約!C:C, 0), MATCH("その他、特記事項", データ集約!1:1, 0)),
    ""
)</f>
        <v/>
      </c>
      <c r="B52" s="21"/>
      <c r="C52" s="21"/>
      <c r="D52" s="21"/>
      <c r="E52" s="21"/>
      <c r="F52" s="21"/>
      <c r="G52" s="21"/>
      <c r="H52" s="21"/>
      <c r="I52" s="21"/>
      <c r="J52" s="21"/>
      <c r="K52" s="21"/>
      <c r="L52" s="21"/>
      <c r="M52" s="21"/>
      <c r="N52" s="21"/>
      <c r="O52" s="21"/>
      <c r="P52" s="21"/>
      <c r="Q52" s="21"/>
      <c r="R52" s="21"/>
      <c r="S52" s="21"/>
      <c r="T52" s="21"/>
      <c r="U52" s="21"/>
      <c r="V52" s="21"/>
      <c r="W52" s="21"/>
      <c r="X52" s="21"/>
      <c r="Y52" s="21"/>
      <c r="Z52" s="21"/>
      <c r="AA52" s="21"/>
      <c r="AB52" s="21"/>
      <c r="AC52" s="21"/>
      <c r="AD52" s="21"/>
      <c r="AE52" s="21"/>
      <c r="AF52" s="21"/>
      <c r="AG52" s="21"/>
      <c r="AH52" s="21"/>
      <c r="AI52" s="21"/>
      <c r="AJ52" s="21"/>
      <c r="AK52" s="22"/>
    </row>
    <row r="53" spans="1:37" ht="14.25" customHeight="1">
      <c r="A53" s="25"/>
      <c r="B53" s="8"/>
      <c r="C53" s="8"/>
      <c r="D53" s="8"/>
      <c r="E53" s="8"/>
      <c r="F53" s="8"/>
      <c r="G53" s="8"/>
      <c r="H53" s="8"/>
      <c r="I53" s="8"/>
      <c r="J53" s="8"/>
      <c r="K53" s="8"/>
      <c r="L53" s="8"/>
      <c r="M53" s="8"/>
      <c r="N53" s="8"/>
      <c r="O53" s="8"/>
      <c r="P53" s="8"/>
      <c r="Q53" s="8"/>
      <c r="R53" s="8"/>
      <c r="S53" s="8"/>
      <c r="T53" s="8"/>
      <c r="U53" s="8"/>
      <c r="V53" s="8"/>
      <c r="W53" s="8"/>
      <c r="X53" s="8"/>
      <c r="Y53" s="8"/>
      <c r="Z53" s="8"/>
      <c r="AA53" s="8"/>
      <c r="AB53" s="8"/>
      <c r="AC53" s="8"/>
      <c r="AD53" s="8"/>
      <c r="AE53" s="8"/>
      <c r="AF53" s="8"/>
      <c r="AG53" s="8"/>
      <c r="AH53" s="8"/>
      <c r="AI53" s="8"/>
      <c r="AJ53" s="8"/>
      <c r="AK53" s="9"/>
    </row>
    <row r="54" spans="1:37" ht="14.25" customHeight="1">
      <c r="A54" s="25"/>
      <c r="B54" s="8"/>
      <c r="C54" s="8"/>
      <c r="D54" s="8"/>
      <c r="E54" s="8"/>
      <c r="F54" s="8"/>
      <c r="G54" s="8"/>
      <c r="H54" s="8"/>
      <c r="I54" s="8"/>
      <c r="J54" s="8"/>
      <c r="K54" s="8"/>
      <c r="L54" s="8"/>
      <c r="M54" s="8"/>
      <c r="N54" s="8"/>
      <c r="O54" s="8"/>
      <c r="P54" s="8"/>
      <c r="Q54" s="8"/>
      <c r="R54" s="8"/>
      <c r="S54" s="8"/>
      <c r="T54" s="8"/>
      <c r="U54" s="8"/>
      <c r="V54" s="8"/>
      <c r="W54" s="8"/>
      <c r="X54" s="8"/>
      <c r="Y54" s="8"/>
      <c r="Z54" s="8"/>
      <c r="AA54" s="8"/>
      <c r="AB54" s="8"/>
      <c r="AC54" s="8"/>
      <c r="AD54" s="8"/>
      <c r="AE54" s="8"/>
      <c r="AF54" s="8"/>
      <c r="AG54" s="8"/>
      <c r="AH54" s="8"/>
      <c r="AI54" s="8"/>
      <c r="AJ54" s="8"/>
      <c r="AK54" s="9"/>
    </row>
    <row r="55" spans="1:37" ht="14.25" customHeight="1">
      <c r="A55" s="14"/>
      <c r="B55" s="10"/>
      <c r="C55" s="10"/>
      <c r="D55" s="10"/>
      <c r="E55" s="10"/>
      <c r="F55" s="10"/>
      <c r="G55" s="10"/>
      <c r="H55" s="10"/>
      <c r="I55" s="10"/>
      <c r="J55" s="10"/>
      <c r="K55" s="10"/>
      <c r="L55" s="10"/>
      <c r="M55" s="10"/>
      <c r="N55" s="10"/>
      <c r="O55" s="10"/>
      <c r="P55" s="10"/>
      <c r="Q55" s="10"/>
      <c r="R55" s="10"/>
      <c r="S55" s="10"/>
      <c r="T55" s="10"/>
      <c r="U55" s="10"/>
      <c r="V55" s="10"/>
      <c r="W55" s="10"/>
      <c r="X55" s="10"/>
      <c r="Y55" s="10"/>
      <c r="Z55" s="10"/>
      <c r="AA55" s="10"/>
      <c r="AB55" s="10"/>
      <c r="AC55" s="10"/>
      <c r="AD55" s="10"/>
      <c r="AE55" s="10"/>
      <c r="AF55" s="10"/>
      <c r="AG55" s="10"/>
      <c r="AH55" s="10"/>
      <c r="AI55" s="10"/>
      <c r="AJ55" s="10"/>
      <c r="AK55" s="11"/>
    </row>
    <row r="56" spans="1:37" ht="14.25" customHeight="1">
      <c r="A56" s="7"/>
      <c r="B56" s="8"/>
      <c r="C56" s="8"/>
      <c r="D56" s="8"/>
      <c r="E56" s="8"/>
      <c r="F56" s="8"/>
      <c r="G56" s="8"/>
      <c r="H56" s="8"/>
      <c r="I56" s="8"/>
      <c r="J56" s="8"/>
      <c r="K56" s="8"/>
      <c r="L56" s="8"/>
      <c r="M56" s="8"/>
      <c r="N56" s="8"/>
      <c r="O56" s="8"/>
      <c r="P56" s="8"/>
      <c r="Q56" s="8"/>
      <c r="R56" s="8"/>
      <c r="S56" s="8"/>
      <c r="T56" s="8"/>
      <c r="U56" s="8"/>
      <c r="V56" s="8"/>
      <c r="W56" s="8"/>
      <c r="X56" s="8"/>
      <c r="Y56" s="8"/>
      <c r="Z56" s="8"/>
      <c r="AA56" s="8"/>
      <c r="AB56" s="8"/>
      <c r="AC56" s="8"/>
      <c r="AD56" s="8"/>
      <c r="AE56" s="8"/>
      <c r="AF56" s="8"/>
      <c r="AG56" s="8"/>
      <c r="AH56" s="8"/>
      <c r="AI56" s="8"/>
      <c r="AJ56" s="8"/>
      <c r="AK56" s="8"/>
    </row>
    <row r="57" spans="1:37" ht="14.25" customHeight="1">
      <c r="A57" s="63" t="s">
        <v>69</v>
      </c>
      <c r="B57" s="8"/>
      <c r="C57" s="8"/>
      <c r="D57" s="8"/>
      <c r="E57" s="8"/>
      <c r="F57" s="8"/>
      <c r="G57" s="8"/>
      <c r="H57" s="8"/>
      <c r="I57" s="8"/>
      <c r="J57" s="8"/>
      <c r="K57" s="8"/>
      <c r="L57" s="8"/>
      <c r="M57" s="8"/>
      <c r="N57" s="8"/>
      <c r="O57" s="8"/>
      <c r="P57" s="8"/>
      <c r="Q57" s="8"/>
      <c r="R57" s="8"/>
      <c r="S57" s="8"/>
      <c r="T57" s="8"/>
      <c r="U57" s="8"/>
      <c r="V57" s="8"/>
      <c r="W57" s="8"/>
      <c r="X57" s="8"/>
      <c r="Y57" s="8"/>
      <c r="Z57" s="8"/>
      <c r="AA57" s="64"/>
      <c r="AB57" s="63" t="s">
        <v>70</v>
      </c>
      <c r="AC57" s="8"/>
      <c r="AD57" s="8"/>
      <c r="AE57" s="8"/>
      <c r="AF57" s="8"/>
      <c r="AG57" s="8"/>
      <c r="AH57" s="8"/>
      <c r="AI57" s="8"/>
      <c r="AJ57" s="8"/>
      <c r="AK57" s="64"/>
    </row>
    <row r="58" spans="1:37" ht="14.25" customHeight="1">
      <c r="A58" s="10"/>
      <c r="B58" s="10"/>
      <c r="C58" s="10"/>
      <c r="D58" s="10"/>
      <c r="E58" s="10"/>
      <c r="F58" s="10"/>
      <c r="G58" s="10"/>
      <c r="H58" s="10"/>
      <c r="I58" s="10"/>
      <c r="J58" s="10"/>
      <c r="K58" s="10"/>
      <c r="L58" s="10"/>
      <c r="M58" s="10"/>
      <c r="N58" s="10"/>
      <c r="O58" s="10"/>
      <c r="P58" s="10"/>
      <c r="Q58" s="10"/>
      <c r="R58" s="10"/>
      <c r="S58" s="10"/>
      <c r="T58" s="10"/>
      <c r="U58" s="10"/>
      <c r="V58" s="10"/>
      <c r="W58" s="10"/>
      <c r="X58" s="10"/>
      <c r="Y58" s="10"/>
      <c r="Z58" s="10"/>
      <c r="AA58" s="65"/>
      <c r="AB58" s="10"/>
      <c r="AC58" s="10"/>
      <c r="AD58" s="10"/>
      <c r="AE58" s="10"/>
      <c r="AF58" s="10"/>
      <c r="AG58" s="10"/>
      <c r="AH58" s="10"/>
      <c r="AI58" s="10"/>
      <c r="AJ58" s="10"/>
      <c r="AK58" s="65"/>
    </row>
    <row r="59" spans="1:37" ht="14.25" customHeight="1">
      <c r="A59" s="27" t="s">
        <v>71</v>
      </c>
      <c r="B59" s="34" t="s">
        <v>72</v>
      </c>
      <c r="C59" s="10"/>
      <c r="D59" s="10"/>
      <c r="E59" s="10"/>
      <c r="F59" s="10"/>
      <c r="G59" s="10"/>
      <c r="H59" s="11"/>
      <c r="I59" s="53" t="str">
        <f t="array" aca="1" ref="I59" ca="1">IFERROR(
    INDEX(データ集約!A:ZZ, MATCH(D6, データ集約!C:C, 0), MATCH("皮膚疾患", データ集約!1:1, 0)),
    ""
)</f>
        <v/>
      </c>
      <c r="J59" s="10"/>
      <c r="K59" s="10"/>
      <c r="L59" s="10"/>
      <c r="M59" s="10"/>
      <c r="N59" s="10"/>
      <c r="O59" s="11"/>
      <c r="P59" s="7" t="str">
        <f t="array" aca="1" ref="P59" ca="1">IFERROR(
    INDEX(データ集約!A:ZZ, MATCH(D6, データ集約!C:C, 0), MATCH("身体状況｜特記事項", データ集約!1:1, 0)),
    ""
)</f>
        <v/>
      </c>
      <c r="Q59" s="8"/>
      <c r="R59" s="8"/>
      <c r="S59" s="8"/>
      <c r="T59" s="8"/>
      <c r="U59" s="8"/>
      <c r="V59" s="8"/>
      <c r="W59" s="8"/>
      <c r="X59" s="8"/>
      <c r="Y59" s="8"/>
      <c r="Z59" s="8"/>
      <c r="AA59" s="9"/>
      <c r="AB59" s="7"/>
      <c r="AC59" s="8"/>
      <c r="AD59" s="8"/>
      <c r="AE59" s="8"/>
      <c r="AF59" s="8"/>
      <c r="AG59" s="8"/>
      <c r="AH59" s="8"/>
      <c r="AI59" s="8"/>
      <c r="AJ59" s="8"/>
      <c r="AK59" s="9"/>
    </row>
    <row r="60" spans="1:37" ht="14.25" customHeight="1">
      <c r="A60" s="28"/>
      <c r="B60" s="34" t="s">
        <v>73</v>
      </c>
      <c r="C60" s="10"/>
      <c r="D60" s="10"/>
      <c r="E60" s="10"/>
      <c r="F60" s="10"/>
      <c r="G60" s="10"/>
      <c r="H60" s="11"/>
      <c r="I60" s="53" t="str">
        <f t="array" aca="1" ref="I60" ca="1">IFERROR(
    INDEX(データ集約!A:ZZ, MATCH(D6, データ集約!C:C, 0), MATCH("感染症", データ集約!1:1, 0)),
    ""
)</f>
        <v/>
      </c>
      <c r="J60" s="10"/>
      <c r="K60" s="10"/>
      <c r="L60" s="10"/>
      <c r="M60" s="10"/>
      <c r="N60" s="10"/>
      <c r="O60" s="11"/>
      <c r="P60" s="8"/>
      <c r="Q60" s="8"/>
      <c r="R60" s="8"/>
      <c r="S60" s="8"/>
      <c r="T60" s="8"/>
      <c r="U60" s="8"/>
      <c r="V60" s="8"/>
      <c r="W60" s="8"/>
      <c r="X60" s="8"/>
      <c r="Y60" s="8"/>
      <c r="Z60" s="8"/>
      <c r="AA60" s="9"/>
      <c r="AB60" s="8"/>
      <c r="AC60" s="8"/>
      <c r="AD60" s="8"/>
      <c r="AE60" s="8"/>
      <c r="AF60" s="8"/>
      <c r="AG60" s="8"/>
      <c r="AH60" s="8"/>
      <c r="AI60" s="8"/>
      <c r="AJ60" s="8"/>
      <c r="AK60" s="9"/>
    </row>
    <row r="61" spans="1:37" ht="14.25" customHeight="1">
      <c r="A61" s="28"/>
      <c r="B61" s="34" t="s">
        <v>74</v>
      </c>
      <c r="C61" s="10"/>
      <c r="D61" s="10"/>
      <c r="E61" s="10"/>
      <c r="F61" s="10"/>
      <c r="G61" s="10"/>
      <c r="H61" s="11"/>
      <c r="I61" s="53" t="str">
        <f t="array" aca="1" ref="I61" ca="1">IFERROR(
    INDEX(データ集約!A:ZZ, MATCH(D6, データ集約!C:C, 0), MATCH("特別な医療処置", データ集約!1:1, 0)),
    ""
)</f>
        <v/>
      </c>
      <c r="J61" s="10"/>
      <c r="K61" s="10"/>
      <c r="L61" s="10"/>
      <c r="M61" s="10"/>
      <c r="N61" s="10"/>
      <c r="O61" s="11"/>
      <c r="P61" s="8"/>
      <c r="Q61" s="8"/>
      <c r="R61" s="8"/>
      <c r="S61" s="8"/>
      <c r="T61" s="8"/>
      <c r="U61" s="8"/>
      <c r="V61" s="8"/>
      <c r="W61" s="8"/>
      <c r="X61" s="8"/>
      <c r="Y61" s="8"/>
      <c r="Z61" s="8"/>
      <c r="AA61" s="9"/>
      <c r="AB61" s="8"/>
      <c r="AC61" s="8"/>
      <c r="AD61" s="8"/>
      <c r="AE61" s="8"/>
      <c r="AF61" s="8"/>
      <c r="AG61" s="8"/>
      <c r="AH61" s="8"/>
      <c r="AI61" s="8"/>
      <c r="AJ61" s="8"/>
      <c r="AK61" s="9"/>
    </row>
    <row r="62" spans="1:37" ht="14.25" customHeight="1">
      <c r="A62" s="28"/>
      <c r="B62" s="34" t="s">
        <v>75</v>
      </c>
      <c r="C62" s="10"/>
      <c r="D62" s="10"/>
      <c r="E62" s="10"/>
      <c r="F62" s="10"/>
      <c r="G62" s="10"/>
      <c r="H62" s="11"/>
      <c r="I62" s="53" t="str">
        <f t="array" aca="1" ref="I62" ca="1">IFERROR(
    INDEX(データ集約!A:ZZ, MATCH(D6, データ集約!C:C, 0), MATCH("麻痺", データ集約!1:1, 0)),
    ""
)</f>
        <v/>
      </c>
      <c r="J62" s="10"/>
      <c r="K62" s="10"/>
      <c r="L62" s="10"/>
      <c r="M62" s="10"/>
      <c r="N62" s="10"/>
      <c r="O62" s="11"/>
      <c r="P62" s="8"/>
      <c r="Q62" s="8"/>
      <c r="R62" s="8"/>
      <c r="S62" s="8"/>
      <c r="T62" s="8"/>
      <c r="U62" s="8"/>
      <c r="V62" s="8"/>
      <c r="W62" s="8"/>
      <c r="X62" s="8"/>
      <c r="Y62" s="8"/>
      <c r="Z62" s="8"/>
      <c r="AA62" s="9"/>
      <c r="AB62" s="8"/>
      <c r="AC62" s="8"/>
      <c r="AD62" s="8"/>
      <c r="AE62" s="8"/>
      <c r="AF62" s="8"/>
      <c r="AG62" s="8"/>
      <c r="AH62" s="8"/>
      <c r="AI62" s="8"/>
      <c r="AJ62" s="8"/>
      <c r="AK62" s="9"/>
    </row>
    <row r="63" spans="1:37" ht="14.25" customHeight="1">
      <c r="A63" s="28"/>
      <c r="B63" s="34" t="s">
        <v>76</v>
      </c>
      <c r="C63" s="10"/>
      <c r="D63" s="10"/>
      <c r="E63" s="10"/>
      <c r="F63" s="10"/>
      <c r="G63" s="10"/>
      <c r="H63" s="11"/>
      <c r="I63" s="53" t="str">
        <f t="array" aca="1" ref="I63" ca="1">IFERROR(
    INDEX(データ集約!A:ZZ, MATCH(D6, データ集約!C:C, 0), MATCH("痛み", データ集約!1:1, 0)),
    ""
)</f>
        <v/>
      </c>
      <c r="J63" s="10"/>
      <c r="K63" s="10"/>
      <c r="L63" s="10"/>
      <c r="M63" s="10"/>
      <c r="N63" s="10"/>
      <c r="O63" s="11"/>
      <c r="P63" s="8"/>
      <c r="Q63" s="8"/>
      <c r="R63" s="8"/>
      <c r="S63" s="8"/>
      <c r="T63" s="8"/>
      <c r="U63" s="8"/>
      <c r="V63" s="8"/>
      <c r="W63" s="8"/>
      <c r="X63" s="8"/>
      <c r="Y63" s="8"/>
      <c r="Z63" s="8"/>
      <c r="AA63" s="9"/>
      <c r="AB63" s="8"/>
      <c r="AC63" s="8"/>
      <c r="AD63" s="8"/>
      <c r="AE63" s="8"/>
      <c r="AF63" s="8"/>
      <c r="AG63" s="8"/>
      <c r="AH63" s="8"/>
      <c r="AI63" s="8"/>
      <c r="AJ63" s="8"/>
      <c r="AK63" s="9"/>
    </row>
    <row r="64" spans="1:37" ht="14.25" customHeight="1">
      <c r="A64" s="28"/>
      <c r="B64" s="34" t="s">
        <v>77</v>
      </c>
      <c r="C64" s="10"/>
      <c r="D64" s="10"/>
      <c r="E64" s="10"/>
      <c r="F64" s="10"/>
      <c r="G64" s="10"/>
      <c r="H64" s="11"/>
      <c r="I64" s="53" t="str">
        <f t="array" aca="1" ref="I64" ca="1">IFERROR(
    INDEX(データ集約!A:ZZ, MATCH(D6, データ集約!C:C, 0), MATCH("身長", データ集約!1:1, 0)),
    ""
)</f>
        <v/>
      </c>
      <c r="J64" s="10"/>
      <c r="K64" s="10"/>
      <c r="L64" s="10"/>
      <c r="M64" s="10"/>
      <c r="N64" s="53" t="s">
        <v>78</v>
      </c>
      <c r="O64" s="11"/>
      <c r="P64" s="8"/>
      <c r="Q64" s="8"/>
      <c r="R64" s="8"/>
      <c r="S64" s="8"/>
      <c r="T64" s="8"/>
      <c r="U64" s="8"/>
      <c r="V64" s="8"/>
      <c r="W64" s="8"/>
      <c r="X64" s="8"/>
      <c r="Y64" s="8"/>
      <c r="Z64" s="8"/>
      <c r="AA64" s="9"/>
      <c r="AB64" s="8"/>
      <c r="AC64" s="8"/>
      <c r="AD64" s="8"/>
      <c r="AE64" s="8"/>
      <c r="AF64" s="8"/>
      <c r="AG64" s="8"/>
      <c r="AH64" s="8"/>
      <c r="AI64" s="8"/>
      <c r="AJ64" s="8"/>
      <c r="AK64" s="9"/>
    </row>
    <row r="65" spans="1:37" ht="14.25" customHeight="1">
      <c r="A65" s="28"/>
      <c r="B65" s="34" t="s">
        <v>79</v>
      </c>
      <c r="C65" s="10"/>
      <c r="D65" s="10"/>
      <c r="E65" s="10"/>
      <c r="F65" s="10"/>
      <c r="G65" s="10"/>
      <c r="H65" s="11"/>
      <c r="I65" s="53" t="str">
        <f t="array" aca="1" ref="I65" ca="1">IFERROR(
    INDEX(データ集約!A:ZZ, MATCH(D6, データ集約!C:C, 0), MATCH("体重", データ集約!1:1, 0)),
    ""
)</f>
        <v/>
      </c>
      <c r="J65" s="10"/>
      <c r="K65" s="10"/>
      <c r="L65" s="10"/>
      <c r="M65" s="10"/>
      <c r="N65" s="53" t="s">
        <v>80</v>
      </c>
      <c r="O65" s="11"/>
      <c r="P65" s="8"/>
      <c r="Q65" s="8"/>
      <c r="R65" s="8"/>
      <c r="S65" s="8"/>
      <c r="T65" s="8"/>
      <c r="U65" s="8"/>
      <c r="V65" s="8"/>
      <c r="W65" s="8"/>
      <c r="X65" s="8"/>
      <c r="Y65" s="8"/>
      <c r="Z65" s="8"/>
      <c r="AA65" s="9"/>
      <c r="AB65" s="8"/>
      <c r="AC65" s="8"/>
      <c r="AD65" s="8"/>
      <c r="AE65" s="8"/>
      <c r="AF65" s="8"/>
      <c r="AG65" s="8"/>
      <c r="AH65" s="8"/>
      <c r="AI65" s="8"/>
      <c r="AJ65" s="8"/>
      <c r="AK65" s="9"/>
    </row>
    <row r="66" spans="1:37" ht="14.25" customHeight="1">
      <c r="A66" s="28"/>
      <c r="B66" s="58" t="s">
        <v>81</v>
      </c>
      <c r="C66" s="57" t="s">
        <v>81</v>
      </c>
      <c r="D66" s="10"/>
      <c r="E66" s="10"/>
      <c r="F66" s="10"/>
      <c r="G66" s="10"/>
      <c r="H66" s="11"/>
      <c r="I66" s="53" t="str">
        <f t="array" aca="1" ref="I66" ca="1">IFERROR(
    INDEX(データ集約!A:ZZ, MATCH(D6, データ集約!C:C, 0), MATCH("視力", データ集約!1:1, 0)),
    ""
)</f>
        <v/>
      </c>
      <c r="J66" s="10"/>
      <c r="K66" s="10"/>
      <c r="L66" s="10"/>
      <c r="M66" s="10"/>
      <c r="N66" s="10"/>
      <c r="O66" s="11"/>
      <c r="P66" s="8"/>
      <c r="Q66" s="8"/>
      <c r="R66" s="8"/>
      <c r="S66" s="8"/>
      <c r="T66" s="8"/>
      <c r="U66" s="8"/>
      <c r="V66" s="8"/>
      <c r="W66" s="8"/>
      <c r="X66" s="8"/>
      <c r="Y66" s="8"/>
      <c r="Z66" s="8"/>
      <c r="AA66" s="9"/>
      <c r="AB66" s="8"/>
      <c r="AC66" s="8"/>
      <c r="AD66" s="8"/>
      <c r="AE66" s="8"/>
      <c r="AF66" s="8"/>
      <c r="AG66" s="8"/>
      <c r="AH66" s="8"/>
      <c r="AI66" s="8"/>
      <c r="AJ66" s="8"/>
      <c r="AK66" s="9"/>
    </row>
    <row r="67" spans="1:37" ht="14.25" customHeight="1">
      <c r="A67" s="28"/>
      <c r="B67" s="11"/>
      <c r="C67" s="57" t="s">
        <v>82</v>
      </c>
      <c r="D67" s="10"/>
      <c r="E67" s="10"/>
      <c r="F67" s="10"/>
      <c r="G67" s="10"/>
      <c r="H67" s="11"/>
      <c r="I67" s="53" t="str">
        <f t="array" aca="1" ref="I67" ca="1">IFERROR(
    INDEX(データ集約!A:ZZ, MATCH(D6, データ集約!C:C, 0), MATCH("眼鏡等", データ集約!1:1, 0)),
    ""
)</f>
        <v/>
      </c>
      <c r="J67" s="10"/>
      <c r="K67" s="10"/>
      <c r="L67" s="10"/>
      <c r="M67" s="10"/>
      <c r="N67" s="10"/>
      <c r="O67" s="11"/>
      <c r="P67" s="8"/>
      <c r="Q67" s="8"/>
      <c r="R67" s="8"/>
      <c r="S67" s="8"/>
      <c r="T67" s="8"/>
      <c r="U67" s="8"/>
      <c r="V67" s="8"/>
      <c r="W67" s="8"/>
      <c r="X67" s="8"/>
      <c r="Y67" s="8"/>
      <c r="Z67" s="8"/>
      <c r="AA67" s="9"/>
      <c r="AB67" s="8"/>
      <c r="AC67" s="8"/>
      <c r="AD67" s="8"/>
      <c r="AE67" s="8"/>
      <c r="AF67" s="8"/>
      <c r="AG67" s="8"/>
      <c r="AH67" s="8"/>
      <c r="AI67" s="8"/>
      <c r="AJ67" s="8"/>
      <c r="AK67" s="9"/>
    </row>
    <row r="68" spans="1:37" ht="14.25" customHeight="1">
      <c r="A68" s="28"/>
      <c r="B68" s="58" t="s">
        <v>83</v>
      </c>
      <c r="C68" s="57" t="s">
        <v>83</v>
      </c>
      <c r="D68" s="10"/>
      <c r="E68" s="10"/>
      <c r="F68" s="10"/>
      <c r="G68" s="10"/>
      <c r="H68" s="11"/>
      <c r="I68" s="53" t="str">
        <f t="array" aca="1" ref="I68" ca="1">IFERROR(
    INDEX(データ集約!A:ZZ, MATCH(D6, データ集約!C:C, 0), MATCH("聴力", データ集約!1:1, 0)),
    ""
)</f>
        <v/>
      </c>
      <c r="J68" s="10"/>
      <c r="K68" s="10"/>
      <c r="L68" s="10"/>
      <c r="M68" s="10"/>
      <c r="N68" s="10"/>
      <c r="O68" s="11"/>
      <c r="P68" s="8"/>
      <c r="Q68" s="8"/>
      <c r="R68" s="8"/>
      <c r="S68" s="8"/>
      <c r="T68" s="8"/>
      <c r="U68" s="8"/>
      <c r="V68" s="8"/>
      <c r="W68" s="8"/>
      <c r="X68" s="8"/>
      <c r="Y68" s="8"/>
      <c r="Z68" s="8"/>
      <c r="AA68" s="9"/>
      <c r="AB68" s="8"/>
      <c r="AC68" s="8"/>
      <c r="AD68" s="8"/>
      <c r="AE68" s="8"/>
      <c r="AF68" s="8"/>
      <c r="AG68" s="8"/>
      <c r="AH68" s="8"/>
      <c r="AI68" s="8"/>
      <c r="AJ68" s="8"/>
      <c r="AK68" s="9"/>
    </row>
    <row r="69" spans="1:37" ht="14.25" customHeight="1">
      <c r="A69" s="29"/>
      <c r="B69" s="11"/>
      <c r="C69" s="57" t="s">
        <v>84</v>
      </c>
      <c r="D69" s="10"/>
      <c r="E69" s="10"/>
      <c r="F69" s="10"/>
      <c r="G69" s="10"/>
      <c r="H69" s="11"/>
      <c r="I69" s="53" t="str">
        <f t="array" aca="1" ref="I69" ca="1">IFERROR(
    INDEX(データ集約!A:ZZ, MATCH(D6, データ集約!C:C, 0), MATCH("補聴器等", データ集約!1:1, 0)),
    ""
)</f>
        <v/>
      </c>
      <c r="J69" s="10"/>
      <c r="K69" s="10"/>
      <c r="L69" s="10"/>
      <c r="M69" s="10"/>
      <c r="N69" s="10"/>
      <c r="O69" s="11"/>
      <c r="P69" s="10"/>
      <c r="Q69" s="10"/>
      <c r="R69" s="10"/>
      <c r="S69" s="10"/>
      <c r="T69" s="10"/>
      <c r="U69" s="10"/>
      <c r="V69" s="10"/>
      <c r="W69" s="10"/>
      <c r="X69" s="10"/>
      <c r="Y69" s="10"/>
      <c r="Z69" s="10"/>
      <c r="AA69" s="11"/>
      <c r="AB69" s="10"/>
      <c r="AC69" s="10"/>
      <c r="AD69" s="10"/>
      <c r="AE69" s="10"/>
      <c r="AF69" s="10"/>
      <c r="AG69" s="10"/>
      <c r="AH69" s="10"/>
      <c r="AI69" s="10"/>
      <c r="AJ69" s="10"/>
      <c r="AK69" s="11"/>
    </row>
    <row r="70" spans="1:37" ht="14.25" customHeight="1">
      <c r="A70" s="27" t="s">
        <v>85</v>
      </c>
      <c r="B70" s="34" t="s">
        <v>86</v>
      </c>
      <c r="C70" s="10"/>
      <c r="D70" s="10"/>
      <c r="E70" s="10"/>
      <c r="F70" s="10"/>
      <c r="G70" s="10"/>
      <c r="H70" s="11"/>
      <c r="I70" s="60" t="str">
        <f t="array" aca="1" ref="I70" ca="1">IFERROR(
    INDEX(データ集約!A:ZZ, MATCH(D6, データ集約!C:C, 0), MATCH("寝返り", データ集約!1:1, 0)),
    ""
)</f>
        <v/>
      </c>
      <c r="J70" s="10"/>
      <c r="K70" s="10"/>
      <c r="L70" s="10"/>
      <c r="M70" s="10"/>
      <c r="N70" s="10"/>
      <c r="O70" s="11"/>
      <c r="P70" s="7" t="str">
        <f t="array" aca="1" ref="P70" ca="1">IFERROR(
    INDEX(データ集約!A:ZZ, MATCH(D6, データ集約!C:C, 0), MATCH("基本動作｜特記事項", データ集約!1:1, 0)),
    ""
)</f>
        <v/>
      </c>
      <c r="Q70" s="8"/>
      <c r="R70" s="8"/>
      <c r="S70" s="8"/>
      <c r="T70" s="8"/>
      <c r="U70" s="8"/>
      <c r="V70" s="8"/>
      <c r="W70" s="8"/>
      <c r="X70" s="8"/>
      <c r="Y70" s="8"/>
      <c r="Z70" s="8"/>
      <c r="AA70" s="9"/>
      <c r="AB70" s="7"/>
      <c r="AC70" s="8"/>
      <c r="AD70" s="8"/>
      <c r="AE70" s="8"/>
      <c r="AF70" s="8"/>
      <c r="AG70" s="8"/>
      <c r="AH70" s="8"/>
      <c r="AI70" s="8"/>
      <c r="AJ70" s="8"/>
      <c r="AK70" s="9"/>
    </row>
    <row r="71" spans="1:37" ht="14.25" customHeight="1">
      <c r="A71" s="28"/>
      <c r="B71" s="34" t="s">
        <v>87</v>
      </c>
      <c r="C71" s="10"/>
      <c r="D71" s="10"/>
      <c r="E71" s="10"/>
      <c r="F71" s="10"/>
      <c r="G71" s="10"/>
      <c r="H71" s="11"/>
      <c r="I71" s="60" t="str">
        <f t="array" aca="1" ref="I71" ca="1">IFERROR(
    INDEX(データ集約!A:ZZ, MATCH(D6, データ集約!C:C, 0), MATCH("起き上がり", データ集約!1:1, 0)),
    ""
)</f>
        <v/>
      </c>
      <c r="J71" s="10"/>
      <c r="K71" s="10"/>
      <c r="L71" s="10"/>
      <c r="M71" s="10"/>
      <c r="N71" s="10"/>
      <c r="O71" s="11"/>
      <c r="P71" s="8"/>
      <c r="Q71" s="8"/>
      <c r="R71" s="8"/>
      <c r="S71" s="8"/>
      <c r="T71" s="8"/>
      <c r="U71" s="8"/>
      <c r="V71" s="8"/>
      <c r="W71" s="8"/>
      <c r="X71" s="8"/>
      <c r="Y71" s="8"/>
      <c r="Z71" s="8"/>
      <c r="AA71" s="9"/>
      <c r="AB71" s="8"/>
      <c r="AC71" s="8"/>
      <c r="AD71" s="8"/>
      <c r="AE71" s="8"/>
      <c r="AF71" s="8"/>
      <c r="AG71" s="8"/>
      <c r="AH71" s="8"/>
      <c r="AI71" s="8"/>
      <c r="AJ71" s="8"/>
      <c r="AK71" s="9"/>
    </row>
    <row r="72" spans="1:37" ht="14.25" customHeight="1">
      <c r="A72" s="28"/>
      <c r="B72" s="34" t="s">
        <v>88</v>
      </c>
      <c r="C72" s="10"/>
      <c r="D72" s="10"/>
      <c r="E72" s="10"/>
      <c r="F72" s="10"/>
      <c r="G72" s="10"/>
      <c r="H72" s="11"/>
      <c r="I72" s="60" t="str">
        <f t="array" aca="1" ref="I72" ca="1">IFERROR(
    INDEX(データ集約!A:ZZ, MATCH(D6, データ集約!C:C, 0), MATCH("座位", データ集約!1:1, 0)),
    ""
)</f>
        <v/>
      </c>
      <c r="J72" s="10"/>
      <c r="K72" s="10"/>
      <c r="L72" s="10"/>
      <c r="M72" s="10"/>
      <c r="N72" s="10"/>
      <c r="O72" s="11"/>
      <c r="P72" s="8"/>
      <c r="Q72" s="8"/>
      <c r="R72" s="8"/>
      <c r="S72" s="8"/>
      <c r="T72" s="8"/>
      <c r="U72" s="8"/>
      <c r="V72" s="8"/>
      <c r="W72" s="8"/>
      <c r="X72" s="8"/>
      <c r="Y72" s="8"/>
      <c r="Z72" s="8"/>
      <c r="AA72" s="9"/>
      <c r="AB72" s="8"/>
      <c r="AC72" s="8"/>
      <c r="AD72" s="8"/>
      <c r="AE72" s="8"/>
      <c r="AF72" s="8"/>
      <c r="AG72" s="8"/>
      <c r="AH72" s="8"/>
      <c r="AI72" s="8"/>
      <c r="AJ72" s="8"/>
      <c r="AK72" s="9"/>
    </row>
    <row r="73" spans="1:37" ht="14.25" customHeight="1">
      <c r="A73" s="28"/>
      <c r="B73" s="34" t="s">
        <v>89</v>
      </c>
      <c r="C73" s="10"/>
      <c r="D73" s="10"/>
      <c r="E73" s="10"/>
      <c r="F73" s="10"/>
      <c r="G73" s="10"/>
      <c r="H73" s="11"/>
      <c r="I73" s="60" t="str">
        <f t="array" aca="1" ref="I73" ca="1">IFERROR(
    INDEX(データ集約!A:ZZ, MATCH(D6, データ集約!C:C, 0), MATCH("立ち上がり", データ集約!1:1, 0)),
    ""
)</f>
        <v/>
      </c>
      <c r="J73" s="10"/>
      <c r="K73" s="10"/>
      <c r="L73" s="10"/>
      <c r="M73" s="10"/>
      <c r="N73" s="10"/>
      <c r="O73" s="11"/>
      <c r="P73" s="8"/>
      <c r="Q73" s="8"/>
      <c r="R73" s="8"/>
      <c r="S73" s="8"/>
      <c r="T73" s="8"/>
      <c r="U73" s="8"/>
      <c r="V73" s="8"/>
      <c r="W73" s="8"/>
      <c r="X73" s="8"/>
      <c r="Y73" s="8"/>
      <c r="Z73" s="8"/>
      <c r="AA73" s="9"/>
      <c r="AB73" s="8"/>
      <c r="AC73" s="8"/>
      <c r="AD73" s="8"/>
      <c r="AE73" s="8"/>
      <c r="AF73" s="8"/>
      <c r="AG73" s="8"/>
      <c r="AH73" s="8"/>
      <c r="AI73" s="8"/>
      <c r="AJ73" s="8"/>
      <c r="AK73" s="9"/>
    </row>
    <row r="74" spans="1:37" ht="14.25" customHeight="1">
      <c r="A74" s="28"/>
      <c r="B74" s="34" t="s">
        <v>90</v>
      </c>
      <c r="C74" s="10"/>
      <c r="D74" s="10"/>
      <c r="E74" s="10"/>
      <c r="F74" s="10"/>
      <c r="G74" s="10"/>
      <c r="H74" s="11"/>
      <c r="I74" s="60" t="str">
        <f t="array" aca="1" ref="I74" ca="1">IFERROR(
    INDEX(データ集約!A:ZZ, MATCH(D6, データ集約!C:C, 0), MATCH("立位", データ集約!1:1, 0)),
    ""
)</f>
        <v/>
      </c>
      <c r="J74" s="10"/>
      <c r="K74" s="10"/>
      <c r="L74" s="10"/>
      <c r="M74" s="10"/>
      <c r="N74" s="10"/>
      <c r="O74" s="11"/>
      <c r="P74" s="8"/>
      <c r="Q74" s="8"/>
      <c r="R74" s="8"/>
      <c r="S74" s="8"/>
      <c r="T74" s="8"/>
      <c r="U74" s="8"/>
      <c r="V74" s="8"/>
      <c r="W74" s="8"/>
      <c r="X74" s="8"/>
      <c r="Y74" s="8"/>
      <c r="Z74" s="8"/>
      <c r="AA74" s="9"/>
      <c r="AB74" s="8"/>
      <c r="AC74" s="8"/>
      <c r="AD74" s="8"/>
      <c r="AE74" s="8"/>
      <c r="AF74" s="8"/>
      <c r="AG74" s="8"/>
      <c r="AH74" s="8"/>
      <c r="AI74" s="8"/>
      <c r="AJ74" s="8"/>
      <c r="AK74" s="9"/>
    </row>
    <row r="75" spans="1:37" ht="14.25" customHeight="1">
      <c r="A75" s="28"/>
      <c r="B75" s="34" t="s">
        <v>91</v>
      </c>
      <c r="C75" s="10"/>
      <c r="D75" s="10"/>
      <c r="E75" s="10"/>
      <c r="F75" s="10"/>
      <c r="G75" s="10"/>
      <c r="H75" s="11"/>
      <c r="I75" s="60" t="str">
        <f t="array" aca="1" ref="I75" ca="1">IFERROR(
    INDEX(データ集約!A:ZZ, MATCH(D6, データ集約!C:C, 0), MATCH("移乗", データ集約!1:1, 0)),
    ""
)</f>
        <v/>
      </c>
      <c r="J75" s="10"/>
      <c r="K75" s="10"/>
      <c r="L75" s="10"/>
      <c r="M75" s="10"/>
      <c r="N75" s="10"/>
      <c r="O75" s="11"/>
      <c r="P75" s="8"/>
      <c r="Q75" s="8"/>
      <c r="R75" s="8"/>
      <c r="S75" s="8"/>
      <c r="T75" s="8"/>
      <c r="U75" s="8"/>
      <c r="V75" s="8"/>
      <c r="W75" s="8"/>
      <c r="X75" s="8"/>
      <c r="Y75" s="8"/>
      <c r="Z75" s="8"/>
      <c r="AA75" s="9"/>
      <c r="AB75" s="8"/>
      <c r="AC75" s="8"/>
      <c r="AD75" s="8"/>
      <c r="AE75" s="8"/>
      <c r="AF75" s="8"/>
      <c r="AG75" s="8"/>
      <c r="AH75" s="8"/>
      <c r="AI75" s="8"/>
      <c r="AJ75" s="8"/>
      <c r="AK75" s="9"/>
    </row>
    <row r="76" spans="1:37" ht="14.25" customHeight="1">
      <c r="A76" s="28"/>
      <c r="B76" s="34" t="s">
        <v>92</v>
      </c>
      <c r="C76" s="10"/>
      <c r="D76" s="10"/>
      <c r="E76" s="10"/>
      <c r="F76" s="10"/>
      <c r="G76" s="10"/>
      <c r="H76" s="11"/>
      <c r="I76" s="60" t="str">
        <f t="array" aca="1" ref="I76" ca="1">IFERROR(
    INDEX(データ集約!A:ZZ, MATCH(D6, データ集約!C:C, 0), MATCH("屋内移動", データ集約!1:1, 0)),
    ""
)</f>
        <v/>
      </c>
      <c r="J76" s="10"/>
      <c r="K76" s="10"/>
      <c r="L76" s="10"/>
      <c r="M76" s="10"/>
      <c r="N76" s="10"/>
      <c r="O76" s="11"/>
      <c r="P76" s="8"/>
      <c r="Q76" s="8"/>
      <c r="R76" s="8"/>
      <c r="S76" s="8"/>
      <c r="T76" s="8"/>
      <c r="U76" s="8"/>
      <c r="V76" s="8"/>
      <c r="W76" s="8"/>
      <c r="X76" s="8"/>
      <c r="Y76" s="8"/>
      <c r="Z76" s="8"/>
      <c r="AA76" s="9"/>
      <c r="AB76" s="8"/>
      <c r="AC76" s="8"/>
      <c r="AD76" s="8"/>
      <c r="AE76" s="8"/>
      <c r="AF76" s="8"/>
      <c r="AG76" s="8"/>
      <c r="AH76" s="8"/>
      <c r="AI76" s="8"/>
      <c r="AJ76" s="8"/>
      <c r="AK76" s="9"/>
    </row>
    <row r="77" spans="1:37" ht="14.25" customHeight="1">
      <c r="A77" s="28"/>
      <c r="B77" s="34" t="s">
        <v>93</v>
      </c>
      <c r="C77" s="10"/>
      <c r="D77" s="10"/>
      <c r="E77" s="10"/>
      <c r="F77" s="10"/>
      <c r="G77" s="10"/>
      <c r="H77" s="11"/>
      <c r="I77" s="60" t="str">
        <f t="array" aca="1" ref="I77" ca="1">IFERROR(
    INDEX(データ集約!A:ZZ, MATCH(D6, データ集約!C:C, 0), MATCH("屋内移動｜使用用具", データ集約!1:1, 0)),
    ""
)</f>
        <v/>
      </c>
      <c r="J77" s="10"/>
      <c r="K77" s="10"/>
      <c r="L77" s="10"/>
      <c r="M77" s="10"/>
      <c r="N77" s="10"/>
      <c r="O77" s="11"/>
      <c r="P77" s="8"/>
      <c r="Q77" s="8"/>
      <c r="R77" s="8"/>
      <c r="S77" s="8"/>
      <c r="T77" s="8"/>
      <c r="U77" s="8"/>
      <c r="V77" s="8"/>
      <c r="W77" s="8"/>
      <c r="X77" s="8"/>
      <c r="Y77" s="8"/>
      <c r="Z77" s="8"/>
      <c r="AA77" s="9"/>
      <c r="AB77" s="8"/>
      <c r="AC77" s="8"/>
      <c r="AD77" s="8"/>
      <c r="AE77" s="8"/>
      <c r="AF77" s="8"/>
      <c r="AG77" s="8"/>
      <c r="AH77" s="8"/>
      <c r="AI77" s="8"/>
      <c r="AJ77" s="8"/>
      <c r="AK77" s="9"/>
    </row>
    <row r="78" spans="1:37" ht="14.25" customHeight="1">
      <c r="A78" s="28"/>
      <c r="B78" s="34" t="s">
        <v>94</v>
      </c>
      <c r="C78" s="10"/>
      <c r="D78" s="10"/>
      <c r="E78" s="10"/>
      <c r="F78" s="10"/>
      <c r="G78" s="10"/>
      <c r="H78" s="11"/>
      <c r="I78" s="53" t="str">
        <f t="array" aca="1" ref="I78" ca="1">IFERROR(
    INDEX(データ集約!A:ZZ, MATCH(D6, データ集約!C:C, 0), MATCH("屋外移動", データ集約!1:1, 0)),
    ""
)</f>
        <v/>
      </c>
      <c r="J78" s="10"/>
      <c r="K78" s="10"/>
      <c r="L78" s="10"/>
      <c r="M78" s="10"/>
      <c r="N78" s="10"/>
      <c r="O78" s="11"/>
      <c r="P78" s="8"/>
      <c r="Q78" s="8"/>
      <c r="R78" s="8"/>
      <c r="S78" s="8"/>
      <c r="T78" s="8"/>
      <c r="U78" s="8"/>
      <c r="V78" s="8"/>
      <c r="W78" s="8"/>
      <c r="X78" s="8"/>
      <c r="Y78" s="8"/>
      <c r="Z78" s="8"/>
      <c r="AA78" s="9"/>
      <c r="AB78" s="8"/>
      <c r="AC78" s="8"/>
      <c r="AD78" s="8"/>
      <c r="AE78" s="8"/>
      <c r="AF78" s="8"/>
      <c r="AG78" s="8"/>
      <c r="AH78" s="8"/>
      <c r="AI78" s="8"/>
      <c r="AJ78" s="8"/>
      <c r="AK78" s="9"/>
    </row>
    <row r="79" spans="1:37" ht="14.25" customHeight="1">
      <c r="A79" s="29"/>
      <c r="B79" s="34" t="s">
        <v>95</v>
      </c>
      <c r="C79" s="10"/>
      <c r="D79" s="10"/>
      <c r="E79" s="10"/>
      <c r="F79" s="10"/>
      <c r="G79" s="10"/>
      <c r="H79" s="11"/>
      <c r="I79" s="53" t="str">
        <f t="array" aca="1" ref="I79" ca="1">IFERROR(
    INDEX(データ集約!A:ZZ, MATCH(D6, データ集約!C:C, 0), MATCH("屋外移動｜使用用具", データ集約!1:1, 0)),
    ""
)</f>
        <v/>
      </c>
      <c r="J79" s="10"/>
      <c r="K79" s="10"/>
      <c r="L79" s="10"/>
      <c r="M79" s="10"/>
      <c r="N79" s="10"/>
      <c r="O79" s="11"/>
      <c r="P79" s="10"/>
      <c r="Q79" s="10"/>
      <c r="R79" s="10"/>
      <c r="S79" s="10"/>
      <c r="T79" s="10"/>
      <c r="U79" s="10"/>
      <c r="V79" s="10"/>
      <c r="W79" s="10"/>
      <c r="X79" s="10"/>
      <c r="Y79" s="10"/>
      <c r="Z79" s="10"/>
      <c r="AA79" s="11"/>
      <c r="AB79" s="10"/>
      <c r="AC79" s="10"/>
      <c r="AD79" s="10"/>
      <c r="AE79" s="10"/>
      <c r="AF79" s="10"/>
      <c r="AG79" s="10"/>
      <c r="AH79" s="10"/>
      <c r="AI79" s="10"/>
      <c r="AJ79" s="10"/>
      <c r="AK79" s="11"/>
    </row>
    <row r="80" spans="1:37" ht="14.25" customHeight="1">
      <c r="A80" s="27" t="s">
        <v>96</v>
      </c>
      <c r="B80" s="59" t="s">
        <v>97</v>
      </c>
      <c r="C80" s="57" t="s">
        <v>98</v>
      </c>
      <c r="D80" s="10"/>
      <c r="E80" s="10"/>
      <c r="F80" s="10"/>
      <c r="G80" s="10"/>
      <c r="H80" s="11"/>
      <c r="I80" s="53" t="str">
        <f t="array" aca="1" ref="I80" ca="1">IFERROR(
    INDEX(データ集約!A:ZZ, MATCH(D6, データ集約!C:C, 0), MATCH("食事方法", データ集約!1:1, 0)),
    ""
)</f>
        <v/>
      </c>
      <c r="J80" s="10"/>
      <c r="K80" s="10"/>
      <c r="L80" s="10"/>
      <c r="M80" s="10"/>
      <c r="N80" s="10"/>
      <c r="O80" s="11"/>
      <c r="P80" s="7" t="str">
        <f t="array" aca="1" ref="P80" ca="1">IFERROR(
    INDEX(データ集約!A:ZZ, MATCH(D6, データ集約!C:C, 0), MATCH("食事｜特記事項", データ集約!1:1, 0)),
    ""
)</f>
        <v/>
      </c>
      <c r="Q80" s="8"/>
      <c r="R80" s="8"/>
      <c r="S80" s="8"/>
      <c r="T80" s="8"/>
      <c r="U80" s="8"/>
      <c r="V80" s="8"/>
      <c r="W80" s="8"/>
      <c r="X80" s="8"/>
      <c r="Y80" s="8"/>
      <c r="Z80" s="8"/>
      <c r="AA80" s="9"/>
      <c r="AB80" s="7"/>
      <c r="AC80" s="8"/>
      <c r="AD80" s="8"/>
      <c r="AE80" s="8"/>
      <c r="AF80" s="8"/>
      <c r="AG80" s="8"/>
      <c r="AH80" s="8"/>
      <c r="AI80" s="8"/>
      <c r="AJ80" s="8"/>
      <c r="AK80" s="9"/>
    </row>
    <row r="81" spans="1:37" ht="14.25" customHeight="1">
      <c r="A81" s="28"/>
      <c r="B81" s="9"/>
      <c r="C81" s="57" t="s">
        <v>99</v>
      </c>
      <c r="D81" s="10"/>
      <c r="E81" s="10"/>
      <c r="F81" s="10"/>
      <c r="G81" s="10"/>
      <c r="H81" s="11"/>
      <c r="I81" s="53" t="str">
        <f t="array" aca="1" ref="I81" ca="1">IFERROR(
    INDEX(データ集約!A:ZZ, MATCH(D6, データ集約!C:C, 0), MATCH("食事動作", データ集約!1:1, 0)),
    ""
)</f>
        <v/>
      </c>
      <c r="J81" s="10"/>
      <c r="K81" s="10"/>
      <c r="L81" s="10"/>
      <c r="M81" s="10"/>
      <c r="N81" s="10"/>
      <c r="O81" s="11"/>
      <c r="P81" s="8"/>
      <c r="Q81" s="8"/>
      <c r="R81" s="8"/>
      <c r="S81" s="8"/>
      <c r="T81" s="8"/>
      <c r="U81" s="8"/>
      <c r="V81" s="8"/>
      <c r="W81" s="8"/>
      <c r="X81" s="8"/>
      <c r="Y81" s="8"/>
      <c r="Z81" s="8"/>
      <c r="AA81" s="9"/>
      <c r="AB81" s="8"/>
      <c r="AC81" s="8"/>
      <c r="AD81" s="8"/>
      <c r="AE81" s="8"/>
      <c r="AF81" s="8"/>
      <c r="AG81" s="8"/>
      <c r="AH81" s="8"/>
      <c r="AI81" s="8"/>
      <c r="AJ81" s="8"/>
      <c r="AK81" s="9"/>
    </row>
    <row r="82" spans="1:37" ht="14.25" customHeight="1">
      <c r="A82" s="28"/>
      <c r="B82" s="9"/>
      <c r="C82" s="57" t="s">
        <v>100</v>
      </c>
      <c r="D82" s="10"/>
      <c r="E82" s="10"/>
      <c r="F82" s="10"/>
      <c r="G82" s="10"/>
      <c r="H82" s="11"/>
      <c r="I82" s="53" t="str">
        <f t="array" aca="1" ref="I82" ca="1">IFERROR(
    INDEX(データ集約!A:ZZ, MATCH(D6, データ集約!C:C, 0), MATCH("嚥下", データ集約!1:1, 0)),
    ""
)</f>
        <v/>
      </c>
      <c r="J82" s="10"/>
      <c r="K82" s="10"/>
      <c r="L82" s="10"/>
      <c r="M82" s="10"/>
      <c r="N82" s="10"/>
      <c r="O82" s="11"/>
      <c r="P82" s="8"/>
      <c r="Q82" s="8"/>
      <c r="R82" s="8"/>
      <c r="S82" s="8"/>
      <c r="T82" s="8"/>
      <c r="U82" s="8"/>
      <c r="V82" s="8"/>
      <c r="W82" s="8"/>
      <c r="X82" s="8"/>
      <c r="Y82" s="8"/>
      <c r="Z82" s="8"/>
      <c r="AA82" s="9"/>
      <c r="AB82" s="8"/>
      <c r="AC82" s="8"/>
      <c r="AD82" s="8"/>
      <c r="AE82" s="8"/>
      <c r="AF82" s="8"/>
      <c r="AG82" s="8"/>
      <c r="AH82" s="8"/>
      <c r="AI82" s="8"/>
      <c r="AJ82" s="8"/>
      <c r="AK82" s="9"/>
    </row>
    <row r="83" spans="1:37" ht="14.25" customHeight="1">
      <c r="A83" s="28"/>
      <c r="B83" s="9"/>
      <c r="C83" s="61" t="s">
        <v>101</v>
      </c>
      <c r="D83" s="9"/>
      <c r="E83" s="57" t="s">
        <v>102</v>
      </c>
      <c r="F83" s="10"/>
      <c r="G83" s="10"/>
      <c r="H83" s="11"/>
      <c r="I83" s="53" t="str">
        <f t="array" aca="1" ref="I83" ca="1">IFERROR(
    INDEX(データ集約!A:ZZ, MATCH(D6, データ集約!C:C, 0), MATCH("食事形態｜主食", データ集約!1:1, 0)),
    ""
)</f>
        <v/>
      </c>
      <c r="J83" s="10"/>
      <c r="K83" s="10"/>
      <c r="L83" s="10"/>
      <c r="M83" s="10"/>
      <c r="N83" s="10"/>
      <c r="O83" s="11"/>
      <c r="P83" s="8"/>
      <c r="Q83" s="8"/>
      <c r="R83" s="8"/>
      <c r="S83" s="8"/>
      <c r="T83" s="8"/>
      <c r="U83" s="8"/>
      <c r="V83" s="8"/>
      <c r="W83" s="8"/>
      <c r="X83" s="8"/>
      <c r="Y83" s="8"/>
      <c r="Z83" s="8"/>
      <c r="AA83" s="9"/>
      <c r="AB83" s="8"/>
      <c r="AC83" s="8"/>
      <c r="AD83" s="8"/>
      <c r="AE83" s="8"/>
      <c r="AF83" s="8"/>
      <c r="AG83" s="8"/>
      <c r="AH83" s="8"/>
      <c r="AI83" s="8"/>
      <c r="AJ83" s="8"/>
      <c r="AK83" s="9"/>
    </row>
    <row r="84" spans="1:37" ht="14.25" customHeight="1">
      <c r="A84" s="28"/>
      <c r="B84" s="9"/>
      <c r="C84" s="8"/>
      <c r="D84" s="9"/>
      <c r="E84" s="57" t="s">
        <v>103</v>
      </c>
      <c r="F84" s="10"/>
      <c r="G84" s="10"/>
      <c r="H84" s="11"/>
      <c r="I84" s="53" t="str">
        <f t="array" aca="1" ref="I84" ca="1">IFERROR(
    INDEX(データ集約!A:ZZ, MATCH(D6, データ集約!C:C, 0), MATCH("食事形態｜副食", データ集約!1:1, 0)),
    ""
)</f>
        <v/>
      </c>
      <c r="J84" s="10"/>
      <c r="K84" s="10"/>
      <c r="L84" s="10"/>
      <c r="M84" s="10"/>
      <c r="N84" s="10"/>
      <c r="O84" s="11"/>
      <c r="P84" s="8"/>
      <c r="Q84" s="8"/>
      <c r="R84" s="8"/>
      <c r="S84" s="8"/>
      <c r="T84" s="8"/>
      <c r="U84" s="8"/>
      <c r="V84" s="8"/>
      <c r="W84" s="8"/>
      <c r="X84" s="8"/>
      <c r="Y84" s="8"/>
      <c r="Z84" s="8"/>
      <c r="AA84" s="9"/>
      <c r="AB84" s="8"/>
      <c r="AC84" s="8"/>
      <c r="AD84" s="8"/>
      <c r="AE84" s="8"/>
      <c r="AF84" s="8"/>
      <c r="AG84" s="8"/>
      <c r="AH84" s="8"/>
      <c r="AI84" s="8"/>
      <c r="AJ84" s="8"/>
      <c r="AK84" s="9"/>
    </row>
    <row r="85" spans="1:37" ht="14.25" customHeight="1">
      <c r="A85" s="28"/>
      <c r="B85" s="9"/>
      <c r="C85" s="10"/>
      <c r="D85" s="11"/>
      <c r="E85" s="57" t="s">
        <v>104</v>
      </c>
      <c r="F85" s="10"/>
      <c r="G85" s="10"/>
      <c r="H85" s="11"/>
      <c r="I85" s="62" t="str">
        <f t="array" aca="1" ref="I85" ca="1">IFERROR(
    INDEX(データ集約!A:ZZ, MATCH(D6, データ集約!C:C, 0), MATCH("水分とろみ", データ集約!1:1, 0)),
    ""
)</f>
        <v/>
      </c>
      <c r="J85" s="10"/>
      <c r="K85" s="10"/>
      <c r="L85" s="10"/>
      <c r="M85" s="10"/>
      <c r="N85" s="10"/>
      <c r="O85" s="11"/>
      <c r="P85" s="8"/>
      <c r="Q85" s="8"/>
      <c r="R85" s="8"/>
      <c r="S85" s="8"/>
      <c r="T85" s="8"/>
      <c r="U85" s="8"/>
      <c r="V85" s="8"/>
      <c r="W85" s="8"/>
      <c r="X85" s="8"/>
      <c r="Y85" s="8"/>
      <c r="Z85" s="8"/>
      <c r="AA85" s="9"/>
      <c r="AB85" s="8"/>
      <c r="AC85" s="8"/>
      <c r="AD85" s="8"/>
      <c r="AE85" s="8"/>
      <c r="AF85" s="8"/>
      <c r="AG85" s="8"/>
      <c r="AH85" s="8"/>
      <c r="AI85" s="8"/>
      <c r="AJ85" s="8"/>
      <c r="AK85" s="9"/>
    </row>
    <row r="86" spans="1:37" ht="14.25" customHeight="1">
      <c r="A86" s="28"/>
      <c r="B86" s="9"/>
      <c r="C86" s="57" t="s">
        <v>105</v>
      </c>
      <c r="D86" s="10"/>
      <c r="E86" s="10"/>
      <c r="F86" s="10"/>
      <c r="G86" s="10"/>
      <c r="H86" s="11"/>
      <c r="I86" s="53" t="str">
        <f t="array" aca="1" ref="I86" ca="1">IFERROR(
    INDEX(データ集約!A:ZZ, MATCH(D6, データ集約!C:C, 0), MATCH("食事制限", データ集約!1:1, 0)),
    ""
)</f>
        <v/>
      </c>
      <c r="J86" s="10"/>
      <c r="K86" s="10"/>
      <c r="L86" s="10"/>
      <c r="M86" s="10"/>
      <c r="N86" s="10"/>
      <c r="O86" s="11"/>
      <c r="P86" s="8"/>
      <c r="Q86" s="8"/>
      <c r="R86" s="8"/>
      <c r="S86" s="8"/>
      <c r="T86" s="8"/>
      <c r="U86" s="8"/>
      <c r="V86" s="8"/>
      <c r="W86" s="8"/>
      <c r="X86" s="8"/>
      <c r="Y86" s="8"/>
      <c r="Z86" s="8"/>
      <c r="AA86" s="9"/>
      <c r="AB86" s="8"/>
      <c r="AC86" s="8"/>
      <c r="AD86" s="8"/>
      <c r="AE86" s="8"/>
      <c r="AF86" s="8"/>
      <c r="AG86" s="8"/>
      <c r="AH86" s="8"/>
      <c r="AI86" s="8"/>
      <c r="AJ86" s="8"/>
      <c r="AK86" s="9"/>
    </row>
    <row r="87" spans="1:37" ht="14.25" customHeight="1">
      <c r="A87" s="28"/>
      <c r="B87" s="11"/>
      <c r="C87" s="57" t="s">
        <v>106</v>
      </c>
      <c r="D87" s="10"/>
      <c r="E87" s="10"/>
      <c r="F87" s="10"/>
      <c r="G87" s="10"/>
      <c r="H87" s="11"/>
      <c r="I87" s="53" t="str">
        <f t="array" aca="1" ref="I87" ca="1">IFERROR(
    INDEX(データ集約!A:ZZ, MATCH(D6, データ集約!C:C, 0), MATCH("道具・用具", データ集約!1:1, 0)),
    ""
)</f>
        <v/>
      </c>
      <c r="J87" s="10"/>
      <c r="K87" s="10"/>
      <c r="L87" s="10"/>
      <c r="M87" s="10"/>
      <c r="N87" s="10"/>
      <c r="O87" s="11"/>
      <c r="P87" s="10"/>
      <c r="Q87" s="10"/>
      <c r="R87" s="10"/>
      <c r="S87" s="10"/>
      <c r="T87" s="10"/>
      <c r="U87" s="10"/>
      <c r="V87" s="10"/>
      <c r="W87" s="10"/>
      <c r="X87" s="10"/>
      <c r="Y87" s="10"/>
      <c r="Z87" s="10"/>
      <c r="AA87" s="11"/>
      <c r="AB87" s="10"/>
      <c r="AC87" s="10"/>
      <c r="AD87" s="10"/>
      <c r="AE87" s="10"/>
      <c r="AF87" s="10"/>
      <c r="AG87" s="10"/>
      <c r="AH87" s="10"/>
      <c r="AI87" s="10"/>
      <c r="AJ87" s="10"/>
      <c r="AK87" s="11"/>
    </row>
    <row r="88" spans="1:37" ht="14.25" customHeight="1">
      <c r="A88" s="28"/>
      <c r="B88" s="59" t="s">
        <v>107</v>
      </c>
      <c r="C88" s="57" t="s">
        <v>108</v>
      </c>
      <c r="D88" s="10"/>
      <c r="E88" s="10"/>
      <c r="F88" s="10"/>
      <c r="G88" s="10"/>
      <c r="H88" s="11"/>
      <c r="I88" s="53" t="str">
        <f t="array" aca="1" ref="I88" ca="1">IFERROR(
    INDEX(データ集約!A:ZZ, MATCH(D6, データ集約!C:C, 0), MATCH("口腔衛生", データ集約!1:1, 0)),
    ""
)</f>
        <v/>
      </c>
      <c r="J88" s="10"/>
      <c r="K88" s="10"/>
      <c r="L88" s="10"/>
      <c r="M88" s="10"/>
      <c r="N88" s="10"/>
      <c r="O88" s="11"/>
      <c r="P88" s="7" t="str">
        <f t="array" aca="1" ref="P88" ca="1">IFERROR(
    INDEX(データ集約!A:ZZ, MATCH(D6, データ集約!C:C, 0), MATCH("口腔｜特記事項", データ集約!1:1, 0)),
    ""
)</f>
        <v/>
      </c>
      <c r="Q88" s="8"/>
      <c r="R88" s="8"/>
      <c r="S88" s="8"/>
      <c r="T88" s="8"/>
      <c r="U88" s="8"/>
      <c r="V88" s="8"/>
      <c r="W88" s="8"/>
      <c r="X88" s="8"/>
      <c r="Y88" s="8"/>
      <c r="Z88" s="8"/>
      <c r="AA88" s="9"/>
      <c r="AB88" s="7"/>
      <c r="AC88" s="8"/>
      <c r="AD88" s="8"/>
      <c r="AE88" s="8"/>
      <c r="AF88" s="8"/>
      <c r="AG88" s="8"/>
      <c r="AH88" s="8"/>
      <c r="AI88" s="8"/>
      <c r="AJ88" s="8"/>
      <c r="AK88" s="9"/>
    </row>
    <row r="89" spans="1:37" ht="14.25" customHeight="1">
      <c r="A89" s="28"/>
      <c r="B89" s="9"/>
      <c r="C89" s="57" t="s">
        <v>109</v>
      </c>
      <c r="D89" s="10"/>
      <c r="E89" s="10"/>
      <c r="F89" s="10"/>
      <c r="G89" s="10"/>
      <c r="H89" s="11"/>
      <c r="I89" s="53" t="str">
        <f t="array" aca="1" ref="I89" ca="1">IFERROR(
    INDEX(データ集約!A:ZZ, MATCH(D6, データ集約!C:C, 0), MATCH("自歯の有無", データ集約!1:1, 0)),
    ""
)</f>
        <v/>
      </c>
      <c r="J89" s="10"/>
      <c r="K89" s="10"/>
      <c r="L89" s="10"/>
      <c r="M89" s="10"/>
      <c r="N89" s="10"/>
      <c r="O89" s="11"/>
      <c r="P89" s="8"/>
      <c r="Q89" s="8"/>
      <c r="R89" s="8"/>
      <c r="S89" s="8"/>
      <c r="T89" s="8"/>
      <c r="U89" s="8"/>
      <c r="V89" s="8"/>
      <c r="W89" s="8"/>
      <c r="X89" s="8"/>
      <c r="Y89" s="8"/>
      <c r="Z89" s="8"/>
      <c r="AA89" s="9"/>
      <c r="AB89" s="8"/>
      <c r="AC89" s="8"/>
      <c r="AD89" s="8"/>
      <c r="AE89" s="8"/>
      <c r="AF89" s="8"/>
      <c r="AG89" s="8"/>
      <c r="AH89" s="8"/>
      <c r="AI89" s="8"/>
      <c r="AJ89" s="8"/>
      <c r="AK89" s="9"/>
    </row>
    <row r="90" spans="1:37" ht="14.25" customHeight="1">
      <c r="A90" s="28"/>
      <c r="B90" s="9"/>
      <c r="C90" s="61" t="s">
        <v>110</v>
      </c>
      <c r="D90" s="9"/>
      <c r="E90" s="57" t="s">
        <v>111</v>
      </c>
      <c r="F90" s="10"/>
      <c r="G90" s="10"/>
      <c r="H90" s="11"/>
      <c r="I90" s="53" t="str">
        <f t="array" aca="1" ref="I90" ca="1">IFERROR(
    INDEX(データ集約!A:ZZ, MATCH(D6, データ集約!C:C, 0), MATCH("義歯の有無", データ集約!1:1, 0)),
    ""
)</f>
        <v/>
      </c>
      <c r="J90" s="10"/>
      <c r="K90" s="10"/>
      <c r="L90" s="53" t="str">
        <f t="array" aca="1" ref="L90" ca="1">IFERROR(
    INDEX(データ集約!A:ZZ, MATCH(D6, データ集約!C:C, 0), MATCH("義歯の種類", データ集約!1:1, 0)),
    ""
)</f>
        <v/>
      </c>
      <c r="M90" s="10"/>
      <c r="N90" s="10"/>
      <c r="O90" s="11"/>
      <c r="P90" s="8"/>
      <c r="Q90" s="8"/>
      <c r="R90" s="8"/>
      <c r="S90" s="8"/>
      <c r="T90" s="8"/>
      <c r="U90" s="8"/>
      <c r="V90" s="8"/>
      <c r="W90" s="8"/>
      <c r="X90" s="8"/>
      <c r="Y90" s="8"/>
      <c r="Z90" s="8"/>
      <c r="AA90" s="9"/>
      <c r="AB90" s="8"/>
      <c r="AC90" s="8"/>
      <c r="AD90" s="8"/>
      <c r="AE90" s="8"/>
      <c r="AF90" s="8"/>
      <c r="AG90" s="8"/>
      <c r="AH90" s="8"/>
      <c r="AI90" s="8"/>
      <c r="AJ90" s="8"/>
      <c r="AK90" s="9"/>
    </row>
    <row r="91" spans="1:37" ht="14.25" customHeight="1">
      <c r="A91" s="28"/>
      <c r="B91" s="11"/>
      <c r="C91" s="10"/>
      <c r="D91" s="11"/>
      <c r="E91" s="57" t="s">
        <v>112</v>
      </c>
      <c r="F91" s="10"/>
      <c r="G91" s="10"/>
      <c r="H91" s="11"/>
      <c r="I91" s="53" t="str">
        <f t="array" aca="1" ref="I91" ca="1">IFERROR(
    INDEX(データ集約!A:ZZ, MATCH(D6, データ集約!C:C, 0), MATCH("義歯の場所", データ集約!1:1, 0)),
    ""
)</f>
        <v/>
      </c>
      <c r="J91" s="10"/>
      <c r="K91" s="10"/>
      <c r="L91" s="10"/>
      <c r="M91" s="10"/>
      <c r="N91" s="10"/>
      <c r="O91" s="11"/>
      <c r="P91" s="10"/>
      <c r="Q91" s="10"/>
      <c r="R91" s="10"/>
      <c r="S91" s="10"/>
      <c r="T91" s="10"/>
      <c r="U91" s="10"/>
      <c r="V91" s="10"/>
      <c r="W91" s="10"/>
      <c r="X91" s="10"/>
      <c r="Y91" s="10"/>
      <c r="Z91" s="10"/>
      <c r="AA91" s="11"/>
      <c r="AB91" s="10"/>
      <c r="AC91" s="10"/>
      <c r="AD91" s="10"/>
      <c r="AE91" s="10"/>
      <c r="AF91" s="10"/>
      <c r="AG91" s="10"/>
      <c r="AH91" s="10"/>
      <c r="AI91" s="10"/>
      <c r="AJ91" s="10"/>
      <c r="AK91" s="11"/>
    </row>
    <row r="92" spans="1:37" ht="14.25" customHeight="1">
      <c r="A92" s="28"/>
      <c r="B92" s="58" t="s">
        <v>113</v>
      </c>
      <c r="C92" s="57" t="s">
        <v>114</v>
      </c>
      <c r="D92" s="10"/>
      <c r="E92" s="10"/>
      <c r="F92" s="10"/>
      <c r="G92" s="10"/>
      <c r="H92" s="11"/>
      <c r="I92" s="53" t="str">
        <f t="array" aca="1" ref="I92" ca="1">IFERROR(
    INDEX(データ集約!A:ZZ, MATCH(D6, データ集約!C:C, 0), MATCH("入浴動作", データ集約!1:1, 0)),
    ""
)</f>
        <v/>
      </c>
      <c r="J92" s="10"/>
      <c r="K92" s="10"/>
      <c r="L92" s="10"/>
      <c r="M92" s="10"/>
      <c r="N92" s="10"/>
      <c r="O92" s="11"/>
      <c r="P92" s="7" t="str">
        <f t="array" aca="1" ref="P92" ca="1">IFERROR(
    INDEX(データ集約!A:ZZ, MATCH(D6, データ集約!C:C, 0), MATCH("入浴・更衣｜特記事項", データ集約!1:1, 0)),
    ""
)</f>
        <v/>
      </c>
      <c r="Q92" s="8"/>
      <c r="R92" s="8"/>
      <c r="S92" s="8"/>
      <c r="T92" s="8"/>
      <c r="U92" s="8"/>
      <c r="V92" s="8"/>
      <c r="W92" s="8"/>
      <c r="X92" s="8"/>
      <c r="Y92" s="8"/>
      <c r="Z92" s="8"/>
      <c r="AA92" s="9"/>
      <c r="AB92" s="7"/>
      <c r="AC92" s="8"/>
      <c r="AD92" s="8"/>
      <c r="AE92" s="8"/>
      <c r="AF92" s="8"/>
      <c r="AG92" s="8"/>
      <c r="AH92" s="8"/>
      <c r="AI92" s="8"/>
      <c r="AJ92" s="8"/>
      <c r="AK92" s="9"/>
    </row>
    <row r="93" spans="1:37" ht="14.25" customHeight="1">
      <c r="A93" s="28"/>
      <c r="B93" s="9"/>
      <c r="C93" s="57" t="s">
        <v>101</v>
      </c>
      <c r="D93" s="10"/>
      <c r="E93" s="10"/>
      <c r="F93" s="10"/>
      <c r="G93" s="10"/>
      <c r="H93" s="11"/>
      <c r="I93" s="53" t="str">
        <f t="array" aca="1" ref="I93" ca="1">IFERROR(
    INDEX(データ集約!A:ZZ, MATCH(D6, データ集約!C:C, 0), MATCH("形態", データ集約!1:1, 0)),
    ""
)</f>
        <v/>
      </c>
      <c r="J93" s="10"/>
      <c r="K93" s="10"/>
      <c r="L93" s="10"/>
      <c r="M93" s="10"/>
      <c r="N93" s="10"/>
      <c r="O93" s="11"/>
      <c r="P93" s="8"/>
      <c r="Q93" s="8"/>
      <c r="R93" s="8"/>
      <c r="S93" s="8"/>
      <c r="T93" s="8"/>
      <c r="U93" s="8"/>
      <c r="V93" s="8"/>
      <c r="W93" s="8"/>
      <c r="X93" s="8"/>
      <c r="Y93" s="8"/>
      <c r="Z93" s="8"/>
      <c r="AA93" s="9"/>
      <c r="AB93" s="8"/>
      <c r="AC93" s="8"/>
      <c r="AD93" s="8"/>
      <c r="AE93" s="8"/>
      <c r="AF93" s="8"/>
      <c r="AG93" s="8"/>
      <c r="AH93" s="8"/>
      <c r="AI93" s="8"/>
      <c r="AJ93" s="8"/>
      <c r="AK93" s="9"/>
    </row>
    <row r="94" spans="1:37" ht="14.25" customHeight="1">
      <c r="A94" s="28"/>
      <c r="B94" s="11"/>
      <c r="C94" s="57" t="s">
        <v>115</v>
      </c>
      <c r="D94" s="10"/>
      <c r="E94" s="10"/>
      <c r="F94" s="10"/>
      <c r="G94" s="10"/>
      <c r="H94" s="11"/>
      <c r="I94" s="53" t="str">
        <f t="array" aca="1" ref="I94" ca="1">IFERROR(
    INDEX(データ集約!A:ZZ, MATCH(D6, データ集約!C:C, 0), MATCH("入浴の制限", データ集約!1:1, 0)),
    ""
)</f>
        <v/>
      </c>
      <c r="J94" s="10"/>
      <c r="K94" s="10"/>
      <c r="L94" s="10"/>
      <c r="M94" s="10"/>
      <c r="N94" s="10"/>
      <c r="O94" s="11"/>
      <c r="P94" s="8"/>
      <c r="Q94" s="8"/>
      <c r="R94" s="8"/>
      <c r="S94" s="8"/>
      <c r="T94" s="8"/>
      <c r="U94" s="8"/>
      <c r="V94" s="8"/>
      <c r="W94" s="8"/>
      <c r="X94" s="8"/>
      <c r="Y94" s="8"/>
      <c r="Z94" s="8"/>
      <c r="AA94" s="9"/>
      <c r="AB94" s="8"/>
      <c r="AC94" s="8"/>
      <c r="AD94" s="8"/>
      <c r="AE94" s="8"/>
      <c r="AF94" s="8"/>
      <c r="AG94" s="8"/>
      <c r="AH94" s="8"/>
      <c r="AI94" s="8"/>
      <c r="AJ94" s="8"/>
      <c r="AK94" s="9"/>
    </row>
    <row r="95" spans="1:37" ht="14.25" customHeight="1">
      <c r="A95" s="28"/>
      <c r="B95" s="59" t="s">
        <v>116</v>
      </c>
      <c r="C95" s="57" t="s">
        <v>117</v>
      </c>
      <c r="D95" s="10"/>
      <c r="E95" s="10"/>
      <c r="F95" s="10"/>
      <c r="G95" s="10"/>
      <c r="H95" s="11"/>
      <c r="I95" s="53" t="str">
        <f t="array" aca="1" ref="I95" ca="1">IFERROR(
    INDEX(データ集約!A:ZZ, MATCH(D6, データ集約!C:C, 0), MATCH("上衣", データ集約!1:1, 0)),
    ""
)</f>
        <v/>
      </c>
      <c r="J95" s="10"/>
      <c r="K95" s="10"/>
      <c r="L95" s="10"/>
      <c r="M95" s="10"/>
      <c r="N95" s="10"/>
      <c r="O95" s="11"/>
      <c r="P95" s="8"/>
      <c r="Q95" s="8"/>
      <c r="R95" s="8"/>
      <c r="S95" s="8"/>
      <c r="T95" s="8"/>
      <c r="U95" s="8"/>
      <c r="V95" s="8"/>
      <c r="W95" s="8"/>
      <c r="X95" s="8"/>
      <c r="Y95" s="8"/>
      <c r="Z95" s="8"/>
      <c r="AA95" s="9"/>
      <c r="AB95" s="8"/>
      <c r="AC95" s="8"/>
      <c r="AD95" s="8"/>
      <c r="AE95" s="8"/>
      <c r="AF95" s="8"/>
      <c r="AG95" s="8"/>
      <c r="AH95" s="8"/>
      <c r="AI95" s="8"/>
      <c r="AJ95" s="8"/>
      <c r="AK95" s="9"/>
    </row>
    <row r="96" spans="1:37" ht="14.25" customHeight="1">
      <c r="A96" s="28"/>
      <c r="B96" s="11"/>
      <c r="C96" s="57" t="s">
        <v>118</v>
      </c>
      <c r="D96" s="10"/>
      <c r="E96" s="10"/>
      <c r="F96" s="10"/>
      <c r="G96" s="10"/>
      <c r="H96" s="11"/>
      <c r="I96" s="53" t="str">
        <f t="array" aca="1" ref="I96" ca="1">IFERROR(
    INDEX(データ集約!A:ZZ, MATCH(D6, データ集約!C:C, 0), MATCH("下衣", データ集約!1:1, 0)),
    ""
)</f>
        <v/>
      </c>
      <c r="J96" s="10"/>
      <c r="K96" s="10"/>
      <c r="L96" s="10"/>
      <c r="M96" s="10"/>
      <c r="N96" s="10"/>
      <c r="O96" s="11"/>
      <c r="P96" s="10"/>
      <c r="Q96" s="10"/>
      <c r="R96" s="10"/>
      <c r="S96" s="10"/>
      <c r="T96" s="10"/>
      <c r="U96" s="10"/>
      <c r="V96" s="10"/>
      <c r="W96" s="10"/>
      <c r="X96" s="10"/>
      <c r="Y96" s="10"/>
      <c r="Z96" s="10"/>
      <c r="AA96" s="11"/>
      <c r="AB96" s="10"/>
      <c r="AC96" s="10"/>
      <c r="AD96" s="10"/>
      <c r="AE96" s="10"/>
      <c r="AF96" s="10"/>
      <c r="AG96" s="10"/>
      <c r="AH96" s="10"/>
      <c r="AI96" s="10"/>
      <c r="AJ96" s="10"/>
      <c r="AK96" s="11"/>
    </row>
    <row r="97" spans="1:37" ht="14.25" customHeight="1">
      <c r="A97" s="28"/>
      <c r="B97" s="58" t="s">
        <v>119</v>
      </c>
      <c r="C97" s="57" t="s">
        <v>120</v>
      </c>
      <c r="D97" s="10"/>
      <c r="E97" s="10"/>
      <c r="F97" s="10"/>
      <c r="G97" s="10"/>
      <c r="H97" s="11"/>
      <c r="I97" s="53" t="str">
        <f t="array" aca="1" ref="I97" ca="1">IFERROR(
    INDEX(データ集約!A:ZZ, MATCH(D6, データ集約!C:C, 0), MATCH("排泄動作", データ集約!1:1, 0)),
    ""
)</f>
        <v/>
      </c>
      <c r="J97" s="10"/>
      <c r="K97" s="10"/>
      <c r="L97" s="10"/>
      <c r="M97" s="10"/>
      <c r="N97" s="10"/>
      <c r="O97" s="11"/>
      <c r="P97" s="7" t="str">
        <f t="array" aca="1" ref="P97" ca="1">IFERROR(
    INDEX(データ集約!A:GI, MATCH(D6, データ集約!C:C, 0), MATCH("排泄｜特記事項", データ集約!1:1, 0)),
    ""
)</f>
        <v/>
      </c>
      <c r="Q97" s="8"/>
      <c r="R97" s="8"/>
      <c r="S97" s="8"/>
      <c r="T97" s="8"/>
      <c r="U97" s="8"/>
      <c r="V97" s="8"/>
      <c r="W97" s="8"/>
      <c r="X97" s="8"/>
      <c r="Y97" s="8"/>
      <c r="Z97" s="8"/>
      <c r="AA97" s="9"/>
      <c r="AB97" s="7"/>
      <c r="AC97" s="8"/>
      <c r="AD97" s="8"/>
      <c r="AE97" s="8"/>
      <c r="AF97" s="8"/>
      <c r="AG97" s="8"/>
      <c r="AH97" s="8"/>
      <c r="AI97" s="8"/>
      <c r="AJ97" s="8"/>
      <c r="AK97" s="9"/>
    </row>
    <row r="98" spans="1:37" ht="14.25" customHeight="1">
      <c r="A98" s="28"/>
      <c r="B98" s="9"/>
      <c r="C98" s="61" t="s">
        <v>121</v>
      </c>
      <c r="D98" s="9"/>
      <c r="E98" s="34" t="s">
        <v>122</v>
      </c>
      <c r="F98" s="10"/>
      <c r="G98" s="10"/>
      <c r="H98" s="11"/>
      <c r="I98" s="53" t="str">
        <f t="array" aca="1" ref="I98" ca="1">IFERROR(
    INDEX(データ集約!A:ZZ, MATCH(D6, データ集約!C:C, 0), MATCH("尿意", データ集約!1:1, 0)),
    ""
)</f>
        <v/>
      </c>
      <c r="J98" s="10"/>
      <c r="K98" s="10"/>
      <c r="L98" s="10"/>
      <c r="M98" s="10"/>
      <c r="N98" s="10"/>
      <c r="O98" s="11"/>
      <c r="P98" s="8"/>
      <c r="Q98" s="8"/>
      <c r="R98" s="8"/>
      <c r="S98" s="8"/>
      <c r="T98" s="8"/>
      <c r="U98" s="8"/>
      <c r="V98" s="8"/>
      <c r="W98" s="8"/>
      <c r="X98" s="8"/>
      <c r="Y98" s="8"/>
      <c r="Z98" s="8"/>
      <c r="AA98" s="9"/>
      <c r="AB98" s="8"/>
      <c r="AC98" s="8"/>
      <c r="AD98" s="8"/>
      <c r="AE98" s="8"/>
      <c r="AF98" s="8"/>
      <c r="AG98" s="8"/>
      <c r="AH98" s="8"/>
      <c r="AI98" s="8"/>
      <c r="AJ98" s="8"/>
      <c r="AK98" s="9"/>
    </row>
    <row r="99" spans="1:37" ht="14.25" customHeight="1">
      <c r="A99" s="28"/>
      <c r="B99" s="9"/>
      <c r="C99" s="10"/>
      <c r="D99" s="11"/>
      <c r="E99" s="34" t="s">
        <v>123</v>
      </c>
      <c r="F99" s="10"/>
      <c r="G99" s="10"/>
      <c r="H99" s="11"/>
      <c r="I99" s="53" t="str">
        <f t="array" aca="1" ref="I99" ca="1">IFERROR(
    INDEX(データ集約!A:ZZ, MATCH(D6, データ集約!C:C, 0), MATCH("尿失禁", データ集約!1:1, 0)),
    ""
)</f>
        <v/>
      </c>
      <c r="J99" s="10"/>
      <c r="K99" s="10"/>
      <c r="L99" s="10"/>
      <c r="M99" s="10"/>
      <c r="N99" s="10"/>
      <c r="O99" s="11"/>
      <c r="P99" s="8"/>
      <c r="Q99" s="8"/>
      <c r="R99" s="8"/>
      <c r="S99" s="8"/>
      <c r="T99" s="8"/>
      <c r="U99" s="8"/>
      <c r="V99" s="8"/>
      <c r="W99" s="8"/>
      <c r="X99" s="8"/>
      <c r="Y99" s="8"/>
      <c r="Z99" s="8"/>
      <c r="AA99" s="9"/>
      <c r="AB99" s="8"/>
      <c r="AC99" s="8"/>
      <c r="AD99" s="8"/>
      <c r="AE99" s="8"/>
      <c r="AF99" s="8"/>
      <c r="AG99" s="8"/>
      <c r="AH99" s="8"/>
      <c r="AI99" s="8"/>
      <c r="AJ99" s="8"/>
      <c r="AK99" s="9"/>
    </row>
    <row r="100" spans="1:37" ht="14.25" customHeight="1">
      <c r="A100" s="28"/>
      <c r="B100" s="9"/>
      <c r="C100" s="61" t="s">
        <v>124</v>
      </c>
      <c r="D100" s="9"/>
      <c r="E100" s="34" t="s">
        <v>125</v>
      </c>
      <c r="F100" s="10"/>
      <c r="G100" s="10"/>
      <c r="H100" s="11"/>
      <c r="I100" s="53" t="str">
        <f t="array" aca="1" ref="I100" ca="1">IFERROR(
    INDEX(データ集約!A:ZZ, MATCH(D6, データ集約!C:C, 0), MATCH("便意", データ集約!1:1, 0)),
    ""
)</f>
        <v/>
      </c>
      <c r="J100" s="10"/>
      <c r="K100" s="10"/>
      <c r="L100" s="10"/>
      <c r="M100" s="10"/>
      <c r="N100" s="10"/>
      <c r="O100" s="11"/>
      <c r="P100" s="8"/>
      <c r="Q100" s="8"/>
      <c r="R100" s="8"/>
      <c r="S100" s="8"/>
      <c r="T100" s="8"/>
      <c r="U100" s="8"/>
      <c r="V100" s="8"/>
      <c r="W100" s="8"/>
      <c r="X100" s="8"/>
      <c r="Y100" s="8"/>
      <c r="Z100" s="8"/>
      <c r="AA100" s="9"/>
      <c r="AB100" s="8"/>
      <c r="AC100" s="8"/>
      <c r="AD100" s="8"/>
      <c r="AE100" s="8"/>
      <c r="AF100" s="8"/>
      <c r="AG100" s="8"/>
      <c r="AH100" s="8"/>
      <c r="AI100" s="8"/>
      <c r="AJ100" s="8"/>
      <c r="AK100" s="9"/>
    </row>
    <row r="101" spans="1:37" ht="14.25" customHeight="1">
      <c r="A101" s="28"/>
      <c r="B101" s="9"/>
      <c r="C101" s="10"/>
      <c r="D101" s="11"/>
      <c r="E101" s="34" t="s">
        <v>123</v>
      </c>
      <c r="F101" s="10"/>
      <c r="G101" s="10"/>
      <c r="H101" s="11"/>
      <c r="I101" s="53" t="str">
        <f t="array" aca="1" ref="I101" ca="1">IFERROR(
    INDEX(データ集約!A:ZZ, MATCH(D6, データ集約!C:C, 0), MATCH("便失禁", データ集約!1:1, 0)),
    ""
)</f>
        <v/>
      </c>
      <c r="J101" s="10"/>
      <c r="K101" s="10"/>
      <c r="L101" s="10"/>
      <c r="M101" s="10"/>
      <c r="N101" s="10"/>
      <c r="O101" s="11"/>
      <c r="P101" s="8"/>
      <c r="Q101" s="8"/>
      <c r="R101" s="8"/>
      <c r="S101" s="8"/>
      <c r="T101" s="8"/>
      <c r="U101" s="8"/>
      <c r="V101" s="8"/>
      <c r="W101" s="8"/>
      <c r="X101" s="8"/>
      <c r="Y101" s="8"/>
      <c r="Z101" s="8"/>
      <c r="AA101" s="9"/>
      <c r="AB101" s="8"/>
      <c r="AC101" s="8"/>
      <c r="AD101" s="8"/>
      <c r="AE101" s="8"/>
      <c r="AF101" s="8"/>
      <c r="AG101" s="8"/>
      <c r="AH101" s="8"/>
      <c r="AI101" s="8"/>
      <c r="AJ101" s="8"/>
      <c r="AK101" s="9"/>
    </row>
    <row r="102" spans="1:37" ht="14.25" customHeight="1">
      <c r="A102" s="28"/>
      <c r="B102" s="9"/>
      <c r="C102" s="61" t="s">
        <v>112</v>
      </c>
      <c r="D102" s="9"/>
      <c r="E102" s="34" t="s">
        <v>126</v>
      </c>
      <c r="F102" s="10"/>
      <c r="G102" s="10"/>
      <c r="H102" s="11"/>
      <c r="I102" s="53" t="str">
        <f t="array" aca="1" ref="I102" ca="1">IFERROR(
    INDEX(データ集約!A:ZZ, MATCH(D6, データ集約!C:C, 0), MATCH("場所｜日中", データ集約!1:1, 0)),
    ""
)</f>
        <v/>
      </c>
      <c r="J102" s="10"/>
      <c r="K102" s="10"/>
      <c r="L102" s="10"/>
      <c r="M102" s="10"/>
      <c r="N102" s="10"/>
      <c r="O102" s="11"/>
      <c r="P102" s="8"/>
      <c r="Q102" s="8"/>
      <c r="R102" s="8"/>
      <c r="S102" s="8"/>
      <c r="T102" s="8"/>
      <c r="U102" s="8"/>
      <c r="V102" s="8"/>
      <c r="W102" s="8"/>
      <c r="X102" s="8"/>
      <c r="Y102" s="8"/>
      <c r="Z102" s="8"/>
      <c r="AA102" s="9"/>
      <c r="AB102" s="8"/>
      <c r="AC102" s="8"/>
      <c r="AD102" s="8"/>
      <c r="AE102" s="8"/>
      <c r="AF102" s="8"/>
      <c r="AG102" s="8"/>
      <c r="AH102" s="8"/>
      <c r="AI102" s="8"/>
      <c r="AJ102" s="8"/>
      <c r="AK102" s="9"/>
    </row>
    <row r="103" spans="1:37" ht="14.25" customHeight="1">
      <c r="A103" s="28"/>
      <c r="B103" s="9"/>
      <c r="C103" s="10"/>
      <c r="D103" s="11"/>
      <c r="E103" s="34" t="s">
        <v>127</v>
      </c>
      <c r="F103" s="10"/>
      <c r="G103" s="10"/>
      <c r="H103" s="11"/>
      <c r="I103" s="53" t="str">
        <f t="array" aca="1" ref="I103" ca="1">IFERROR(
    INDEX(データ集約!A:ZZ, MATCH(D6, データ集約!C:C, 0), MATCH("場所｜夜間", データ集約!1:1, 0)),
    ""
)</f>
        <v/>
      </c>
      <c r="J103" s="10"/>
      <c r="K103" s="10"/>
      <c r="L103" s="10"/>
      <c r="M103" s="10"/>
      <c r="N103" s="10"/>
      <c r="O103" s="11"/>
      <c r="P103" s="8"/>
      <c r="Q103" s="8"/>
      <c r="R103" s="8"/>
      <c r="S103" s="8"/>
      <c r="T103" s="8"/>
      <c r="U103" s="8"/>
      <c r="V103" s="8"/>
      <c r="W103" s="8"/>
      <c r="X103" s="8"/>
      <c r="Y103" s="8"/>
      <c r="Z103" s="8"/>
      <c r="AA103" s="9"/>
      <c r="AB103" s="8"/>
      <c r="AC103" s="8"/>
      <c r="AD103" s="8"/>
      <c r="AE103" s="8"/>
      <c r="AF103" s="8"/>
      <c r="AG103" s="8"/>
      <c r="AH103" s="8"/>
      <c r="AI103" s="8"/>
      <c r="AJ103" s="8"/>
      <c r="AK103" s="9"/>
    </row>
    <row r="104" spans="1:37" ht="14.25" customHeight="1">
      <c r="A104" s="29"/>
      <c r="B104" s="11"/>
      <c r="C104" s="34" t="s">
        <v>128</v>
      </c>
      <c r="D104" s="10"/>
      <c r="E104" s="10"/>
      <c r="F104" s="10"/>
      <c r="G104" s="10"/>
      <c r="H104" s="11"/>
      <c r="I104" s="60" t="str">
        <f t="array" aca="1" ref="I104" ca="1">IFERROR(
    INDEX(データ集約!A:ZZ, MATCH(D6, データ集約!C:C, 0), MATCH("排泄用品", データ集約!1:1, 0)),
    ""
)</f>
        <v/>
      </c>
      <c r="J104" s="10"/>
      <c r="K104" s="10"/>
      <c r="L104" s="10"/>
      <c r="M104" s="10"/>
      <c r="N104" s="10"/>
      <c r="O104" s="11"/>
      <c r="P104" s="10"/>
      <c r="Q104" s="10"/>
      <c r="R104" s="10"/>
      <c r="S104" s="10"/>
      <c r="T104" s="10"/>
      <c r="U104" s="10"/>
      <c r="V104" s="10"/>
      <c r="W104" s="10"/>
      <c r="X104" s="10"/>
      <c r="Y104" s="10"/>
      <c r="Z104" s="10"/>
      <c r="AA104" s="11"/>
      <c r="AB104" s="10"/>
      <c r="AC104" s="10"/>
      <c r="AD104" s="10"/>
      <c r="AE104" s="10"/>
      <c r="AF104" s="10"/>
      <c r="AG104" s="10"/>
      <c r="AH104" s="10"/>
      <c r="AI104" s="10"/>
      <c r="AJ104" s="10"/>
      <c r="AK104" s="11"/>
    </row>
    <row r="105" spans="1:37" ht="14.25" customHeight="1">
      <c r="A105" s="30" t="s">
        <v>129</v>
      </c>
      <c r="B105" s="34" t="s">
        <v>130</v>
      </c>
      <c r="C105" s="10"/>
      <c r="D105" s="10"/>
      <c r="E105" s="11"/>
      <c r="F105" s="53" t="str">
        <f t="array" aca="1" ref="F105" ca="1">IFERROR(
    INDEX(データ集約!A:GI, MATCH(D6, データ集約!C:C, 0), MATCH("調理", データ集約!1:1, 0)),
    ""
)</f>
        <v/>
      </c>
      <c r="G105" s="10"/>
      <c r="H105" s="11"/>
      <c r="I105" s="34" t="s">
        <v>131</v>
      </c>
      <c r="J105" s="10"/>
      <c r="K105" s="10"/>
      <c r="L105" s="11"/>
      <c r="M105" s="53" t="str">
        <f t="array" aca="1" ref="M105" ca="1">IFERROR(
    INDEX(データ集約!A:ZZ, MATCH(D6, データ集約!C:C, 0), MATCH("掃除", データ集約!1:1, 0)),
    ""
)</f>
        <v/>
      </c>
      <c r="N105" s="10"/>
      <c r="O105" s="11"/>
      <c r="P105" s="7" t="str">
        <f t="array" aca="1" ref="P105" ca="1">IFERROR(
    INDEX(データ集約!A:ZZ, MATCH(D6, データ集約!C:C, 0), MATCH("IADL｜特記事項", データ集約!1:1, 0)),
    ""
)</f>
        <v/>
      </c>
      <c r="Q105" s="8"/>
      <c r="R105" s="8"/>
      <c r="S105" s="8"/>
      <c r="T105" s="8"/>
      <c r="U105" s="8"/>
      <c r="V105" s="8"/>
      <c r="W105" s="8"/>
      <c r="X105" s="8"/>
      <c r="Y105" s="8"/>
      <c r="Z105" s="8"/>
      <c r="AA105" s="9"/>
      <c r="AB105" s="7"/>
      <c r="AC105" s="8"/>
      <c r="AD105" s="8"/>
      <c r="AE105" s="8"/>
      <c r="AF105" s="8"/>
      <c r="AG105" s="8"/>
      <c r="AH105" s="8"/>
      <c r="AI105" s="8"/>
      <c r="AJ105" s="8"/>
      <c r="AK105" s="9"/>
    </row>
    <row r="106" spans="1:37" ht="14.25" customHeight="1">
      <c r="A106" s="28"/>
      <c r="B106" s="34" t="s">
        <v>132</v>
      </c>
      <c r="C106" s="10"/>
      <c r="D106" s="10"/>
      <c r="E106" s="11"/>
      <c r="F106" s="53" t="str">
        <f t="array" aca="1" ref="F106" ca="1">IFERROR(
    INDEX(データ集約!A:ZZ, MATCH(D6, データ集約!C:C, 0), MATCH("洗濯", データ集約!1:1, 0)),
    ""
)</f>
        <v/>
      </c>
      <c r="G106" s="10"/>
      <c r="H106" s="11"/>
      <c r="I106" s="34" t="s">
        <v>133</v>
      </c>
      <c r="J106" s="10"/>
      <c r="K106" s="10"/>
      <c r="L106" s="11"/>
      <c r="M106" s="53" t="str">
        <f t="array" aca="1" ref="M106" ca="1">IFERROR(
    INDEX(データ集約!A:ZZ, MATCH(D6, データ集約!C:C, 0), MATCH("買い物", データ集約!1:1, 0)),
    ""
)</f>
        <v/>
      </c>
      <c r="N106" s="10"/>
      <c r="O106" s="11"/>
      <c r="P106" s="8"/>
      <c r="Q106" s="8"/>
      <c r="R106" s="8"/>
      <c r="S106" s="8"/>
      <c r="T106" s="8"/>
      <c r="U106" s="8"/>
      <c r="V106" s="8"/>
      <c r="W106" s="8"/>
      <c r="X106" s="8"/>
      <c r="Y106" s="8"/>
      <c r="Z106" s="8"/>
      <c r="AA106" s="9"/>
      <c r="AB106" s="8"/>
      <c r="AC106" s="8"/>
      <c r="AD106" s="8"/>
      <c r="AE106" s="8"/>
      <c r="AF106" s="8"/>
      <c r="AG106" s="8"/>
      <c r="AH106" s="8"/>
      <c r="AI106" s="8"/>
      <c r="AJ106" s="8"/>
      <c r="AK106" s="9"/>
    </row>
    <row r="107" spans="1:37" ht="14.25" customHeight="1">
      <c r="A107" s="29"/>
      <c r="B107" s="34" t="s">
        <v>134</v>
      </c>
      <c r="C107" s="10"/>
      <c r="D107" s="10"/>
      <c r="E107" s="11"/>
      <c r="F107" s="53" t="str">
        <f t="array" aca="1" ref="F107" ca="1">IFERROR(
    INDEX(データ集約!A:ZZ, MATCH(D6, データ集約!C:C, 0), MATCH("金銭管理", データ集約!1:1, 0)),
    ""
)</f>
        <v/>
      </c>
      <c r="G107" s="10"/>
      <c r="H107" s="11"/>
      <c r="I107" s="53"/>
      <c r="J107" s="10"/>
      <c r="K107" s="10"/>
      <c r="L107" s="10"/>
      <c r="M107" s="10"/>
      <c r="N107" s="10"/>
      <c r="O107" s="11"/>
      <c r="P107" s="10"/>
      <c r="Q107" s="10"/>
      <c r="R107" s="10"/>
      <c r="S107" s="10"/>
      <c r="T107" s="10"/>
      <c r="U107" s="10"/>
      <c r="V107" s="10"/>
      <c r="W107" s="10"/>
      <c r="X107" s="10"/>
      <c r="Y107" s="10"/>
      <c r="Z107" s="10"/>
      <c r="AA107" s="11"/>
      <c r="AB107" s="10"/>
      <c r="AC107" s="10"/>
      <c r="AD107" s="10"/>
      <c r="AE107" s="10"/>
      <c r="AF107" s="10"/>
      <c r="AG107" s="10"/>
      <c r="AH107" s="10"/>
      <c r="AI107" s="10"/>
      <c r="AJ107" s="10"/>
      <c r="AK107" s="11"/>
    </row>
    <row r="108" spans="1:37" ht="14.25" customHeight="1">
      <c r="A108" s="27" t="s">
        <v>135</v>
      </c>
      <c r="B108" s="34" t="s">
        <v>136</v>
      </c>
      <c r="C108" s="10"/>
      <c r="D108" s="10"/>
      <c r="E108" s="10"/>
      <c r="F108" s="10"/>
      <c r="G108" s="10"/>
      <c r="H108" s="11"/>
      <c r="I108" s="53" t="str">
        <f t="array" aca="1" ref="I108" ca="1">IFERROR(
    INDEX(データ集約!A:ZZ, MATCH(D6, データ集約!C:C, 0), MATCH("認知症の有無", データ集約!1:1, 0)),
    ""
)</f>
        <v/>
      </c>
      <c r="J108" s="10"/>
      <c r="K108" s="10"/>
      <c r="L108" s="53" t="str">
        <f t="array" aca="1" ref="L108" ca="1">IFERROR(
    INDEX(データ集約!A:ZZ, MATCH(D6, データ集約!C:C, 0), MATCH("認知症の程度", データ集約!1:1, 0)),
    ""
)</f>
        <v/>
      </c>
      <c r="M108" s="10"/>
      <c r="N108" s="10"/>
      <c r="O108" s="11"/>
      <c r="P108" s="7" t="str">
        <f t="array" aca="1" ref="P108" ca="1">IFERROR(
    INDEX(データ集約!A:ZZ, MATCH(D6, データ集約!C:C, 0), MATCH("認知機能｜特記事項", データ集約!1:1, 0)),
    ""
)</f>
        <v/>
      </c>
      <c r="Q108" s="8"/>
      <c r="R108" s="8"/>
      <c r="S108" s="8"/>
      <c r="T108" s="8"/>
      <c r="U108" s="8"/>
      <c r="V108" s="8"/>
      <c r="W108" s="8"/>
      <c r="X108" s="8"/>
      <c r="Y108" s="8"/>
      <c r="Z108" s="8"/>
      <c r="AA108" s="9"/>
      <c r="AB108" s="7"/>
      <c r="AC108" s="8"/>
      <c r="AD108" s="8"/>
      <c r="AE108" s="8"/>
      <c r="AF108" s="8"/>
      <c r="AG108" s="8"/>
      <c r="AH108" s="8"/>
      <c r="AI108" s="8"/>
      <c r="AJ108" s="8"/>
      <c r="AK108" s="9"/>
    </row>
    <row r="109" spans="1:37" ht="14.25" customHeight="1">
      <c r="A109" s="28"/>
      <c r="B109" s="32" t="s">
        <v>137</v>
      </c>
      <c r="C109" s="9"/>
      <c r="D109" s="7" t="str">
        <f t="array" aca="1" ref="D109" ca="1">IFERROR(
    INDEX(データ集約!A:ZZ, MATCH(D6, データ集約!C:C, 0), MATCH("BPSD", データ集約!1:1, 0)),
    ""
)</f>
        <v/>
      </c>
      <c r="E109" s="8"/>
      <c r="F109" s="8"/>
      <c r="G109" s="8"/>
      <c r="H109" s="8"/>
      <c r="I109" s="8"/>
      <c r="J109" s="8"/>
      <c r="K109" s="8"/>
      <c r="L109" s="8"/>
      <c r="M109" s="8"/>
      <c r="N109" s="8"/>
      <c r="O109" s="9"/>
      <c r="P109" s="8"/>
      <c r="Q109" s="8"/>
      <c r="R109" s="8"/>
      <c r="S109" s="8"/>
      <c r="T109" s="8"/>
      <c r="U109" s="8"/>
      <c r="V109" s="8"/>
      <c r="W109" s="8"/>
      <c r="X109" s="8"/>
      <c r="Y109" s="8"/>
      <c r="Z109" s="8"/>
      <c r="AA109" s="9"/>
      <c r="AB109" s="8"/>
      <c r="AC109" s="8"/>
      <c r="AD109" s="8"/>
      <c r="AE109" s="8"/>
      <c r="AF109" s="8"/>
      <c r="AG109" s="8"/>
      <c r="AH109" s="8"/>
      <c r="AI109" s="8"/>
      <c r="AJ109" s="8"/>
      <c r="AK109" s="9"/>
    </row>
    <row r="110" spans="1:37" ht="14.25" customHeight="1">
      <c r="A110" s="28"/>
      <c r="B110" s="10"/>
      <c r="C110" s="11"/>
      <c r="D110" s="10"/>
      <c r="E110" s="10"/>
      <c r="F110" s="10"/>
      <c r="G110" s="10"/>
      <c r="H110" s="10"/>
      <c r="I110" s="10"/>
      <c r="J110" s="10"/>
      <c r="K110" s="10"/>
      <c r="L110" s="10"/>
      <c r="M110" s="10"/>
      <c r="N110" s="10"/>
      <c r="O110" s="11"/>
      <c r="P110" s="8"/>
      <c r="Q110" s="8"/>
      <c r="R110" s="8"/>
      <c r="S110" s="8"/>
      <c r="T110" s="8"/>
      <c r="U110" s="8"/>
      <c r="V110" s="8"/>
      <c r="W110" s="8"/>
      <c r="X110" s="8"/>
      <c r="Y110" s="8"/>
      <c r="Z110" s="8"/>
      <c r="AA110" s="9"/>
      <c r="AB110" s="8"/>
      <c r="AC110" s="8"/>
      <c r="AD110" s="8"/>
      <c r="AE110" s="8"/>
      <c r="AF110" s="8"/>
      <c r="AG110" s="8"/>
      <c r="AH110" s="8"/>
      <c r="AI110" s="8"/>
      <c r="AJ110" s="8"/>
      <c r="AK110" s="9"/>
    </row>
    <row r="111" spans="1:37" ht="14.25" customHeight="1">
      <c r="A111" s="28"/>
      <c r="B111" s="34" t="s">
        <v>138</v>
      </c>
      <c r="C111" s="10"/>
      <c r="D111" s="10"/>
      <c r="E111" s="10"/>
      <c r="F111" s="10"/>
      <c r="G111" s="10"/>
      <c r="H111" s="11"/>
      <c r="I111" s="53" t="str">
        <f t="array" aca="1" ref="I111" ca="1">IFERROR(
    INDEX(データ集約!A:ZZ, MATCH(D6, データ集約!C:C, 0), MATCH("会話", データ集約!1:1, 0)),
    ""
)</f>
        <v/>
      </c>
      <c r="J111" s="10"/>
      <c r="K111" s="10"/>
      <c r="L111" s="10"/>
      <c r="M111" s="10"/>
      <c r="N111" s="10"/>
      <c r="O111" s="11"/>
      <c r="P111" s="8"/>
      <c r="Q111" s="8"/>
      <c r="R111" s="8"/>
      <c r="S111" s="8"/>
      <c r="T111" s="8"/>
      <c r="U111" s="8"/>
      <c r="V111" s="8"/>
      <c r="W111" s="8"/>
      <c r="X111" s="8"/>
      <c r="Y111" s="8"/>
      <c r="Z111" s="8"/>
      <c r="AA111" s="9"/>
      <c r="AB111" s="8"/>
      <c r="AC111" s="8"/>
      <c r="AD111" s="8"/>
      <c r="AE111" s="8"/>
      <c r="AF111" s="8"/>
      <c r="AG111" s="8"/>
      <c r="AH111" s="8"/>
      <c r="AI111" s="8"/>
      <c r="AJ111" s="8"/>
      <c r="AK111" s="9"/>
    </row>
    <row r="112" spans="1:37" ht="14.25" customHeight="1">
      <c r="A112" s="29"/>
      <c r="B112" s="34" t="s">
        <v>139</v>
      </c>
      <c r="C112" s="10"/>
      <c r="D112" s="10"/>
      <c r="E112" s="10"/>
      <c r="F112" s="10"/>
      <c r="G112" s="10"/>
      <c r="H112" s="11"/>
      <c r="I112" s="53" t="str">
        <f t="array" aca="1" ref="I112" ca="1">IFERROR(
    INDEX(データ集約!A:ZZ, MATCH(D6, データ集約!C:C, 0), MATCH("意思疎通", データ集約!1:1, 0)),
    ""
)</f>
        <v/>
      </c>
      <c r="J112" s="10"/>
      <c r="K112" s="10"/>
      <c r="L112" s="10"/>
      <c r="M112" s="10"/>
      <c r="N112" s="10"/>
      <c r="O112" s="11"/>
      <c r="P112" s="10"/>
      <c r="Q112" s="10"/>
      <c r="R112" s="10"/>
      <c r="S112" s="10"/>
      <c r="T112" s="10"/>
      <c r="U112" s="10"/>
      <c r="V112" s="10"/>
      <c r="W112" s="10"/>
      <c r="X112" s="10"/>
      <c r="Y112" s="10"/>
      <c r="Z112" s="10"/>
      <c r="AA112" s="11"/>
      <c r="AB112" s="10"/>
      <c r="AC112" s="10"/>
      <c r="AD112" s="10"/>
      <c r="AE112" s="10"/>
      <c r="AF112" s="10"/>
      <c r="AG112" s="10"/>
      <c r="AH112" s="10"/>
      <c r="AI112" s="10"/>
      <c r="AJ112" s="10"/>
      <c r="AK112" s="11"/>
    </row>
  </sheetData>
  <mergeCells count="290">
    <mergeCell ref="V38:AK38"/>
    <mergeCell ref="V39:AK40"/>
    <mergeCell ref="S41:AK41"/>
    <mergeCell ref="S42:AK43"/>
    <mergeCell ref="A44:Y44"/>
    <mergeCell ref="Z44:AK44"/>
    <mergeCell ref="Z45:AK50"/>
    <mergeCell ref="B59:H59"/>
    <mergeCell ref="I59:O59"/>
    <mergeCell ref="P59:AA69"/>
    <mergeCell ref="AB59:AK69"/>
    <mergeCell ref="B65:H65"/>
    <mergeCell ref="I65:M65"/>
    <mergeCell ref="N65:O65"/>
    <mergeCell ref="B66:B67"/>
    <mergeCell ref="C66:H66"/>
    <mergeCell ref="C67:H67"/>
    <mergeCell ref="I66:O66"/>
    <mergeCell ref="I67:O67"/>
    <mergeCell ref="A45:Y50"/>
    <mergeCell ref="A51:AK51"/>
    <mergeCell ref="A52:AK55"/>
    <mergeCell ref="A56:AK56"/>
    <mergeCell ref="A57:AA58"/>
    <mergeCell ref="I60:O60"/>
    <mergeCell ref="B61:H61"/>
    <mergeCell ref="I61:O61"/>
    <mergeCell ref="B62:H62"/>
    <mergeCell ref="I62:O62"/>
    <mergeCell ref="B63:H63"/>
    <mergeCell ref="I63:O63"/>
    <mergeCell ref="B64:H64"/>
    <mergeCell ref="I64:M64"/>
    <mergeCell ref="N64:O64"/>
    <mergeCell ref="AB57:AK58"/>
    <mergeCell ref="A59:A69"/>
    <mergeCell ref="B73:H73"/>
    <mergeCell ref="B74:H74"/>
    <mergeCell ref="I75:O75"/>
    <mergeCell ref="B75:H75"/>
    <mergeCell ref="B76:H76"/>
    <mergeCell ref="I76:O76"/>
    <mergeCell ref="I77:O77"/>
    <mergeCell ref="I68:O68"/>
    <mergeCell ref="I69:O69"/>
    <mergeCell ref="I70:O70"/>
    <mergeCell ref="I71:O71"/>
    <mergeCell ref="I72:O72"/>
    <mergeCell ref="B77:H77"/>
    <mergeCell ref="B68:B69"/>
    <mergeCell ref="C68:H68"/>
    <mergeCell ref="C69:H69"/>
    <mergeCell ref="A70:A79"/>
    <mergeCell ref="B70:H70"/>
    <mergeCell ref="B71:H71"/>
    <mergeCell ref="B72:H72"/>
    <mergeCell ref="B79:H79"/>
    <mergeCell ref="B60:H60"/>
    <mergeCell ref="I73:O73"/>
    <mergeCell ref="I74:O74"/>
    <mergeCell ref="C80:H80"/>
    <mergeCell ref="I80:O80"/>
    <mergeCell ref="I81:O81"/>
    <mergeCell ref="I82:O82"/>
    <mergeCell ref="I91:O91"/>
    <mergeCell ref="B78:H78"/>
    <mergeCell ref="B80:B87"/>
    <mergeCell ref="C83:D85"/>
    <mergeCell ref="C87:H87"/>
    <mergeCell ref="I87:O87"/>
    <mergeCell ref="I88:O88"/>
    <mergeCell ref="I89:O89"/>
    <mergeCell ref="I90:K90"/>
    <mergeCell ref="L90:O90"/>
    <mergeCell ref="I92:O92"/>
    <mergeCell ref="I93:O93"/>
    <mergeCell ref="I94:O94"/>
    <mergeCell ref="I95:O95"/>
    <mergeCell ref="I96:O96"/>
    <mergeCell ref="I97:O97"/>
    <mergeCell ref="I98:O98"/>
    <mergeCell ref="C98:D99"/>
    <mergeCell ref="I78:O78"/>
    <mergeCell ref="I79:O79"/>
    <mergeCell ref="I83:O83"/>
    <mergeCell ref="E84:H84"/>
    <mergeCell ref="I84:O84"/>
    <mergeCell ref="E85:H85"/>
    <mergeCell ref="I85:O85"/>
    <mergeCell ref="C86:H86"/>
    <mergeCell ref="I86:O86"/>
    <mergeCell ref="C88:H88"/>
    <mergeCell ref="C89:H89"/>
    <mergeCell ref="C90:D91"/>
    <mergeCell ref="E90:H90"/>
    <mergeCell ref="E91:H91"/>
    <mergeCell ref="C92:H92"/>
    <mergeCell ref="I99:O99"/>
    <mergeCell ref="I105:L105"/>
    <mergeCell ref="M105:O105"/>
    <mergeCell ref="B106:E106"/>
    <mergeCell ref="F106:H106"/>
    <mergeCell ref="I106:L106"/>
    <mergeCell ref="M106:O106"/>
    <mergeCell ref="B107:E107"/>
    <mergeCell ref="F107:H107"/>
    <mergeCell ref="I107:O107"/>
    <mergeCell ref="I104:O104"/>
    <mergeCell ref="I101:O101"/>
    <mergeCell ref="E102:H102"/>
    <mergeCell ref="I102:O102"/>
    <mergeCell ref="E103:H103"/>
    <mergeCell ref="I103:O103"/>
    <mergeCell ref="C100:D101"/>
    <mergeCell ref="C102:D103"/>
    <mergeCell ref="I100:O100"/>
    <mergeCell ref="A105:A107"/>
    <mergeCell ref="A108:A112"/>
    <mergeCell ref="C93:H93"/>
    <mergeCell ref="C94:H94"/>
    <mergeCell ref="C95:H95"/>
    <mergeCell ref="C96:H96"/>
    <mergeCell ref="C97:H97"/>
    <mergeCell ref="E98:H98"/>
    <mergeCell ref="E99:H99"/>
    <mergeCell ref="B112:H112"/>
    <mergeCell ref="B105:E105"/>
    <mergeCell ref="F105:H105"/>
    <mergeCell ref="E100:H100"/>
    <mergeCell ref="E101:H101"/>
    <mergeCell ref="A80:A104"/>
    <mergeCell ref="B92:B94"/>
    <mergeCell ref="B95:B96"/>
    <mergeCell ref="B97:B104"/>
    <mergeCell ref="C81:H81"/>
    <mergeCell ref="C82:H82"/>
    <mergeCell ref="E83:H83"/>
    <mergeCell ref="B88:B91"/>
    <mergeCell ref="C104:H104"/>
    <mergeCell ref="I112:O112"/>
    <mergeCell ref="B108:H108"/>
    <mergeCell ref="I108:K108"/>
    <mergeCell ref="L108:O108"/>
    <mergeCell ref="B109:C110"/>
    <mergeCell ref="D109:O110"/>
    <mergeCell ref="B111:H111"/>
    <mergeCell ref="I111:O111"/>
    <mergeCell ref="U4:AC4"/>
    <mergeCell ref="P6:Q7"/>
    <mergeCell ref="R6:W7"/>
    <mergeCell ref="X6:AC7"/>
    <mergeCell ref="E11:I12"/>
    <mergeCell ref="J11:P12"/>
    <mergeCell ref="Q11:U12"/>
    <mergeCell ref="V11:AA12"/>
    <mergeCell ref="AB11:AB12"/>
    <mergeCell ref="AC11:AH12"/>
    <mergeCell ref="D19:I20"/>
    <mergeCell ref="J19:J20"/>
    <mergeCell ref="K19:N20"/>
    <mergeCell ref="O19:Q20"/>
    <mergeCell ref="R19:U20"/>
    <mergeCell ref="V19:Y20"/>
    <mergeCell ref="AD4:AF4"/>
    <mergeCell ref="R5:W5"/>
    <mergeCell ref="X5:AC5"/>
    <mergeCell ref="AD5:AK5"/>
    <mergeCell ref="A1:K3"/>
    <mergeCell ref="N1:Y1"/>
    <mergeCell ref="AA1:AE1"/>
    <mergeCell ref="AF1:AK1"/>
    <mergeCell ref="X2:AC3"/>
    <mergeCell ref="AD2:AK3"/>
    <mergeCell ref="A4:F4"/>
    <mergeCell ref="AG4:AK4"/>
    <mergeCell ref="G4:Q4"/>
    <mergeCell ref="R4:T4"/>
    <mergeCell ref="A5:A9"/>
    <mergeCell ref="B5:C5"/>
    <mergeCell ref="D5:Q5"/>
    <mergeCell ref="AF14:AK15"/>
    <mergeCell ref="Z16:AE16"/>
    <mergeCell ref="AF16:AK16"/>
    <mergeCell ref="V16:Y16"/>
    <mergeCell ref="AD6:AI7"/>
    <mergeCell ref="AJ6:AK7"/>
    <mergeCell ref="B8:C9"/>
    <mergeCell ref="D8:Z9"/>
    <mergeCell ref="AA8:AC9"/>
    <mergeCell ref="AD8:AK9"/>
    <mergeCell ref="E10:I10"/>
    <mergeCell ref="J10:P10"/>
    <mergeCell ref="Q10:U10"/>
    <mergeCell ref="V10:AH10"/>
    <mergeCell ref="AI10:AK10"/>
    <mergeCell ref="D6:O7"/>
    <mergeCell ref="B24:M25"/>
    <mergeCell ref="N24:R25"/>
    <mergeCell ref="S24:Y25"/>
    <mergeCell ref="B26:M27"/>
    <mergeCell ref="N26:R27"/>
    <mergeCell ref="S26:Y27"/>
    <mergeCell ref="B28:M29"/>
    <mergeCell ref="AI11:AK12"/>
    <mergeCell ref="B13:L13"/>
    <mergeCell ref="M13:Q13"/>
    <mergeCell ref="R13:U13"/>
    <mergeCell ref="V13:Y13"/>
    <mergeCell ref="Z13:AE13"/>
    <mergeCell ref="AF13:AK13"/>
    <mergeCell ref="J17:J18"/>
    <mergeCell ref="K17:N18"/>
    <mergeCell ref="O17:Q18"/>
    <mergeCell ref="R17:U18"/>
    <mergeCell ref="V17:Y18"/>
    <mergeCell ref="Z17:AE18"/>
    <mergeCell ref="AF17:AK18"/>
    <mergeCell ref="D17:I18"/>
    <mergeCell ref="V14:Y15"/>
    <mergeCell ref="Z14:AE15"/>
    <mergeCell ref="Z19:AE20"/>
    <mergeCell ref="AF19:AK20"/>
    <mergeCell ref="Z22:AK25"/>
    <mergeCell ref="Z26:AK26"/>
    <mergeCell ref="Z27:AK29"/>
    <mergeCell ref="S30:Y31"/>
    <mergeCell ref="Z30:AK30"/>
    <mergeCell ref="Z21:AK21"/>
    <mergeCell ref="N28:R29"/>
    <mergeCell ref="S28:Y29"/>
    <mergeCell ref="A10:A15"/>
    <mergeCell ref="A21:A35"/>
    <mergeCell ref="A36:A40"/>
    <mergeCell ref="B6:C7"/>
    <mergeCell ref="B10:D12"/>
    <mergeCell ref="A16:A20"/>
    <mergeCell ref="B17:C18"/>
    <mergeCell ref="B19:C20"/>
    <mergeCell ref="N30:R31"/>
    <mergeCell ref="N34:R35"/>
    <mergeCell ref="O14:Q15"/>
    <mergeCell ref="R14:U15"/>
    <mergeCell ref="B14:L15"/>
    <mergeCell ref="M14:N15"/>
    <mergeCell ref="B16:J16"/>
    <mergeCell ref="K16:N16"/>
    <mergeCell ref="O16:Q16"/>
    <mergeCell ref="R16:U16"/>
    <mergeCell ref="B21:M21"/>
    <mergeCell ref="N21:R21"/>
    <mergeCell ref="S21:Y21"/>
    <mergeCell ref="B22:M23"/>
    <mergeCell ref="N22:R23"/>
    <mergeCell ref="S22:Y23"/>
    <mergeCell ref="B30:M31"/>
    <mergeCell ref="B32:M33"/>
    <mergeCell ref="N32:R33"/>
    <mergeCell ref="B34:M35"/>
    <mergeCell ref="Z31:AA31"/>
    <mergeCell ref="AB31:AE31"/>
    <mergeCell ref="S32:Y33"/>
    <mergeCell ref="Z32:AK35"/>
    <mergeCell ref="S34:W35"/>
    <mergeCell ref="X34:Y35"/>
    <mergeCell ref="AF31:AG31"/>
    <mergeCell ref="AH31:AK31"/>
    <mergeCell ref="V36:AK37"/>
    <mergeCell ref="P97:AA104"/>
    <mergeCell ref="P105:AA107"/>
    <mergeCell ref="P108:AA112"/>
    <mergeCell ref="P80:AA87"/>
    <mergeCell ref="AB80:AK87"/>
    <mergeCell ref="P88:AA91"/>
    <mergeCell ref="AB88:AK91"/>
    <mergeCell ref="P92:AA96"/>
    <mergeCell ref="AB92:AK96"/>
    <mergeCell ref="AB97:AK104"/>
    <mergeCell ref="P70:AA79"/>
    <mergeCell ref="AB70:AK79"/>
    <mergeCell ref="AB105:AK107"/>
    <mergeCell ref="AB108:AK112"/>
    <mergeCell ref="A41:R41"/>
    <mergeCell ref="A42:R43"/>
    <mergeCell ref="B36:E38"/>
    <mergeCell ref="F36:R38"/>
    <mergeCell ref="S36:U37"/>
    <mergeCell ref="S38:U38"/>
    <mergeCell ref="B39:E40"/>
    <mergeCell ref="F39:R40"/>
    <mergeCell ref="S39:U40"/>
  </mergeCells>
  <phoneticPr fontId="16"/>
  <conditionalFormatting sqref="D6:O7">
    <cfRule type="containsBlanks" dxfId="1" priority="1">
      <formula>LEN(TRIM(D6))=0</formula>
    </cfRule>
  </conditionalFormatting>
  <dataValidations count="1">
    <dataValidation type="list" allowBlank="1" showDropDown="1" showErrorMessage="1" sqref="D6" xr:uid="{00000000-0002-0000-0100-000000000000}">
      <formula1>#REF!</formula1>
    </dataValidation>
  </dataValidations>
  <printOptions horizontalCentered="1" verticalCentered="1"/>
  <pageMargins left="0.27559055118110232" right="0.27559055118110232" top="0.27559055118110232" bottom="0.27559055118110232" header="0" footer="0"/>
  <pageSetup paperSize="9" orientation="portrait"/>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GI41"/>
  <sheetViews>
    <sheetView workbookViewId="0"/>
  </sheetViews>
  <sheetFormatPr defaultColWidth="12.5703125" defaultRowHeight="15.75" customHeight="1"/>
  <sheetData>
    <row r="1" spans="1:191">
      <c r="A1" s="4" t="str">
        <f ca="1">IFERROR(__xludf.DUMMYFUNCTION("QUERY(IMPORTRANGE(""https://docs.google.com/spreadsheets/d/1oyZMPRie0ZbHoRSApgUTWrLJRtDYMGUGZx5wkotTseU/edit"", ""アセスメントシート（更新用）!A:ZZ""), ""SELECT * WHERE Col10 CONTAINS '山川'"")
"),"基本情報")</f>
        <v>基本情報</v>
      </c>
      <c r="B1" s="4" t="str">
        <f ca="1">IFERROR(__xludf.DUMMYFUNCTION("""COMPUTED_VALUE"""),"利用者選択---")</f>
        <v>利用者選択---</v>
      </c>
      <c r="C1" s="4" t="str">
        <f ca="1">IFERROR(__xludf.DUMMYFUNCTION("""COMPUTED_VALUE"""),"利用者名")</f>
        <v>利用者名</v>
      </c>
      <c r="D1" s="4" t="str">
        <f ca="1">IFERROR(__xludf.DUMMYFUNCTION("""COMPUTED_VALUE"""),"利用者ID（被保険者番号）")</f>
        <v>利用者ID（被保険者番号）</v>
      </c>
      <c r="E1" s="4" t="str">
        <f ca="1">IFERROR(__xludf.DUMMYFUNCTION("""COMPUTED_VALUE"""),"絞り込み｜担当ケアマネ")</f>
        <v>絞り込み｜担当ケアマネ</v>
      </c>
      <c r="F1" s="4" t="str">
        <f ca="1">IFERROR(__xludf.DUMMYFUNCTION("""COMPUTED_VALUE"""),"絞り込み｜頭文字")</f>
        <v>絞り込み｜頭文字</v>
      </c>
      <c r="G1" s="4" t="str">
        <f ca="1">IFERROR(__xludf.DUMMYFUNCTION("""COMPUTED_VALUE"""),"絞り込み")</f>
        <v>絞り込み</v>
      </c>
      <c r="H1" s="4" t="str">
        <f ca="1">IFERROR(__xludf.DUMMYFUNCTION("""COMPUTED_VALUE"""),"---利用者選択")</f>
        <v>---利用者選択</v>
      </c>
      <c r="I1" s="4" t="str">
        <f ca="1">IFERROR(__xludf.DUMMYFUNCTION("""COMPUTED_VALUE"""),"作成日")</f>
        <v>作成日</v>
      </c>
      <c r="J1" s="4" t="str">
        <f ca="1">IFERROR(__xludf.DUMMYFUNCTION("""COMPUTED_VALUE"""),"作成者")</f>
        <v>作成者</v>
      </c>
      <c r="K1" s="4" t="str">
        <f ca="1">IFERROR(__xludf.DUMMYFUNCTION("""COMPUTED_VALUE"""),"アセスメントの理由")</f>
        <v>アセスメントの理由</v>
      </c>
      <c r="L1" s="4" t="str">
        <f ca="1">IFERROR(__xludf.DUMMYFUNCTION("""COMPUTED_VALUE"""),"面談場所")</f>
        <v>面談場所</v>
      </c>
      <c r="M1" s="4" t="str">
        <f ca="1">IFERROR(__xludf.DUMMYFUNCTION("""COMPUTED_VALUE"""),"生活歴")</f>
        <v>生活歴</v>
      </c>
      <c r="N1" s="4" t="str">
        <f ca="1">IFERROR(__xludf.DUMMYFUNCTION("""COMPUTED_VALUE"""),"本人の希望")</f>
        <v>本人の希望</v>
      </c>
      <c r="O1" s="4" t="str">
        <f ca="1">IFERROR(__xludf.DUMMYFUNCTION("""COMPUTED_VALUE"""),"家族の希望")</f>
        <v>家族の希望</v>
      </c>
      <c r="P1" s="4" t="str">
        <f ca="1">IFERROR(__xludf.DUMMYFUNCTION("""COMPUTED_VALUE"""),"基本情報スペース")</f>
        <v>基本情報スペース</v>
      </c>
      <c r="Q1" s="4" t="str">
        <f ca="1">IFERROR(__xludf.DUMMYFUNCTION("""COMPUTED_VALUE"""),"▶保険情報")</f>
        <v>▶保険情報</v>
      </c>
      <c r="R1" s="4" t="str">
        <f ca="1">IFERROR(__xludf.DUMMYFUNCTION("""COMPUTED_VALUE"""),"要介護度")</f>
        <v>要介護度</v>
      </c>
      <c r="S1" s="4" t="str">
        <f ca="1">IFERROR(__xludf.DUMMYFUNCTION("""COMPUTED_VALUE"""),"認定日")</f>
        <v>認定日</v>
      </c>
      <c r="T1" s="4" t="str">
        <f ca="1">IFERROR(__xludf.DUMMYFUNCTION("""COMPUTED_VALUE"""),"認定期間｜開始")</f>
        <v>認定期間｜開始</v>
      </c>
      <c r="U1" s="4" t="str">
        <f ca="1">IFERROR(__xludf.DUMMYFUNCTION("""COMPUTED_VALUE"""),"認定期間｜終了")</f>
        <v>認定期間｜終了</v>
      </c>
      <c r="V1" s="4" t="str">
        <f ca="1">IFERROR(__xludf.DUMMYFUNCTION("""COMPUTED_VALUE"""),"負担割合")</f>
        <v>負担割合</v>
      </c>
      <c r="W1" s="4" t="str">
        <f ca="1">IFERROR(__xludf.DUMMYFUNCTION("""COMPUTED_VALUE"""),"医療保険")</f>
        <v>医療保険</v>
      </c>
      <c r="X1" s="4" t="str">
        <f ca="1">IFERROR(__xludf.DUMMYFUNCTION("""COMPUTED_VALUE"""),"身体障がい者手帳の有無")</f>
        <v>身体障がい者手帳の有無</v>
      </c>
      <c r="Y1" s="4" t="str">
        <f ca="1">IFERROR(__xludf.DUMMYFUNCTION("""COMPUTED_VALUE"""),"種類")</f>
        <v>種類</v>
      </c>
      <c r="Z1" s="4" t="str">
        <f ca="1">IFERROR(__xludf.DUMMYFUNCTION("""COMPUTED_VALUE"""),"難病申請")</f>
        <v>難病申請</v>
      </c>
      <c r="AA1" s="4" t="str">
        <f ca="1">IFERROR(__xludf.DUMMYFUNCTION("""COMPUTED_VALUE"""),"生活保護")</f>
        <v>生活保護</v>
      </c>
      <c r="AB1" s="4" t="str">
        <f ca="1">IFERROR(__xludf.DUMMYFUNCTION("""COMPUTED_VALUE"""),"障がい者日常生活自立度")</f>
        <v>障がい者日常生活自立度</v>
      </c>
      <c r="AC1" s="4" t="str">
        <f ca="1">IFERROR(__xludf.DUMMYFUNCTION("""COMPUTED_VALUE"""),"認知症日常生活自立度")</f>
        <v>認知症日常生活自立度</v>
      </c>
      <c r="AD1" s="4" t="str">
        <f ca="1">IFERROR(__xludf.DUMMYFUNCTION("""COMPUTED_VALUE"""),"←｜保険情報")</f>
        <v>←｜保険情報</v>
      </c>
      <c r="AE1" s="4" t="str">
        <f ca="1">IFERROR(__xludf.DUMMYFUNCTION("""COMPUTED_VALUE"""),"▶家族状況")</f>
        <v>▶家族状況</v>
      </c>
      <c r="AF1" s="4" t="str">
        <f ca="1">IFERROR(__xludf.DUMMYFUNCTION("""COMPUTED_VALUE"""),"家族氏名-1")</f>
        <v>家族氏名-1</v>
      </c>
      <c r="AG1" s="4" t="str">
        <f ca="1">IFERROR(__xludf.DUMMYFUNCTION("""COMPUTED_VALUE"""),"続柄-1")</f>
        <v>続柄-1</v>
      </c>
      <c r="AH1" s="4" t="str">
        <f ca="1">IFERROR(__xludf.DUMMYFUNCTION("""COMPUTED_VALUE"""),"住所-1")</f>
        <v>住所-1</v>
      </c>
      <c r="AI1" s="4" t="str">
        <f ca="1">IFERROR(__xludf.DUMMYFUNCTION("""COMPUTED_VALUE"""),"同居有無-1")</f>
        <v>同居有無-1</v>
      </c>
      <c r="AJ1" s="4" t="str">
        <f ca="1">IFERROR(__xludf.DUMMYFUNCTION("""COMPUTED_VALUE"""),"介護-1")</f>
        <v>介護-1</v>
      </c>
      <c r="AK1" s="4" t="str">
        <f ca="1">IFERROR(__xludf.DUMMYFUNCTION("""COMPUTED_VALUE"""),"就労-1")</f>
        <v>就労-1</v>
      </c>
      <c r="AL1" s="4" t="str">
        <f ca="1">IFERROR(__xludf.DUMMYFUNCTION("""COMPUTED_VALUE"""),"連絡先-1")</f>
        <v>連絡先-1</v>
      </c>
      <c r="AM1" s="4" t="str">
        <f ca="1">IFERROR(__xludf.DUMMYFUNCTION("""COMPUTED_VALUE"""),"備考-1")</f>
        <v>備考-1</v>
      </c>
      <c r="AN1" s="4" t="str">
        <f ca="1">IFERROR(__xludf.DUMMYFUNCTION("""COMPUTED_VALUE"""),"家族氏名-2")</f>
        <v>家族氏名-2</v>
      </c>
      <c r="AO1" s="4" t="str">
        <f ca="1">IFERROR(__xludf.DUMMYFUNCTION("""COMPUTED_VALUE"""),"続柄-2")</f>
        <v>続柄-2</v>
      </c>
      <c r="AP1" s="4" t="str">
        <f ca="1">IFERROR(__xludf.DUMMYFUNCTION("""COMPUTED_VALUE"""),"住所-2")</f>
        <v>住所-2</v>
      </c>
      <c r="AQ1" s="4" t="str">
        <f ca="1">IFERROR(__xludf.DUMMYFUNCTION("""COMPUTED_VALUE"""),"同居有無-2")</f>
        <v>同居有無-2</v>
      </c>
      <c r="AR1" s="4" t="str">
        <f ca="1">IFERROR(__xludf.DUMMYFUNCTION("""COMPUTED_VALUE"""),"介護-2")</f>
        <v>介護-2</v>
      </c>
      <c r="AS1" s="4" t="str">
        <f ca="1">IFERROR(__xludf.DUMMYFUNCTION("""COMPUTED_VALUE"""),"就労-2")</f>
        <v>就労-2</v>
      </c>
      <c r="AT1" s="4" t="str">
        <f ca="1">IFERROR(__xludf.DUMMYFUNCTION("""COMPUTED_VALUE"""),"連絡先-2")</f>
        <v>連絡先-2</v>
      </c>
      <c r="AU1" s="4" t="str">
        <f ca="1">IFERROR(__xludf.DUMMYFUNCTION("""COMPUTED_VALUE"""),"備考-2")</f>
        <v>備考-2</v>
      </c>
      <c r="AV1" s="4" t="str">
        <f ca="1">IFERROR(__xludf.DUMMYFUNCTION("""COMPUTED_VALUE"""),"←｜家族状況")</f>
        <v>←｜家族状況</v>
      </c>
      <c r="AW1" s="4" t="str">
        <f ca="1">IFERROR(__xludf.DUMMYFUNCTION("""COMPUTED_VALUE"""),"▶居住状況")</f>
        <v>▶居住状況</v>
      </c>
      <c r="AX1" s="4" t="str">
        <f ca="1">IFERROR(__xludf.DUMMYFUNCTION("""COMPUTED_VALUE"""),"家庭環境")</f>
        <v>家庭環境</v>
      </c>
      <c r="AY1" s="4" t="str">
        <f ca="1">IFERROR(__xludf.DUMMYFUNCTION("""COMPUTED_VALUE"""),"住宅形態")</f>
        <v>住宅形態</v>
      </c>
      <c r="AZ1" s="4" t="str">
        <f ca="1">IFERROR(__xludf.DUMMYFUNCTION("""COMPUTED_VALUE"""),"住宅形態｜エレベーターの有無")</f>
        <v>住宅形態｜エレベーターの有無</v>
      </c>
      <c r="BA1" s="4" t="str">
        <f ca="1">IFERROR(__xludf.DUMMYFUNCTION("""COMPUTED_VALUE"""),"住宅権利")</f>
        <v>住宅権利</v>
      </c>
      <c r="BB1" s="4" t="str">
        <f ca="1">IFERROR(__xludf.DUMMYFUNCTION("""COMPUTED_VALUE"""),"専有居室")</f>
        <v>専有居室</v>
      </c>
      <c r="BC1" s="4" t="str">
        <f ca="1">IFERROR(__xludf.DUMMYFUNCTION("""COMPUTED_VALUE"""),"冷暖房")</f>
        <v>冷暖房</v>
      </c>
      <c r="BD1" s="4" t="str">
        <f ca="1">IFERROR(__xludf.DUMMYFUNCTION("""COMPUTED_VALUE"""),"トイレ")</f>
        <v>トイレ</v>
      </c>
      <c r="BE1" s="4" t="str">
        <f ca="1">IFERROR(__xludf.DUMMYFUNCTION("""COMPUTED_VALUE"""),"手すりの有無")</f>
        <v>手すりの有無</v>
      </c>
      <c r="BF1" s="4" t="str">
        <f ca="1">IFERROR(__xludf.DUMMYFUNCTION("""COMPUTED_VALUE"""),"段差の有無")</f>
        <v>段差の有無</v>
      </c>
      <c r="BG1" s="4" t="str">
        <f ca="1">IFERROR(__xludf.DUMMYFUNCTION("""COMPUTED_VALUE"""),"浴室")</f>
        <v>浴室</v>
      </c>
      <c r="BH1" s="4" t="str">
        <f ca="1">IFERROR(__xludf.DUMMYFUNCTION("""COMPUTED_VALUE"""),"浴室内手すり")</f>
        <v>浴室内手すり</v>
      </c>
      <c r="BI1" s="4" t="str">
        <f ca="1">IFERROR(__xludf.DUMMYFUNCTION("""COMPUTED_VALUE"""),"就寝")</f>
        <v>就寝</v>
      </c>
      <c r="BJ1" s="4" t="str">
        <f ca="1">IFERROR(__xludf.DUMMYFUNCTION("""COMPUTED_VALUE"""),"居室段差")</f>
        <v>居室段差</v>
      </c>
      <c r="BK1" s="4" t="str">
        <f ca="1">IFERROR(__xludf.DUMMYFUNCTION("""COMPUTED_VALUE"""),"住宅改修")</f>
        <v>住宅改修</v>
      </c>
      <c r="BL1" s="4" t="str">
        <f ca="1">IFERROR(__xludf.DUMMYFUNCTION("""COMPUTED_VALUE"""),"住宅改修の必要性")</f>
        <v>住宅改修の必要性</v>
      </c>
      <c r="BM1" s="4" t="str">
        <f ca="1">IFERROR(__xludf.DUMMYFUNCTION("""COMPUTED_VALUE"""),"特別な状況")</f>
        <v>特別な状況</v>
      </c>
      <c r="BN1" s="4" t="str">
        <f ca="1">IFERROR(__xludf.DUMMYFUNCTION("""COMPUTED_VALUE"""),"←｜居住状況")</f>
        <v>←｜居住状況</v>
      </c>
      <c r="BO1" s="4" t="str">
        <f ca="1">IFERROR(__xludf.DUMMYFUNCTION("""COMPUTED_VALUE"""),"▶利用サービス")</f>
        <v>▶利用サービス</v>
      </c>
      <c r="BP1" s="4" t="str">
        <f ca="1">IFERROR(__xludf.DUMMYFUNCTION("""COMPUTED_VALUE"""),"介護サービス")</f>
        <v>介護サービス</v>
      </c>
      <c r="BQ1" s="4" t="str">
        <f ca="1">IFERROR(__xludf.DUMMYFUNCTION("""COMPUTED_VALUE"""),"福祉用具")</f>
        <v>福祉用具</v>
      </c>
      <c r="BR1" s="4" t="str">
        <f ca="1">IFERROR(__xludf.DUMMYFUNCTION("""COMPUTED_VALUE"""),"その他")</f>
        <v>その他</v>
      </c>
      <c r="BS1" s="4" t="str">
        <f ca="1">IFERROR(__xludf.DUMMYFUNCTION("""COMPUTED_VALUE"""),"インフォーマルサービス")</f>
        <v>インフォーマルサービス</v>
      </c>
      <c r="BT1" s="4" t="str">
        <f ca="1">IFERROR(__xludf.DUMMYFUNCTION("""COMPUTED_VALUE"""),"社会との関り")</f>
        <v>社会との関り</v>
      </c>
      <c r="BU1" s="4" t="str">
        <f ca="1">IFERROR(__xludf.DUMMYFUNCTION("""COMPUTED_VALUE"""),"←｜利用サービス")</f>
        <v>←｜利用サービス</v>
      </c>
      <c r="BV1" s="4" t="str">
        <f ca="1">IFERROR(__xludf.DUMMYFUNCTION("""COMPUTED_VALUE"""),"身体の状況")</f>
        <v>身体の状況</v>
      </c>
      <c r="BW1" s="4" t="str">
        <f ca="1">IFERROR(__xludf.DUMMYFUNCTION("""COMPUTED_VALUE"""),"▶健康状態")</f>
        <v>▶健康状態</v>
      </c>
      <c r="BX1" s="4" t="str">
        <f ca="1">IFERROR(__xludf.DUMMYFUNCTION("""COMPUTED_VALUE"""),"疾患名-1")</f>
        <v>疾患名-1</v>
      </c>
      <c r="BY1" s="4" t="str">
        <f ca="1">IFERROR(__xludf.DUMMYFUNCTION("""COMPUTED_VALUE"""),"発症日-1")</f>
        <v>発症日-1</v>
      </c>
      <c r="BZ1" s="4" t="str">
        <f ca="1">IFERROR(__xludf.DUMMYFUNCTION("""COMPUTED_VALUE"""),"疾患名-2")</f>
        <v>疾患名-2</v>
      </c>
      <c r="CA1" s="4" t="str">
        <f ca="1">IFERROR(__xludf.DUMMYFUNCTION("""COMPUTED_VALUE"""),"発症日-2")</f>
        <v>発症日-2</v>
      </c>
      <c r="CB1" s="4" t="str">
        <f ca="1">IFERROR(__xludf.DUMMYFUNCTION("""COMPUTED_VALUE"""),"疾患名-3")</f>
        <v>疾患名-3</v>
      </c>
      <c r="CC1" s="4" t="str">
        <f ca="1">IFERROR(__xludf.DUMMYFUNCTION("""COMPUTED_VALUE"""),"発症日-3")</f>
        <v>発症日-3</v>
      </c>
      <c r="CD1" s="4" t="str">
        <f ca="1">IFERROR(__xludf.DUMMYFUNCTION("""COMPUTED_VALUE"""),"疾患名-4")</f>
        <v>疾患名-4</v>
      </c>
      <c r="CE1" s="4" t="str">
        <f ca="1">IFERROR(__xludf.DUMMYFUNCTION("""COMPUTED_VALUE"""),"発症日-4")</f>
        <v>発症日-4</v>
      </c>
      <c r="CF1" s="4" t="str">
        <f ca="1">IFERROR(__xludf.DUMMYFUNCTION("""COMPUTED_VALUE"""),"疾患名-5")</f>
        <v>疾患名-5</v>
      </c>
      <c r="CG1" s="4" t="str">
        <f ca="1">IFERROR(__xludf.DUMMYFUNCTION("""COMPUTED_VALUE"""),"発症日-5")</f>
        <v>発症日-5</v>
      </c>
      <c r="CH1" s="4" t="str">
        <f ca="1">IFERROR(__xludf.DUMMYFUNCTION("""COMPUTED_VALUE"""),"疾患名-6")</f>
        <v>疾患名-6</v>
      </c>
      <c r="CI1" s="4" t="str">
        <f ca="1">IFERROR(__xludf.DUMMYFUNCTION("""COMPUTED_VALUE"""),"発症日-6")</f>
        <v>発症日-6</v>
      </c>
      <c r="CJ1" s="4" t="str">
        <f ca="1">IFERROR(__xludf.DUMMYFUNCTION("""COMPUTED_VALUE"""),"通院")</f>
        <v>通院</v>
      </c>
      <c r="CK1" s="4" t="str">
        <f ca="1">IFERROR(__xludf.DUMMYFUNCTION("""COMPUTED_VALUE"""),"主治医※安濃津ろまん入居後（中）｜病院・医院")</f>
        <v>主治医※安濃津ろまん入居後（中）｜病院・医院</v>
      </c>
      <c r="CL1" s="4" t="str">
        <f ca="1">IFERROR(__xludf.DUMMYFUNCTION("""COMPUTED_VALUE"""),"主治医※安濃津ろまん入居後（中）｜氏名")</f>
        <v>主治医※安濃津ろまん入居後（中）｜氏名</v>
      </c>
      <c r="CM1" s="4" t="str">
        <f ca="1">IFERROR(__xludf.DUMMYFUNCTION("""COMPUTED_VALUE"""),"往診医｜病院・医院")</f>
        <v>往診医｜病院・医院</v>
      </c>
      <c r="CN1" s="4" t="str">
        <f ca="1">IFERROR(__xludf.DUMMYFUNCTION("""COMPUTED_VALUE"""),"往診医｜氏名")</f>
        <v>往診医｜氏名</v>
      </c>
      <c r="CO1" s="4" t="str">
        <f ca="1">IFERROR(__xludf.DUMMYFUNCTION("""COMPUTED_VALUE"""),"かかりつけ医①")</f>
        <v>かかりつけ医①</v>
      </c>
      <c r="CP1" s="4" t="str">
        <f ca="1">IFERROR(__xludf.DUMMYFUNCTION("""COMPUTED_VALUE"""),"かかりつけ医②")</f>
        <v>かかりつけ医②</v>
      </c>
      <c r="CQ1" s="4" t="str">
        <f ca="1">IFERROR(__xludf.DUMMYFUNCTION("""COMPUTED_VALUE"""),"かかりつけ医③")</f>
        <v>かかりつけ医③</v>
      </c>
      <c r="CR1" s="4" t="str">
        <f ca="1">IFERROR(__xludf.DUMMYFUNCTION("""COMPUTED_VALUE"""),"かかりつけ医④")</f>
        <v>かかりつけ医④</v>
      </c>
      <c r="CS1" s="4" t="str">
        <f ca="1">IFERROR(__xludf.DUMMYFUNCTION("""COMPUTED_VALUE"""),"既往歴")</f>
        <v>既往歴</v>
      </c>
      <c r="CT1" s="4" t="str">
        <f ca="1">IFERROR(__xludf.DUMMYFUNCTION("""COMPUTED_VALUE"""),"服薬")</f>
        <v>服薬</v>
      </c>
      <c r="CU1" s="4" t="str">
        <f ca="1">IFERROR(__xludf.DUMMYFUNCTION("""COMPUTED_VALUE"""),"アレルギー｜有無")</f>
        <v>アレルギー｜有無</v>
      </c>
      <c r="CV1" s="4" t="str">
        <f ca="1">IFERROR(__xludf.DUMMYFUNCTION("""COMPUTED_VALUE"""),"アレルギー｜特記")</f>
        <v>アレルギー｜特記</v>
      </c>
      <c r="CW1" s="4" t="str">
        <f ca="1">IFERROR(__xludf.DUMMYFUNCTION("""COMPUTED_VALUE"""),"←｜健康状態")</f>
        <v>←｜健康状態</v>
      </c>
      <c r="CX1" s="4" t="str">
        <f ca="1">IFERROR(__xludf.DUMMYFUNCTION("""COMPUTED_VALUE"""),"▶身体状況")</f>
        <v>▶身体状況</v>
      </c>
      <c r="CY1" s="4" t="str">
        <f ca="1">IFERROR(__xludf.DUMMYFUNCTION("""COMPUTED_VALUE"""),"皮膚疾患")</f>
        <v>皮膚疾患</v>
      </c>
      <c r="CZ1" s="4" t="str">
        <f ca="1">IFERROR(__xludf.DUMMYFUNCTION("""COMPUTED_VALUE"""),"感染症")</f>
        <v>感染症</v>
      </c>
      <c r="DA1" s="4" t="str">
        <f ca="1">IFERROR(__xludf.DUMMYFUNCTION("""COMPUTED_VALUE"""),"特別な医療処置")</f>
        <v>特別な医療処置</v>
      </c>
      <c r="DB1" s="4" t="str">
        <f ca="1">IFERROR(__xludf.DUMMYFUNCTION("""COMPUTED_VALUE"""),"麻痺")</f>
        <v>麻痺</v>
      </c>
      <c r="DC1" s="4" t="str">
        <f ca="1">IFERROR(__xludf.DUMMYFUNCTION("""COMPUTED_VALUE"""),"痛み")</f>
        <v>痛み</v>
      </c>
      <c r="DD1" s="4" t="str">
        <f ca="1">IFERROR(__xludf.DUMMYFUNCTION("""COMPUTED_VALUE"""),"身長")</f>
        <v>身長</v>
      </c>
      <c r="DE1" s="4" t="str">
        <f ca="1">IFERROR(__xludf.DUMMYFUNCTION("""COMPUTED_VALUE"""),"体重")</f>
        <v>体重</v>
      </c>
      <c r="DF1" s="4" t="str">
        <f ca="1">IFERROR(__xludf.DUMMYFUNCTION("""COMPUTED_VALUE"""),"視力")</f>
        <v>視力</v>
      </c>
      <c r="DG1" s="4" t="str">
        <f ca="1">IFERROR(__xludf.DUMMYFUNCTION("""COMPUTED_VALUE"""),"眼鏡等")</f>
        <v>眼鏡等</v>
      </c>
      <c r="DH1" s="4" t="str">
        <f ca="1">IFERROR(__xludf.DUMMYFUNCTION("""COMPUTED_VALUE"""),"聴力")</f>
        <v>聴力</v>
      </c>
      <c r="DI1" s="4" t="str">
        <f ca="1">IFERROR(__xludf.DUMMYFUNCTION("""COMPUTED_VALUE"""),"補聴器等")</f>
        <v>補聴器等</v>
      </c>
      <c r="DJ1" s="4" t="str">
        <f ca="1">IFERROR(__xludf.DUMMYFUNCTION("""COMPUTED_VALUE"""),"身体状況｜特記事項")</f>
        <v>身体状況｜特記事項</v>
      </c>
      <c r="DK1" s="4" t="str">
        <f ca="1">IFERROR(__xludf.DUMMYFUNCTION("""COMPUTED_VALUE"""),"←｜身体状況")</f>
        <v>←｜身体状況</v>
      </c>
      <c r="DL1" s="4" t="str">
        <f ca="1">IFERROR(__xludf.DUMMYFUNCTION("""COMPUTED_VALUE"""),"▶認知機能")</f>
        <v>▶認知機能</v>
      </c>
      <c r="DM1" s="4" t="str">
        <f ca="1">IFERROR(__xludf.DUMMYFUNCTION("""COMPUTED_VALUE"""),"認知症の有無")</f>
        <v>認知症の有無</v>
      </c>
      <c r="DN1" s="4" t="str">
        <f ca="1">IFERROR(__xludf.DUMMYFUNCTION("""COMPUTED_VALUE"""),"認知症の程度")</f>
        <v>認知症の程度</v>
      </c>
      <c r="DO1" s="4" t="str">
        <f ca="1">IFERROR(__xludf.DUMMYFUNCTION("""COMPUTED_VALUE"""),"BPSD")</f>
        <v>BPSD</v>
      </c>
      <c r="DP1" s="4" t="str">
        <f ca="1">IFERROR(__xludf.DUMMYFUNCTION("""COMPUTED_VALUE"""),"会話")</f>
        <v>会話</v>
      </c>
      <c r="DQ1" s="4" t="str">
        <f ca="1">IFERROR(__xludf.DUMMYFUNCTION("""COMPUTED_VALUE"""),"意思疎通")</f>
        <v>意思疎通</v>
      </c>
      <c r="DR1" s="4" t="str">
        <f ca="1">IFERROR(__xludf.DUMMYFUNCTION("""COMPUTED_VALUE"""),"認知機能｜特記事項")</f>
        <v>認知機能｜特記事項</v>
      </c>
      <c r="DS1" s="4" t="str">
        <f ca="1">IFERROR(__xludf.DUMMYFUNCTION("""COMPUTED_VALUE"""),"←｜認知機能")</f>
        <v>←｜認知機能</v>
      </c>
      <c r="DT1" s="4" t="str">
        <f ca="1">IFERROR(__xludf.DUMMYFUNCTION("""COMPUTED_VALUE"""),"日常生活動作")</f>
        <v>日常生活動作</v>
      </c>
      <c r="DU1" s="4" t="str">
        <f ca="1">IFERROR(__xludf.DUMMYFUNCTION("""COMPUTED_VALUE"""),"▶基本動作")</f>
        <v>▶基本動作</v>
      </c>
      <c r="DV1" s="4" t="str">
        <f ca="1">IFERROR(__xludf.DUMMYFUNCTION("""COMPUTED_VALUE"""),"寝返り")</f>
        <v>寝返り</v>
      </c>
      <c r="DW1" s="4" t="str">
        <f ca="1">IFERROR(__xludf.DUMMYFUNCTION("""COMPUTED_VALUE"""),"起き上がり")</f>
        <v>起き上がり</v>
      </c>
      <c r="DX1" s="4" t="str">
        <f ca="1">IFERROR(__xludf.DUMMYFUNCTION("""COMPUTED_VALUE"""),"座位")</f>
        <v>座位</v>
      </c>
      <c r="DY1" s="4" t="str">
        <f ca="1">IFERROR(__xludf.DUMMYFUNCTION("""COMPUTED_VALUE"""),"立ち上がり")</f>
        <v>立ち上がり</v>
      </c>
      <c r="DZ1" s="4" t="str">
        <f ca="1">IFERROR(__xludf.DUMMYFUNCTION("""COMPUTED_VALUE"""),"立位")</f>
        <v>立位</v>
      </c>
      <c r="EA1" s="4" t="str">
        <f ca="1">IFERROR(__xludf.DUMMYFUNCTION("""COMPUTED_VALUE"""),"移乗")</f>
        <v>移乗</v>
      </c>
      <c r="EB1" s="4" t="str">
        <f ca="1">IFERROR(__xludf.DUMMYFUNCTION("""COMPUTED_VALUE"""),"屋内移動")</f>
        <v>屋内移動</v>
      </c>
      <c r="EC1" s="4" t="str">
        <f ca="1">IFERROR(__xludf.DUMMYFUNCTION("""COMPUTED_VALUE"""),"屋内移動｜使用用具")</f>
        <v>屋内移動｜使用用具</v>
      </c>
      <c r="ED1" s="4" t="str">
        <f ca="1">IFERROR(__xludf.DUMMYFUNCTION("""COMPUTED_VALUE"""),"屋外移動")</f>
        <v>屋外移動</v>
      </c>
      <c r="EE1" s="4" t="str">
        <f ca="1">IFERROR(__xludf.DUMMYFUNCTION("""COMPUTED_VALUE"""),"屋外移動｜使用用具")</f>
        <v>屋外移動｜使用用具</v>
      </c>
      <c r="EF1" s="4" t="str">
        <f ca="1">IFERROR(__xludf.DUMMYFUNCTION("""COMPUTED_VALUE"""),"基本動作｜特記事項")</f>
        <v>基本動作｜特記事項</v>
      </c>
      <c r="EG1" s="4" t="str">
        <f ca="1">IFERROR(__xludf.DUMMYFUNCTION("""COMPUTED_VALUE"""),"←｜基本動作")</f>
        <v>←｜基本動作</v>
      </c>
      <c r="EH1" s="4" t="str">
        <f ca="1">IFERROR(__xludf.DUMMYFUNCTION("""COMPUTED_VALUE"""),"▶ADL")</f>
        <v>▶ADL</v>
      </c>
      <c r="EI1" s="4" t="str">
        <f ca="1">IFERROR(__xludf.DUMMYFUNCTION("""COMPUTED_VALUE"""),"＞食事")</f>
        <v>＞食事</v>
      </c>
      <c r="EJ1" s="4" t="str">
        <f ca="1">IFERROR(__xludf.DUMMYFUNCTION("""COMPUTED_VALUE"""),"食事方法")</f>
        <v>食事方法</v>
      </c>
      <c r="EK1" s="4" t="str">
        <f ca="1">IFERROR(__xludf.DUMMYFUNCTION("""COMPUTED_VALUE"""),"食事動作")</f>
        <v>食事動作</v>
      </c>
      <c r="EL1" s="4" t="str">
        <f ca="1">IFERROR(__xludf.DUMMYFUNCTION("""COMPUTED_VALUE"""),"嚥下")</f>
        <v>嚥下</v>
      </c>
      <c r="EM1" s="4" t="str">
        <f ca="1">IFERROR(__xludf.DUMMYFUNCTION("""COMPUTED_VALUE"""),"食事形態｜主食")</f>
        <v>食事形態｜主食</v>
      </c>
      <c r="EN1" s="4" t="str">
        <f ca="1">IFERROR(__xludf.DUMMYFUNCTION("""COMPUTED_VALUE"""),"食事形態｜副食")</f>
        <v>食事形態｜副食</v>
      </c>
      <c r="EO1" s="4" t="str">
        <f ca="1">IFERROR(__xludf.DUMMYFUNCTION("""COMPUTED_VALUE"""),"水分とろみ")</f>
        <v>水分とろみ</v>
      </c>
      <c r="EP1" s="4" t="str">
        <f ca="1">IFERROR(__xludf.DUMMYFUNCTION("""COMPUTED_VALUE"""),"食事制限")</f>
        <v>食事制限</v>
      </c>
      <c r="EQ1" s="4" t="str">
        <f ca="1">IFERROR(__xludf.DUMMYFUNCTION("""COMPUTED_VALUE"""),"道具・用具")</f>
        <v>道具・用具</v>
      </c>
      <c r="ER1" s="4" t="str">
        <f ca="1">IFERROR(__xludf.DUMMYFUNCTION("""COMPUTED_VALUE"""),"食事｜特記事項")</f>
        <v>食事｜特記事項</v>
      </c>
      <c r="ES1" s="4" t="str">
        <f ca="1">IFERROR(__xludf.DUMMYFUNCTION("""COMPUTED_VALUE"""),"←｜食事")</f>
        <v>←｜食事</v>
      </c>
      <c r="ET1" s="4" t="str">
        <f ca="1">IFERROR(__xludf.DUMMYFUNCTION("""COMPUTED_VALUE"""),"＞口腔")</f>
        <v>＞口腔</v>
      </c>
      <c r="EU1" s="4" t="str">
        <f ca="1">IFERROR(__xludf.DUMMYFUNCTION("""COMPUTED_VALUE"""),"口腔衛生")</f>
        <v>口腔衛生</v>
      </c>
      <c r="EV1" s="4" t="str">
        <f ca="1">IFERROR(__xludf.DUMMYFUNCTION("""COMPUTED_VALUE"""),"自歯の有無")</f>
        <v>自歯の有無</v>
      </c>
      <c r="EW1" s="4" t="str">
        <f ca="1">IFERROR(__xludf.DUMMYFUNCTION("""COMPUTED_VALUE"""),"義歯の有無")</f>
        <v>義歯の有無</v>
      </c>
      <c r="EX1" s="4" t="str">
        <f ca="1">IFERROR(__xludf.DUMMYFUNCTION("""COMPUTED_VALUE"""),"義歯の種類")</f>
        <v>義歯の種類</v>
      </c>
      <c r="EY1" s="4" t="str">
        <f ca="1">IFERROR(__xludf.DUMMYFUNCTION("""COMPUTED_VALUE"""),"義歯の場所")</f>
        <v>義歯の場所</v>
      </c>
      <c r="EZ1" s="4" t="str">
        <f ca="1">IFERROR(__xludf.DUMMYFUNCTION("""COMPUTED_VALUE"""),"口腔｜特記事項")</f>
        <v>口腔｜特記事項</v>
      </c>
      <c r="FA1" s="4" t="str">
        <f ca="1">IFERROR(__xludf.DUMMYFUNCTION("""COMPUTED_VALUE"""),"←｜口腔")</f>
        <v>←｜口腔</v>
      </c>
      <c r="FB1" s="4" t="str">
        <f ca="1">IFERROR(__xludf.DUMMYFUNCTION("""COMPUTED_VALUE"""),"＞入浴・更衣")</f>
        <v>＞入浴・更衣</v>
      </c>
      <c r="FC1" s="4" t="str">
        <f ca="1">IFERROR(__xludf.DUMMYFUNCTION("""COMPUTED_VALUE"""),"入浴動作")</f>
        <v>入浴動作</v>
      </c>
      <c r="FD1" s="4" t="str">
        <f ca="1">IFERROR(__xludf.DUMMYFUNCTION("""COMPUTED_VALUE"""),"形態")</f>
        <v>形態</v>
      </c>
      <c r="FE1" s="4" t="str">
        <f ca="1">IFERROR(__xludf.DUMMYFUNCTION("""COMPUTED_VALUE"""),"入浴の制限")</f>
        <v>入浴の制限</v>
      </c>
      <c r="FF1" s="4" t="str">
        <f ca="1">IFERROR(__xludf.DUMMYFUNCTION("""COMPUTED_VALUE"""),"←｜入浴")</f>
        <v>←｜入浴</v>
      </c>
      <c r="FG1" s="4" t="str">
        <f ca="1">IFERROR(__xludf.DUMMYFUNCTION("""COMPUTED_VALUE"""),"上衣")</f>
        <v>上衣</v>
      </c>
      <c r="FH1" s="4" t="str">
        <f ca="1">IFERROR(__xludf.DUMMYFUNCTION("""COMPUTED_VALUE"""),"下衣")</f>
        <v>下衣</v>
      </c>
      <c r="FI1" s="4" t="str">
        <f ca="1">IFERROR(__xludf.DUMMYFUNCTION("""COMPUTED_VALUE"""),"入浴・更衣｜特記事項")</f>
        <v>入浴・更衣｜特記事項</v>
      </c>
      <c r="FJ1" s="4" t="str">
        <f ca="1">IFERROR(__xludf.DUMMYFUNCTION("""COMPUTED_VALUE"""),"←｜更衣")</f>
        <v>←｜更衣</v>
      </c>
      <c r="FK1" s="4" t="str">
        <f ca="1">IFERROR(__xludf.DUMMYFUNCTION("""COMPUTED_VALUE"""),"＞排泄")</f>
        <v>＞排泄</v>
      </c>
      <c r="FL1" s="4" t="str">
        <f ca="1">IFERROR(__xludf.DUMMYFUNCTION("""COMPUTED_VALUE"""),"排泄動作")</f>
        <v>排泄動作</v>
      </c>
      <c r="FM1" s="4" t="str">
        <f ca="1">IFERROR(__xludf.DUMMYFUNCTION("""COMPUTED_VALUE"""),"尿意")</f>
        <v>尿意</v>
      </c>
      <c r="FN1" s="4" t="str">
        <f ca="1">IFERROR(__xludf.DUMMYFUNCTION("""COMPUTED_VALUE"""),"尿失禁")</f>
        <v>尿失禁</v>
      </c>
      <c r="FO1" s="4" t="str">
        <f ca="1">IFERROR(__xludf.DUMMYFUNCTION("""COMPUTED_VALUE"""),"便意")</f>
        <v>便意</v>
      </c>
      <c r="FP1" s="4" t="str">
        <f ca="1">IFERROR(__xludf.DUMMYFUNCTION("""COMPUTED_VALUE"""),"便失禁")</f>
        <v>便失禁</v>
      </c>
      <c r="FQ1" s="4" t="str">
        <f ca="1">IFERROR(__xludf.DUMMYFUNCTION("""COMPUTED_VALUE"""),"状況")</f>
        <v>状況</v>
      </c>
      <c r="FR1" s="4" t="str">
        <f ca="1">IFERROR(__xludf.DUMMYFUNCTION("""COMPUTED_VALUE"""),"場所｜日中")</f>
        <v>場所｜日中</v>
      </c>
      <c r="FS1" s="4" t="str">
        <f ca="1">IFERROR(__xludf.DUMMYFUNCTION("""COMPUTED_VALUE"""),"場所｜夜間")</f>
        <v>場所｜夜間</v>
      </c>
      <c r="FT1" s="4" t="str">
        <f ca="1">IFERROR(__xludf.DUMMYFUNCTION("""COMPUTED_VALUE"""),"排泄用品")</f>
        <v>排泄用品</v>
      </c>
      <c r="FU1" s="4" t="str">
        <f ca="1">IFERROR(__xludf.DUMMYFUNCTION("""COMPUTED_VALUE"""),"排泄｜特記事項")</f>
        <v>排泄｜特記事項</v>
      </c>
      <c r="FV1" s="4" t="str">
        <f ca="1">IFERROR(__xludf.DUMMYFUNCTION("""COMPUTED_VALUE"""),"←｜排泄")</f>
        <v>←｜排泄</v>
      </c>
      <c r="FW1" s="4" t="str">
        <f ca="1">IFERROR(__xludf.DUMMYFUNCTION("""COMPUTED_VALUE"""),"←｜ADL")</f>
        <v>←｜ADL</v>
      </c>
      <c r="FX1" s="4" t="str">
        <f ca="1">IFERROR(__xludf.DUMMYFUNCTION("""COMPUTED_VALUE"""),"▶IADL")</f>
        <v>▶IADL</v>
      </c>
      <c r="FY1" s="4" t="str">
        <f ca="1">IFERROR(__xludf.DUMMYFUNCTION("""COMPUTED_VALUE"""),"調理")</f>
        <v>調理</v>
      </c>
      <c r="FZ1" s="4" t="str">
        <f ca="1">IFERROR(__xludf.DUMMYFUNCTION("""COMPUTED_VALUE"""),"掃除")</f>
        <v>掃除</v>
      </c>
      <c r="GA1" s="4" t="str">
        <f ca="1">IFERROR(__xludf.DUMMYFUNCTION("""COMPUTED_VALUE"""),"洗濯")</f>
        <v>洗濯</v>
      </c>
      <c r="GB1" s="4" t="str">
        <f ca="1">IFERROR(__xludf.DUMMYFUNCTION("""COMPUTED_VALUE"""),"買い物")</f>
        <v>買い物</v>
      </c>
      <c r="GC1" s="4" t="str">
        <f ca="1">IFERROR(__xludf.DUMMYFUNCTION("""COMPUTED_VALUE"""),"金銭管理")</f>
        <v>金銭管理</v>
      </c>
      <c r="GD1" s="4" t="str">
        <f ca="1">IFERROR(__xludf.DUMMYFUNCTION("""COMPUTED_VALUE"""),"IADL｜特記事項")</f>
        <v>IADL｜特記事項</v>
      </c>
      <c r="GE1" s="4" t="str">
        <f ca="1">IFERROR(__xludf.DUMMYFUNCTION("""COMPUTED_VALUE"""),"←｜IADL")</f>
        <v>←｜IADL</v>
      </c>
      <c r="GF1" s="4" t="str">
        <f ca="1">IFERROR(__xludf.DUMMYFUNCTION("""COMPUTED_VALUE"""),"特記・備考")</f>
        <v>特記・備考</v>
      </c>
      <c r="GG1" s="4" t="str">
        <f ca="1">IFERROR(__xludf.DUMMYFUNCTION("""COMPUTED_VALUE"""),"その他、特記事項")</f>
        <v>その他、特記事項</v>
      </c>
      <c r="GH1" s="4" t="str">
        <f ca="1">IFERROR(__xludf.DUMMYFUNCTION("""COMPUTED_VALUE"""),"所要時間")</f>
        <v>所要時間</v>
      </c>
      <c r="GI1" s="4" t="str">
        <f ca="1">IFERROR(__xludf.DUMMYFUNCTION("""COMPUTED_VALUE"""),"")</f>
        <v/>
      </c>
    </row>
    <row r="2" spans="1:191">
      <c r="A2" s="4"/>
      <c r="B2" s="4"/>
      <c r="C2" s="4" t="str">
        <f ca="1">IFERROR(__xludf.DUMMYFUNCTION("""COMPUTED_VALUE"""),"藤村　國造")</f>
        <v>藤村　國造</v>
      </c>
      <c r="D2" s="4" t="str">
        <f ca="1">IFERROR(__xludf.DUMMYFUNCTION("""COMPUTED_VALUE"""),"1231")</f>
        <v>1231</v>
      </c>
      <c r="E2" s="4"/>
      <c r="F2" s="4"/>
      <c r="G2" s="4"/>
      <c r="H2" s="4"/>
      <c r="I2" s="5">
        <f ca="1">IFERROR(__xludf.DUMMYFUNCTION("""COMPUTED_VALUE"""),45477)</f>
        <v>45477</v>
      </c>
      <c r="J2" s="4" t="str">
        <f ca="1">IFERROR(__xludf.DUMMYFUNCTION("""COMPUTED_VALUE"""),"山川　和輝")</f>
        <v>山川　和輝</v>
      </c>
      <c r="K2" s="4" t="str">
        <f ca="1">IFERROR(__xludf.DUMMYFUNCTION("""COMPUTED_VALUE"""),"新規")</f>
        <v>新規</v>
      </c>
      <c r="L2" s="4" t="str">
        <f ca="1">IFERROR(__xludf.DUMMYFUNCTION("""COMPUTED_VALUE"""),"入院先の病院")</f>
        <v>入院先の病院</v>
      </c>
      <c r="M2" s="4" t="str">
        <f ca="1">IFERROR(__xludf.DUMMYFUNCTION("""COMPUTED_VALUE"""),"自宅で夫婦2人暮らし。2年ほど前から尿汚染が多くなり妻の介護も限界となってきたため、有料老人ホームに入所となったが、入所から2～3ヶ月経つ頃、熱発を度々繰り返すようになり、三重中央医療センターに入院となる。何かしらの原因で腰椎からの細菌感染によるもので抗生剤治療を行う。その後、榊原温泉病院に転院して治療を継続。榊原温泉病院での入院期間は約1年程度あったが、状態が落ち着いてきたこともあり、自宅で生活することは困難なため安濃津ろまんへ入居の申し込みをされた。")</f>
        <v>自宅で夫婦2人暮らし。2年ほど前から尿汚染が多くなり妻の介護も限界となってきたため、有料老人ホームに入所となったが、入所から2～3ヶ月経つ頃、熱発を度々繰り返すようになり、三重中央医療センターに入院となる。何かしらの原因で腰椎からの細菌感染によるもので抗生剤治療を行う。その後、榊原温泉病院に転院して治療を継続。榊原温泉病院での入院期間は約1年程度あったが、状態が落ち着いてきたこともあり、自宅で生活することは困難なため安濃津ろまんへ入居の申し込みをされた。</v>
      </c>
      <c r="N2" s="4" t="str">
        <f ca="1">IFERROR(__xludf.DUMMYFUNCTION("""COMPUTED_VALUE"""),"眠られており意向の聴取が困難でだった。")</f>
        <v>眠られており意向の聴取が困難でだった。</v>
      </c>
      <c r="O2" s="4"/>
      <c r="P2" s="4"/>
      <c r="Q2" s="4" t="str">
        <f ca="1">IFERROR(__xludf.DUMMYFUNCTION("""COMPUTED_VALUE"""),"入力")</f>
        <v>入力</v>
      </c>
      <c r="R2" s="4" t="str">
        <f ca="1">IFERROR(__xludf.DUMMYFUNCTION("""COMPUTED_VALUE"""),"要介護５")</f>
        <v>要介護５</v>
      </c>
      <c r="S2" s="4"/>
      <c r="T2" s="4"/>
      <c r="U2" s="4"/>
      <c r="V2" s="4"/>
      <c r="W2" s="4"/>
      <c r="X2" s="4"/>
      <c r="Y2" s="4"/>
      <c r="Z2" s="4"/>
      <c r="AA2" s="4"/>
      <c r="AB2" s="4"/>
      <c r="AC2" s="4"/>
      <c r="AD2" s="4"/>
      <c r="AE2" s="4" t="str">
        <f ca="1">IFERROR(__xludf.DUMMYFUNCTION("""COMPUTED_VALUE"""),"入力")</f>
        <v>入力</v>
      </c>
      <c r="AF2" s="4" t="str">
        <f ca="1">IFERROR(__xludf.DUMMYFUNCTION("""COMPUTED_VALUE"""),"藤村　高行")</f>
        <v>藤村　高行</v>
      </c>
      <c r="AG2" s="4" t="str">
        <f ca="1">IFERROR(__xludf.DUMMYFUNCTION("""COMPUTED_VALUE"""),"長男")</f>
        <v>長男</v>
      </c>
      <c r="AH2" s="4"/>
      <c r="AI2" s="4" t="str">
        <f ca="1">IFERROR(__xludf.DUMMYFUNCTION("""COMPUTED_VALUE"""),"別居")</f>
        <v>別居</v>
      </c>
      <c r="AJ2" s="4" t="str">
        <f ca="1">IFERROR(__xludf.DUMMYFUNCTION("""COMPUTED_VALUE"""),"介護する")</f>
        <v>介護する</v>
      </c>
      <c r="AK2" s="4" t="str">
        <f ca="1">IFERROR(__xludf.DUMMYFUNCTION("""COMPUTED_VALUE"""),"有")</f>
        <v>有</v>
      </c>
      <c r="AL2" s="4" t="str">
        <f ca="1">IFERROR(__xludf.DUMMYFUNCTION("""COMPUTED_VALUE"""),"090-7693-3788")</f>
        <v>090-7693-3788</v>
      </c>
      <c r="AM2" s="4" t="str">
        <f ca="1">IFERROR(__xludf.DUMMYFUNCTION("""COMPUTED_VALUE"""),"KP。津市河芸町在住。")</f>
        <v>KP。津市河芸町在住。</v>
      </c>
      <c r="AN2" s="4" t="str">
        <f ca="1">IFERROR(__xludf.DUMMYFUNCTION("""COMPUTED_VALUE"""),"藤村　聡美")</f>
        <v>藤村　聡美</v>
      </c>
      <c r="AO2" s="4" t="str">
        <f ca="1">IFERROR(__xludf.DUMMYFUNCTION("""COMPUTED_VALUE"""),"長男の妻")</f>
        <v>長男の妻</v>
      </c>
      <c r="AP2" s="4"/>
      <c r="AQ2" s="4" t="str">
        <f ca="1">IFERROR(__xludf.DUMMYFUNCTION("""COMPUTED_VALUE"""),"別居")</f>
        <v>別居</v>
      </c>
      <c r="AR2" s="4"/>
      <c r="AS2" s="4"/>
      <c r="AT2" s="4" t="str">
        <f ca="1">IFERROR(__xludf.DUMMYFUNCTION("""COMPUTED_VALUE"""),"090-5457-1470")</f>
        <v>090-5457-1470</v>
      </c>
      <c r="AU2" s="4" t="str">
        <f ca="1">IFERROR(__xludf.DUMMYFUNCTION("""COMPUTED_VALUE"""),"介護、就労状況は不明。")</f>
        <v>介護、就労状況は不明。</v>
      </c>
      <c r="AV2" s="4"/>
      <c r="AW2" s="4" t="str">
        <f ca="1">IFERROR(__xludf.DUMMYFUNCTION("""COMPUTED_VALUE"""),"入力")</f>
        <v>入力</v>
      </c>
      <c r="AX2" s="4" t="str">
        <f ca="1">IFERROR(__xludf.DUMMYFUNCTION("""COMPUTED_VALUE"""),"一人暮らし")</f>
        <v>一人暮らし</v>
      </c>
      <c r="AY2" s="4" t="str">
        <f ca="1">IFERROR(__xludf.DUMMYFUNCTION("""COMPUTED_VALUE"""),"集合住宅")</f>
        <v>集合住宅</v>
      </c>
      <c r="AZ2" s="4" t="str">
        <f ca="1">IFERROR(__xludf.DUMMYFUNCTION("""COMPUTED_VALUE"""),"エレベーター有")</f>
        <v>エレベーター有</v>
      </c>
      <c r="BA2" s="4" t="str">
        <f ca="1">IFERROR(__xludf.DUMMYFUNCTION("""COMPUTED_VALUE"""),"賃貸")</f>
        <v>賃貸</v>
      </c>
      <c r="BB2" s="4" t="str">
        <f ca="1">IFERROR(__xludf.DUMMYFUNCTION("""COMPUTED_VALUE"""),"有")</f>
        <v>有</v>
      </c>
      <c r="BC2" s="4" t="str">
        <f ca="1">IFERROR(__xludf.DUMMYFUNCTION("""COMPUTED_VALUE"""),"有")</f>
        <v>有</v>
      </c>
      <c r="BD2" s="4" t="str">
        <f ca="1">IFERROR(__xludf.DUMMYFUNCTION("""COMPUTED_VALUE"""),"ウォシュレット")</f>
        <v>ウォシュレット</v>
      </c>
      <c r="BE2" s="4"/>
      <c r="BF2" s="4"/>
      <c r="BG2" s="4" t="str">
        <f ca="1">IFERROR(__xludf.DUMMYFUNCTION("""COMPUTED_VALUE"""),"無")</f>
        <v>無</v>
      </c>
      <c r="BH2" s="4"/>
      <c r="BI2" s="4" t="str">
        <f ca="1">IFERROR(__xludf.DUMMYFUNCTION("""COMPUTED_VALUE"""),"リクライニングベッド")</f>
        <v>リクライニングベッド</v>
      </c>
      <c r="BJ2" s="4" t="str">
        <f ca="1">IFERROR(__xludf.DUMMYFUNCTION("""COMPUTED_VALUE"""),"無")</f>
        <v>無</v>
      </c>
      <c r="BK2" s="4" t="str">
        <f ca="1">IFERROR(__xludf.DUMMYFUNCTION("""COMPUTED_VALUE"""),"無")</f>
        <v>無</v>
      </c>
      <c r="BL2" s="4" t="str">
        <f ca="1">IFERROR(__xludf.DUMMYFUNCTION("""COMPUTED_VALUE"""),"無")</f>
        <v>無</v>
      </c>
      <c r="BM2" s="4"/>
      <c r="BN2" s="4"/>
      <c r="BO2" s="4"/>
      <c r="BP2" s="4"/>
      <c r="BQ2" s="4"/>
      <c r="BR2" s="4"/>
      <c r="BS2" s="4"/>
      <c r="BT2" s="4"/>
      <c r="BU2" s="4"/>
      <c r="BV2" s="4"/>
      <c r="BW2" s="4" t="str">
        <f ca="1">IFERROR(__xludf.DUMMYFUNCTION("""COMPUTED_VALUE"""),"入力")</f>
        <v>入力</v>
      </c>
      <c r="BX2" s="4" t="str">
        <f ca="1">IFERROR(__xludf.DUMMYFUNCTION("""COMPUTED_VALUE"""),"MRSA感染性心内膜炎")</f>
        <v>MRSA感染性心内膜炎</v>
      </c>
      <c r="BY2" s="4" t="str">
        <f ca="1">IFERROR(__xludf.DUMMYFUNCTION("""COMPUTED_VALUE"""),"2022/12/16")</f>
        <v>2022/12/16</v>
      </c>
      <c r="BZ2" s="4" t="str">
        <f ca="1">IFERROR(__xludf.DUMMYFUNCTION("""COMPUTED_VALUE"""),"COVID19感染")</f>
        <v>COVID19感染</v>
      </c>
      <c r="CA2" s="4" t="str">
        <f ca="1">IFERROR(__xludf.DUMMYFUNCTION("""COMPUTED_VALUE"""),"2023/01/26")</f>
        <v>2023/01/26</v>
      </c>
      <c r="CB2" s="4" t="str">
        <f ca="1">IFERROR(__xludf.DUMMYFUNCTION("""COMPUTED_VALUE"""),"誤嚥性肺炎")</f>
        <v>誤嚥性肺炎</v>
      </c>
      <c r="CC2" s="4" t="str">
        <f ca="1">IFERROR(__xludf.DUMMYFUNCTION("""COMPUTED_VALUE"""),"2023/02/07")</f>
        <v>2023/02/07</v>
      </c>
      <c r="CD2" s="4" t="str">
        <f ca="1">IFERROR(__xludf.DUMMYFUNCTION("""COMPUTED_VALUE"""),"神経因性膀胱")</f>
        <v>神経因性膀胱</v>
      </c>
      <c r="CE2" s="4" t="str">
        <f ca="1">IFERROR(__xludf.DUMMYFUNCTION("""COMPUTED_VALUE"""),"2023/08/12")</f>
        <v>2023/08/12</v>
      </c>
      <c r="CF2" s="4" t="str">
        <f ca="1">IFERROR(__xludf.DUMMYFUNCTION("""COMPUTED_VALUE"""),"化膿性脊髄炎")</f>
        <v>化膿性脊髄炎</v>
      </c>
      <c r="CG2" s="4" t="str">
        <f ca="1">IFERROR(__xludf.DUMMYFUNCTION("""COMPUTED_VALUE"""),"2023/08/12")</f>
        <v>2023/08/12</v>
      </c>
      <c r="CH2" s="4"/>
      <c r="CI2" s="4"/>
      <c r="CJ2" s="4" t="str">
        <f ca="1">IFERROR(__xludf.DUMMYFUNCTION("""COMPUTED_VALUE"""),"現在入院中。
退院後、化膿性脊髄炎による発熱が予見され、発熱された場合は整形外科を受診。（武内病院へ受診予定）
バルーンカテーテルを使用されており、武内病院で月1回の頻度で交換が必要。")</f>
        <v>現在入院中。
退院後、化膿性脊髄炎による発熱が予見され、発熱された場合は整形外科を受診。（武内病院へ受診予定）
バルーンカテーテルを使用されており、武内病院で月1回の頻度で交換が必要。</v>
      </c>
      <c r="CK2" s="4"/>
      <c r="CL2" s="4"/>
      <c r="CM2" s="4"/>
      <c r="CN2" s="4"/>
      <c r="CO2" s="4"/>
      <c r="CP2" s="4"/>
      <c r="CQ2" s="4"/>
      <c r="CR2" s="4"/>
      <c r="CS2" s="4"/>
      <c r="CT2" s="4" t="str">
        <f ca="1">IFERROR(__xludf.DUMMYFUNCTION("""COMPUTED_VALUE"""),"［薬情報］
カロナール錠200
トラゼンタ錠5ｍｇ
カンデサルタンOD錠8ｍｇ
ミノサイクリン塩酸塩カプセル100ｍｇ
アゾセミド錠30ｍｇ")</f>
        <v>［薬情報］
カロナール錠200
トラゼンタ錠5ｍｇ
カンデサルタンOD錠8ｍｇ
ミノサイクリン塩酸塩カプセル100ｍｇ
アゾセミド錠30ｍｇ</v>
      </c>
      <c r="CU2" s="4"/>
      <c r="CV2" s="4"/>
      <c r="CW2" s="4"/>
      <c r="CX2" s="4" t="str">
        <f ca="1">IFERROR(__xludf.DUMMYFUNCTION("""COMPUTED_VALUE"""),"入力")</f>
        <v>入力</v>
      </c>
      <c r="CY2" s="4" t="str">
        <f ca="1">IFERROR(__xludf.DUMMYFUNCTION("""COMPUTED_VALUE"""),"無")</f>
        <v>無</v>
      </c>
      <c r="CZ2" s="4" t="str">
        <f ca="1">IFERROR(__xludf.DUMMYFUNCTION("""COMPUTED_VALUE"""),"無")</f>
        <v>無</v>
      </c>
      <c r="DA2" s="4" t="str">
        <f ca="1">IFERROR(__xludf.DUMMYFUNCTION("""COMPUTED_VALUE"""),"カテーテル")</f>
        <v>カテーテル</v>
      </c>
      <c r="DB2" s="4" t="str">
        <f ca="1">IFERROR(__xludf.DUMMYFUNCTION("""COMPUTED_VALUE"""),"なし")</f>
        <v>なし</v>
      </c>
      <c r="DC2" s="4" t="str">
        <f ca="1">IFERROR(__xludf.DUMMYFUNCTION("""COMPUTED_VALUE"""),"左股関節に拘縮があり他動で痛みあり。")</f>
        <v>左股関節に拘縮があり他動で痛みあり。</v>
      </c>
      <c r="DD2" s="4">
        <f ca="1">IFERROR(__xludf.DUMMYFUNCTION("""COMPUTED_VALUE"""),149)</f>
        <v>149</v>
      </c>
      <c r="DE2" s="4">
        <f ca="1">IFERROR(__xludf.DUMMYFUNCTION("""COMPUTED_VALUE"""),42)</f>
        <v>42</v>
      </c>
      <c r="DF2" s="4" t="str">
        <f ca="1">IFERROR(__xludf.DUMMYFUNCTION("""COMPUTED_VALUE"""),"大きい字は可")</f>
        <v>大きい字は可</v>
      </c>
      <c r="DG2" s="4" t="str">
        <f ca="1">IFERROR(__xludf.DUMMYFUNCTION("""COMPUTED_VALUE"""),"有")</f>
        <v>有</v>
      </c>
      <c r="DH2" s="4" t="str">
        <f ca="1">IFERROR(__xludf.DUMMYFUNCTION("""COMPUTED_VALUE"""),"大きい声は可")</f>
        <v>大きい声は可</v>
      </c>
      <c r="DI2" s="4" t="str">
        <f ca="1">IFERROR(__xludf.DUMMYFUNCTION("""COMPUTED_VALUE"""),"無")</f>
        <v>無</v>
      </c>
      <c r="DJ2" s="4" t="str">
        <f ca="1">IFERROR(__xludf.DUMMYFUNCTION("""COMPUTED_VALUE"""),"MRSAの既往があるものの、現在は特に問題なし。
左股関節に拘縮があり、他動で動かすことで痛みを生じる。
難聴があり、大きな声で話す必要があるが、声が大きすぎると時折「うるさい。」と言われることもある。
インシュリンは必要ないが、現在は血糖測定を月木の朝昼晩で行っているが、退院時はなしになる予定。")</f>
        <v>MRSAの既往があるものの、現在は特に問題なし。
左股関節に拘縮があり、他動で動かすことで痛みを生じる。
難聴があり、大きな声で話す必要があるが、声が大きすぎると時折「うるさい。」と言われることもある。
インシュリンは必要ないが、現在は血糖測定を月木の朝昼晩で行っているが、退院時はなしになる予定。</v>
      </c>
      <c r="DK2" s="4"/>
      <c r="DL2" s="4" t="str">
        <f ca="1">IFERROR(__xludf.DUMMYFUNCTION("""COMPUTED_VALUE"""),"入力")</f>
        <v>入力</v>
      </c>
      <c r="DM2" s="4" t="str">
        <f ca="1">IFERROR(__xludf.DUMMYFUNCTION("""COMPUTED_VALUE"""),"有")</f>
        <v>有</v>
      </c>
      <c r="DN2" s="4"/>
      <c r="DO2" s="4" t="str">
        <f ca="1">IFERROR(__xludf.DUMMYFUNCTION("""COMPUTED_VALUE"""),"無")</f>
        <v>無</v>
      </c>
      <c r="DP2" s="4" t="str">
        <f ca="1">IFERROR(__xludf.DUMMYFUNCTION("""COMPUTED_VALUE"""),"不明瞭")</f>
        <v>不明瞭</v>
      </c>
      <c r="DQ2" s="4" t="str">
        <f ca="1">IFERROR(__xludf.DUMMYFUNCTION("""COMPUTED_VALUE"""),"その場のみ可")</f>
        <v>その場のみ可</v>
      </c>
      <c r="DR2" s="4" t="str">
        <f ca="1">IFERROR(__xludf.DUMMYFUNCTION("""COMPUTED_VALUE"""),"認知機能の低下はあるものの、精査が困難。問題行動や介護抵抗等は見られない。")</f>
        <v>認知機能の低下はあるものの、精査が困難。問題行動や介護抵抗等は見られない。</v>
      </c>
      <c r="DS2" s="4"/>
      <c r="DT2" s="4"/>
      <c r="DU2" s="4" t="str">
        <f ca="1">IFERROR(__xludf.DUMMYFUNCTION("""COMPUTED_VALUE"""),"入力")</f>
        <v>入力</v>
      </c>
      <c r="DV2" s="4" t="str">
        <f ca="1">IFERROR(__xludf.DUMMYFUNCTION("""COMPUTED_VALUE"""),"できない")</f>
        <v>できない</v>
      </c>
      <c r="DW2" s="4" t="str">
        <f ca="1">IFERROR(__xludf.DUMMYFUNCTION("""COMPUTED_VALUE"""),"できない")</f>
        <v>できない</v>
      </c>
      <c r="DX2" s="4" t="str">
        <f ca="1">IFERROR(__xludf.DUMMYFUNCTION("""COMPUTED_VALUE"""),"支えてもらえればできる")</f>
        <v>支えてもらえればできる</v>
      </c>
      <c r="DY2" s="4" t="str">
        <f ca="1">IFERROR(__xludf.DUMMYFUNCTION("""COMPUTED_VALUE"""),"できない")</f>
        <v>できない</v>
      </c>
      <c r="DZ2" s="4" t="str">
        <f ca="1">IFERROR(__xludf.DUMMYFUNCTION("""COMPUTED_VALUE"""),"できない")</f>
        <v>できない</v>
      </c>
      <c r="EA2" s="4" t="str">
        <f ca="1">IFERROR(__xludf.DUMMYFUNCTION("""COMPUTED_VALUE"""),"全介助")</f>
        <v>全介助</v>
      </c>
      <c r="EB2" s="4" t="str">
        <f ca="1">IFERROR(__xludf.DUMMYFUNCTION("""COMPUTED_VALUE"""),"全介助")</f>
        <v>全介助</v>
      </c>
      <c r="EC2" s="4" t="str">
        <f ca="1">IFERROR(__xludf.DUMMYFUNCTION("""COMPUTED_VALUE"""),"車椅子")</f>
        <v>車椅子</v>
      </c>
      <c r="ED2" s="4" t="str">
        <f ca="1">IFERROR(__xludf.DUMMYFUNCTION("""COMPUTED_VALUE"""),"全介助")</f>
        <v>全介助</v>
      </c>
      <c r="EE2" s="4" t="str">
        <f ca="1">IFERROR(__xludf.DUMMYFUNCTION("""COMPUTED_VALUE"""),"車椅子")</f>
        <v>車椅子</v>
      </c>
      <c r="EF2" s="4" t="str">
        <f ca="1">IFERROR(__xludf.DUMMYFUNCTION("""COMPUTED_VALUE"""),"移動はリクライニング車椅子が必要。リクライニング車椅子に座れば1～
2時間程度は座り続けることができる。
基本動作は全介助となっている。
寝返りが自身で行うことができず、3～4時間に一度体位交換を行う必要がある。")</f>
        <v>移動はリクライニング車椅子が必要。リクライニング車椅子に座れば1～
2時間程度は座り続けることができる。
基本動作は全介助となっている。
寝返りが自身で行うことができず、3～4時間に一度体位交換を行う必要がある。</v>
      </c>
      <c r="EG2" s="4"/>
      <c r="EH2" s="4" t="str">
        <f ca="1">IFERROR(__xludf.DUMMYFUNCTION("""COMPUTED_VALUE"""),"入力")</f>
        <v>入力</v>
      </c>
      <c r="EI2" s="4" t="str">
        <f ca="1">IFERROR(__xludf.DUMMYFUNCTION("""COMPUTED_VALUE"""),"入力")</f>
        <v>入力</v>
      </c>
      <c r="EJ2" s="4" t="str">
        <f ca="1">IFERROR(__xludf.DUMMYFUNCTION("""COMPUTED_VALUE"""),"経口摂取")</f>
        <v>経口摂取</v>
      </c>
      <c r="EK2" s="4" t="str">
        <f ca="1">IFERROR(__xludf.DUMMYFUNCTION("""COMPUTED_VALUE"""),"一部介助")</f>
        <v>一部介助</v>
      </c>
      <c r="EL2" s="4" t="str">
        <f ca="1">IFERROR(__xludf.DUMMYFUNCTION("""COMPUTED_VALUE"""),"見守り等が必要")</f>
        <v>見守り等が必要</v>
      </c>
      <c r="EM2" s="4" t="str">
        <f ca="1">IFERROR(__xludf.DUMMYFUNCTION("""COMPUTED_VALUE"""),"全粥")</f>
        <v>全粥</v>
      </c>
      <c r="EN2" s="4" t="str">
        <f ca="1">IFERROR(__xludf.DUMMYFUNCTION("""COMPUTED_VALUE"""),"ペースト")</f>
        <v>ペースト</v>
      </c>
      <c r="EO2" s="4" t="str">
        <f ca="1">IFERROR(__xludf.DUMMYFUNCTION("""COMPUTED_VALUE"""),"有")</f>
        <v>有</v>
      </c>
      <c r="EP2" s="4" t="str">
        <f ca="1">IFERROR(__xludf.DUMMYFUNCTION("""COMPUTED_VALUE"""),"有")</f>
        <v>有</v>
      </c>
      <c r="EQ2" s="4" t="str">
        <f ca="1">IFERROR(__xludf.DUMMYFUNCTION("""COMPUTED_VALUE"""),"スプーン , エプロン")</f>
        <v>スプーン , エプロン</v>
      </c>
      <c r="ER2" s="4" t="str">
        <f ca="1">IFERROR(__xludf.DUMMYFUNCTION("""COMPUTED_VALUE"""),"食事はベッド上ギャッジアップ座位で自己摂取可能。しかし疲労により手が止まるため、その後は介助を行っている。食事中、姿勢が崩れることはないが、食事の支援が必要。食事摂取量は介助すれば8割程度は摂取可能。栄養補助食品のメイバランスと、朝にヨーグルトを食べている。
塩分制限食を食べられており、アレルギーはない。")</f>
        <v>食事はベッド上ギャッジアップ座位で自己摂取可能。しかし疲労により手が止まるため、その後は介助を行っている。食事中、姿勢が崩れることはないが、食事の支援が必要。食事摂取量は介助すれば8割程度は摂取可能。栄養補助食品のメイバランスと、朝にヨーグルトを食べている。
塩分制限食を食べられており、アレルギーはない。</v>
      </c>
      <c r="ES2" s="4"/>
      <c r="ET2" s="4" t="str">
        <f ca="1">IFERROR(__xludf.DUMMYFUNCTION("""COMPUTED_VALUE"""),"入力")</f>
        <v>入力</v>
      </c>
      <c r="EU2" s="4" t="str">
        <f ca="1">IFERROR(__xludf.DUMMYFUNCTION("""COMPUTED_VALUE"""),"全介助")</f>
        <v>全介助</v>
      </c>
      <c r="EV2" s="4"/>
      <c r="EW2" s="4" t="str">
        <f ca="1">IFERROR(__xludf.DUMMYFUNCTION("""COMPUTED_VALUE"""),"無")</f>
        <v>無</v>
      </c>
      <c r="EX2" s="4"/>
      <c r="EY2" s="4"/>
      <c r="EZ2" s="4" t="str">
        <f ca="1">IFERROR(__xludf.DUMMYFUNCTION("""COMPUTED_VALUE"""),"歯はすべてないものの、義歯は使用されていない。口腔ケアは口腔スポンジでふき取りを介助している。")</f>
        <v>歯はすべてないものの、義歯は使用されていない。口腔ケアは口腔スポンジでふき取りを介助している。</v>
      </c>
      <c r="FA2" s="4"/>
      <c r="FB2" s="4" t="str">
        <f ca="1">IFERROR(__xludf.DUMMYFUNCTION("""COMPUTED_VALUE"""),"入力")</f>
        <v>入力</v>
      </c>
      <c r="FC2" s="4" t="str">
        <f ca="1">IFERROR(__xludf.DUMMYFUNCTION("""COMPUTED_VALUE"""),"全介助")</f>
        <v>全介助</v>
      </c>
      <c r="FD2" s="4" t="str">
        <f ca="1">IFERROR(__xludf.DUMMYFUNCTION("""COMPUTED_VALUE"""),"寝台浴")</f>
        <v>寝台浴</v>
      </c>
      <c r="FE2" s="4" t="str">
        <f ca="1">IFERROR(__xludf.DUMMYFUNCTION("""COMPUTED_VALUE"""),"無")</f>
        <v>無</v>
      </c>
      <c r="FF2" s="4"/>
      <c r="FG2" s="4" t="str">
        <f ca="1">IFERROR(__xludf.DUMMYFUNCTION("""COMPUTED_VALUE"""),"全介助")</f>
        <v>全介助</v>
      </c>
      <c r="FH2" s="4" t="str">
        <f ca="1">IFERROR(__xludf.DUMMYFUNCTION("""COMPUTED_VALUE"""),"全介助")</f>
        <v>全介助</v>
      </c>
      <c r="FI2" s="4" t="str">
        <f ca="1">IFERROR(__xludf.DUMMYFUNCTION("""COMPUTED_VALUE"""),"入浴、更衣は全介助となっている。")</f>
        <v>入浴、更衣は全介助となっている。</v>
      </c>
      <c r="FJ2" s="4"/>
      <c r="FK2" s="4" t="str">
        <f ca="1">IFERROR(__xludf.DUMMYFUNCTION("""COMPUTED_VALUE"""),"入力")</f>
        <v>入力</v>
      </c>
      <c r="FL2" s="4" t="str">
        <f ca="1">IFERROR(__xludf.DUMMYFUNCTION("""COMPUTED_VALUE"""),"全介助")</f>
        <v>全介助</v>
      </c>
      <c r="FM2" s="4" t="str">
        <f ca="1">IFERROR(__xludf.DUMMYFUNCTION("""COMPUTED_VALUE"""),"無")</f>
        <v>無</v>
      </c>
      <c r="FN2" s="4" t="str">
        <f ca="1">IFERROR(__xludf.DUMMYFUNCTION("""COMPUTED_VALUE"""),"無")</f>
        <v>無</v>
      </c>
      <c r="FO2" s="4" t="str">
        <f ca="1">IFERROR(__xludf.DUMMYFUNCTION("""COMPUTED_VALUE"""),"無")</f>
        <v>無</v>
      </c>
      <c r="FP2" s="4" t="str">
        <f ca="1">IFERROR(__xludf.DUMMYFUNCTION("""COMPUTED_VALUE"""),"無")</f>
        <v>無</v>
      </c>
      <c r="FQ2" s="4"/>
      <c r="FR2" s="4" t="str">
        <f ca="1">IFERROR(__xludf.DUMMYFUNCTION("""COMPUTED_VALUE"""),"オムツ , カテーテル")</f>
        <v>オムツ , カテーテル</v>
      </c>
      <c r="FS2" s="4" t="str">
        <f ca="1">IFERROR(__xludf.DUMMYFUNCTION("""COMPUTED_VALUE"""),"オムツ , カテーテル")</f>
        <v>オムツ , カテーテル</v>
      </c>
      <c r="FT2" s="4" t="str">
        <f ca="1">IFERROR(__xludf.DUMMYFUNCTION("""COMPUTED_VALUE"""),"紙おむつ , 大パット")</f>
        <v>紙おむつ , 大パット</v>
      </c>
      <c r="FU2" s="4" t="str">
        <f ca="1">IFERROR(__xludf.DUMMYFUNCTION("""COMPUTED_VALUE"""),"排尿はバルーンカテーテルを使用している。
排便はオムツ内に行うため、オムツ交換が必要。")</f>
        <v>排尿はバルーンカテーテルを使用している。
排便はオムツ内に行うため、オムツ交換が必要。</v>
      </c>
      <c r="FV2" s="4"/>
      <c r="FW2" s="4"/>
      <c r="FX2" s="4" t="str">
        <f ca="1">IFERROR(__xludf.DUMMYFUNCTION("""COMPUTED_VALUE"""),"入力")</f>
        <v>入力</v>
      </c>
      <c r="FY2" s="4" t="str">
        <f ca="1">IFERROR(__xludf.DUMMYFUNCTION("""COMPUTED_VALUE"""),"全介助")</f>
        <v>全介助</v>
      </c>
      <c r="FZ2" s="4" t="str">
        <f ca="1">IFERROR(__xludf.DUMMYFUNCTION("""COMPUTED_VALUE"""),"全介助")</f>
        <v>全介助</v>
      </c>
      <c r="GA2" s="4" t="str">
        <f ca="1">IFERROR(__xludf.DUMMYFUNCTION("""COMPUTED_VALUE"""),"全介助")</f>
        <v>全介助</v>
      </c>
      <c r="GB2" s="4" t="str">
        <f ca="1">IFERROR(__xludf.DUMMYFUNCTION("""COMPUTED_VALUE"""),"全介助")</f>
        <v>全介助</v>
      </c>
      <c r="GC2" s="4" t="str">
        <f ca="1">IFERROR(__xludf.DUMMYFUNCTION("""COMPUTED_VALUE"""),"全介助")</f>
        <v>全介助</v>
      </c>
      <c r="GD2" s="4" t="str">
        <f ca="1">IFERROR(__xludf.DUMMYFUNCTION("""COMPUTED_VALUE"""),"すべて介助が必要。")</f>
        <v>すべて介助が必要。</v>
      </c>
      <c r="GE2" s="4"/>
      <c r="GF2" s="4"/>
      <c r="GG2" s="4" t="str">
        <f ca="1">IFERROR(__xludf.DUMMYFUNCTION("""COMPUTED_VALUE"""),"【榊原温泉病院に入院前から現在までの経過】
元々要介護3で施設に入所していた。
2022年12月16日に発熱があり、三重中央医療センターへ救急搬送。MRSA感染性心内膜炎で抗生剤加療。その後2023年1月26日にCOVID19に感染、低ナトリウム血症等併発したが、2月6日に退院。しかし、翌日2月7日に再度発熱があり三重中央医療センターへ救急搬送。COVID19再感染疑いで再入院。誤嚥性肺炎併発あり抗生剤等で加療。2月18日～再度発熱あり、MRSA菌血症再燃、胆石胆嚢炎疑いで、絶食・抗生剤加療。その後食事再"&amp;"開し介助で摂取可能も低アルブミン血症を認め、また入院の長期化に伴い廃用症候群と発熱を繰り返しており退院は困難な状況。継続加療・療養目的にて2023年4月4日に榊原温泉病院に転院。
6月24日血培やMRSA菌血症が判明しVCM投与で治療し一旦は落ち着いたが、腰痛が持続し8月5日から発熱あり、両側股関節痛や、胸腰椎移行部叩打痛あり、CPR24台で、CTの結果L5椎体内に多房性の低吸収域があり、化膿性脊髄炎や椎体腫瘍の可能性を指摘され8月12日に武内病院へ転院となる。精査の結果、ドレナージ適応無、手術も不可と判"&amp;"断。全身浮腫、低栄養、胸水ありBa挿入8月14日Hb低下あり輸血施行。抗生剤投与での治療継続。8月17日に榊原温泉病院へ戻られた。
榊原温泉病院に戻られた後から現在にかけて状態は落ち着いている。")</f>
        <v>【榊原温泉病院に入院前から現在までの経過】
元々要介護3で施設に入所していた。
2022年12月16日に発熱があり、三重中央医療センターへ救急搬送。MRSA感染性心内膜炎で抗生剤加療。その後2023年1月26日にCOVID19に感染、低ナトリウム血症等併発したが、2月6日に退院。しかし、翌日2月7日に再度発熱があり三重中央医療センターへ救急搬送。COVID19再感染疑いで再入院。誤嚥性肺炎併発あり抗生剤等で加療。2月18日～再度発熱あり、MRSA菌血症再燃、胆石胆嚢炎疑いで、絶食・抗生剤加療。その後食事再開し介助で摂取可能も低アルブミン血症を認め、また入院の長期化に伴い廃用症候群と発熱を繰り返しており退院は困難な状況。継続加療・療養目的にて2023年4月4日に榊原温泉病院に転院。
6月24日血培やMRSA菌血症が判明しVCM投与で治療し一旦は落ち着いたが、腰痛が持続し8月5日から発熱あり、両側股関節痛や、胸腰椎移行部叩打痛あり、CPR24台で、CTの結果L5椎体内に多房性の低吸収域があり、化膿性脊髄炎や椎体腫瘍の可能性を指摘され8月12日に武内病院へ転院となる。精査の結果、ドレナージ適応無、手術も不可と判断。全身浮腫、低栄養、胸水ありBa挿入8月14日Hb低下あり輸血施行。抗生剤投与での治療継続。8月17日に榊原温泉病院へ戻られた。
榊原温泉病院に戻られた後から現在にかけて状態は落ち着いている。</v>
      </c>
      <c r="GH2" s="4">
        <f ca="1">IFERROR(__xludf.DUMMYFUNCTION("""COMPUTED_VALUE"""),40)</f>
        <v>40</v>
      </c>
      <c r="GI2" s="4"/>
    </row>
    <row r="3" spans="1:191">
      <c r="A3" s="4"/>
      <c r="B3" s="4"/>
      <c r="C3" s="4" t="str">
        <f ca="1">IFERROR(__xludf.DUMMYFUNCTION("""COMPUTED_VALUE"""),"山岡　義夫")</f>
        <v>山岡　義夫</v>
      </c>
      <c r="D3" s="4" t="str">
        <f ca="1">IFERROR(__xludf.DUMMYFUNCTION("""COMPUTED_VALUE"""),"98cbe691")</f>
        <v>98cbe691</v>
      </c>
      <c r="E3" s="4" t="str">
        <f ca="1">IFERROR(__xludf.DUMMYFUNCTION("""COMPUTED_VALUE"""),"山川　和輝")</f>
        <v>山川　和輝</v>
      </c>
      <c r="F3" s="4" t="str">
        <f ca="1">IFERROR(__xludf.DUMMYFUNCTION("""COMPUTED_VALUE"""),"や")</f>
        <v>や</v>
      </c>
      <c r="G3" s="4" t="str">
        <f ca="1">IFERROR(__xludf.DUMMYFUNCTION("""COMPUTED_VALUE"""),"利用者選択｜絞り込み")</f>
        <v>利用者選択｜絞り込み</v>
      </c>
      <c r="H3" s="4"/>
      <c r="I3" s="5">
        <f ca="1">IFERROR(__xludf.DUMMYFUNCTION("""COMPUTED_VALUE"""),45569)</f>
        <v>45569</v>
      </c>
      <c r="J3" s="4" t="str">
        <f ca="1">IFERROR(__xludf.DUMMYFUNCTION("""COMPUTED_VALUE"""),"山川　和輝")</f>
        <v>山川　和輝</v>
      </c>
      <c r="K3" s="4" t="str">
        <f ca="1">IFERROR(__xludf.DUMMYFUNCTION("""COMPUTED_VALUE"""),"新規")</f>
        <v>新規</v>
      </c>
      <c r="L3" s="4" t="str">
        <f ca="1">IFERROR(__xludf.DUMMYFUNCTION("""COMPUTED_VALUE"""),"本人の居室")</f>
        <v>本人の居室</v>
      </c>
      <c r="M3" s="4" t="str">
        <f ca="1">IFERROR(__xludf.DUMMYFUNCTION("""COMPUTED_VALUE"""),"自宅で自立生活を送り仕事にも通っていたが、令和5年11月に脳リンパ腫により三重大学病院に入院。令和6年5月末に退院し、3日間だけ自宅に戻ったが、歩行能力の低下と認知症が見られたため、リハビリ目的にて津生協病院に入院。約1ヶ月入院したところで、肺炎となり再び三重大学病院に入院。主治医より在宅復帰は困難と判断され、令和6年7月20日に安濃津ろまんへ入居となった。")</f>
        <v>自宅で自立生活を送り仕事にも通っていたが、令和5年11月に脳リンパ腫により三重大学病院に入院。令和6年5月末に退院し、3日間だけ自宅に戻ったが、歩行能力の低下と認知症が見られたため、リハビリ目的にて津生協病院に入院。約1ヶ月入院したところで、肺炎となり再び三重大学病院に入院。主治医より在宅復帰は困難と判断され、令和6年7月20日に安濃津ろまんへ入居となった。</v>
      </c>
      <c r="N3" s="4"/>
      <c r="O3" s="4" t="str">
        <f ca="1">IFERROR(__xludf.DUMMYFUNCTION("""COMPUTED_VALUE"""),"もう家で介護はできないので、施設でリハビリを受けて前のように楽に動けるようになってほしいと思っています。")</f>
        <v>もう家で介護はできないので、施設でリハビリを受けて前のように楽に動けるようになってほしいと思っています。</v>
      </c>
      <c r="P3" s="4"/>
      <c r="Q3" s="4" t="str">
        <f ca="1">IFERROR(__xludf.DUMMYFUNCTION("""COMPUTED_VALUE"""),"入力")</f>
        <v>入力</v>
      </c>
      <c r="R3" s="4" t="str">
        <f ca="1">IFERROR(__xludf.DUMMYFUNCTION("""COMPUTED_VALUE"""),"要介護３")</f>
        <v>要介護３</v>
      </c>
      <c r="S3" s="4" t="str">
        <f ca="1">IFERROR(__xludf.DUMMYFUNCTION("""COMPUTED_VALUE"""),"令和6年9月3日")</f>
        <v>令和6年9月3日</v>
      </c>
      <c r="T3" s="4" t="str">
        <f ca="1">IFERROR(__xludf.DUMMYFUNCTION("""COMPUTED_VALUE"""),"令和6年8月1日")</f>
        <v>令和6年8月1日</v>
      </c>
      <c r="U3" s="4" t="str">
        <f ca="1">IFERROR(__xludf.DUMMYFUNCTION("""COMPUTED_VALUE"""),"令和7年7月31日")</f>
        <v>令和7年7月31日</v>
      </c>
      <c r="V3" s="4" t="str">
        <f ca="1">IFERROR(__xludf.DUMMYFUNCTION("""COMPUTED_VALUE"""),"１割負担")</f>
        <v>１割負担</v>
      </c>
      <c r="W3" s="4" t="str">
        <f ca="1">IFERROR(__xludf.DUMMYFUNCTION("""COMPUTED_VALUE"""),"国民健康保険")</f>
        <v>国民健康保険</v>
      </c>
      <c r="X3" s="4" t="str">
        <f ca="1">IFERROR(__xludf.DUMMYFUNCTION("""COMPUTED_VALUE"""),"無")</f>
        <v>無</v>
      </c>
      <c r="Y3" s="4"/>
      <c r="Z3" s="4" t="str">
        <f ca="1">IFERROR(__xludf.DUMMYFUNCTION("""COMPUTED_VALUE"""),"無")</f>
        <v>無</v>
      </c>
      <c r="AA3" s="4" t="str">
        <f ca="1">IFERROR(__xludf.DUMMYFUNCTION("""COMPUTED_VALUE"""),"無")</f>
        <v>無</v>
      </c>
      <c r="AB3" s="4"/>
      <c r="AC3" s="4"/>
      <c r="AD3" s="4"/>
      <c r="AE3" s="4" t="str">
        <f ca="1">IFERROR(__xludf.DUMMYFUNCTION("""COMPUTED_VALUE"""),"入力")</f>
        <v>入力</v>
      </c>
      <c r="AF3" s="4" t="str">
        <f ca="1">IFERROR(__xludf.DUMMYFUNCTION("""COMPUTED_VALUE"""),"山岡　陽子様")</f>
        <v>山岡　陽子様</v>
      </c>
      <c r="AG3" s="4" t="str">
        <f ca="1">IFERROR(__xludf.DUMMYFUNCTION("""COMPUTED_VALUE"""),"妻")</f>
        <v>妻</v>
      </c>
      <c r="AH3" s="4"/>
      <c r="AI3" s="4" t="str">
        <f ca="1">IFERROR(__xludf.DUMMYFUNCTION("""COMPUTED_VALUE"""),"別居")</f>
        <v>別居</v>
      </c>
      <c r="AJ3" s="4" t="str">
        <f ca="1">IFERROR(__xludf.DUMMYFUNCTION("""COMPUTED_VALUE"""),"介護する")</f>
        <v>介護する</v>
      </c>
      <c r="AK3" s="4" t="str">
        <f ca="1">IFERROR(__xludf.DUMMYFUNCTION("""COMPUTED_VALUE"""),"有")</f>
        <v>有</v>
      </c>
      <c r="AL3" s="4" t="str">
        <f ca="1">IFERROR(__xludf.DUMMYFUNCTION("""COMPUTED_VALUE"""),"090-7679-9851")</f>
        <v>090-7679-9851</v>
      </c>
      <c r="AM3" s="4" t="str">
        <f ca="1">IFERROR(__xludf.DUMMYFUNCTION("""COMPUTED_VALUE"""),"KP")</f>
        <v>KP</v>
      </c>
      <c r="AN3" s="4"/>
      <c r="AO3" s="4"/>
      <c r="AP3" s="4"/>
      <c r="AQ3" s="4"/>
      <c r="AR3" s="4"/>
      <c r="AS3" s="4"/>
      <c r="AT3" s="4"/>
      <c r="AU3" s="4"/>
      <c r="AV3" s="4"/>
      <c r="AW3" s="4" t="str">
        <f ca="1">IFERROR(__xludf.DUMMYFUNCTION("""COMPUTED_VALUE"""),"入力")</f>
        <v>入力</v>
      </c>
      <c r="AX3" s="4" t="str">
        <f ca="1">IFERROR(__xludf.DUMMYFUNCTION("""COMPUTED_VALUE"""),"家族同居")</f>
        <v>家族同居</v>
      </c>
      <c r="AY3" s="4" t="str">
        <f ca="1">IFERROR(__xludf.DUMMYFUNCTION("""COMPUTED_VALUE"""),"一戸建て")</f>
        <v>一戸建て</v>
      </c>
      <c r="AZ3" s="4" t="str">
        <f ca="1">IFERROR(__xludf.DUMMYFUNCTION("""COMPUTED_VALUE"""),"エレベーター有")</f>
        <v>エレベーター有</v>
      </c>
      <c r="BA3" s="4" t="str">
        <f ca="1">IFERROR(__xludf.DUMMYFUNCTION("""COMPUTED_VALUE"""),"所有")</f>
        <v>所有</v>
      </c>
      <c r="BB3" s="4" t="str">
        <f ca="1">IFERROR(__xludf.DUMMYFUNCTION("""COMPUTED_VALUE"""),"有")</f>
        <v>有</v>
      </c>
      <c r="BC3" s="4" t="str">
        <f ca="1">IFERROR(__xludf.DUMMYFUNCTION("""COMPUTED_VALUE"""),"有")</f>
        <v>有</v>
      </c>
      <c r="BD3" s="4" t="str">
        <f ca="1">IFERROR(__xludf.DUMMYFUNCTION("""COMPUTED_VALUE"""),"洋式")</f>
        <v>洋式</v>
      </c>
      <c r="BE3" s="4"/>
      <c r="BF3" s="4"/>
      <c r="BG3" s="4" t="str">
        <f ca="1">IFERROR(__xludf.DUMMYFUNCTION("""COMPUTED_VALUE"""),"有")</f>
        <v>有</v>
      </c>
      <c r="BH3" s="4" t="str">
        <f ca="1">IFERROR(__xludf.DUMMYFUNCTION("""COMPUTED_VALUE"""),"手すり無")</f>
        <v>手すり無</v>
      </c>
      <c r="BI3" s="4" t="str">
        <f ca="1">IFERROR(__xludf.DUMMYFUNCTION("""COMPUTED_VALUE"""),"ベッド")</f>
        <v>ベッド</v>
      </c>
      <c r="BJ3" s="4" t="str">
        <f ca="1">IFERROR(__xludf.DUMMYFUNCTION("""COMPUTED_VALUE"""),"無")</f>
        <v>無</v>
      </c>
      <c r="BK3" s="4" t="str">
        <f ca="1">IFERROR(__xludf.DUMMYFUNCTION("""COMPUTED_VALUE"""),"無")</f>
        <v>無</v>
      </c>
      <c r="BL3" s="4" t="str">
        <f ca="1">IFERROR(__xludf.DUMMYFUNCTION("""COMPUTED_VALUE"""),"無")</f>
        <v>無</v>
      </c>
      <c r="BM3" s="4"/>
      <c r="BN3" s="4"/>
      <c r="BO3" s="4" t="str">
        <f ca="1">IFERROR(__xludf.DUMMYFUNCTION("""COMPUTED_VALUE"""),"入力")</f>
        <v>入力</v>
      </c>
      <c r="BP3" s="4" t="str">
        <f ca="1">IFERROR(__xludf.DUMMYFUNCTION("""COMPUTED_VALUE"""),"訪問介護 , 訪問看護 , 通所介護")</f>
        <v>訪問介護 , 訪問看護 , 通所介護</v>
      </c>
      <c r="BQ3" s="4" t="str">
        <f ca="1">IFERROR(__xludf.DUMMYFUNCTION("""COMPUTED_VALUE"""),"車いす , 特殊寝台 , 特殊寝台付属品 , 手すり")</f>
        <v>車いす , 特殊寝台 , 特殊寝台付属品 , 手すり</v>
      </c>
      <c r="BR3" s="4"/>
      <c r="BS3" s="4" t="str">
        <f ca="1">IFERROR(__xludf.DUMMYFUNCTION("""COMPUTED_VALUE"""),"食事支援 , 排泄支援 , リネンリース , 洗濯 , 喀痰吸引")</f>
        <v>食事支援 , 排泄支援 , リネンリース , 洗濯 , 喀痰吸引</v>
      </c>
      <c r="BT3" s="4" t="str">
        <f ca="1">IFERROR(__xludf.DUMMYFUNCTION("""COMPUTED_VALUE"""),"デイサービス等大人数のところは積極的にはいかない。")</f>
        <v>デイサービス等大人数のところは積極的にはいかない。</v>
      </c>
      <c r="BU3" s="4"/>
      <c r="BV3" s="4"/>
      <c r="BW3" s="4" t="str">
        <f ca="1">IFERROR(__xludf.DUMMYFUNCTION("""COMPUTED_VALUE"""),"入力")</f>
        <v>入力</v>
      </c>
      <c r="BX3" s="4" t="str">
        <f ca="1">IFERROR(__xludf.DUMMYFUNCTION("""COMPUTED_VALUE"""),"誤嚥性肺炎")</f>
        <v>誤嚥性肺炎</v>
      </c>
      <c r="BY3" s="4" t="str">
        <f ca="1">IFERROR(__xludf.DUMMYFUNCTION("""COMPUTED_VALUE"""),"令和6年7月5日")</f>
        <v>令和6年7月5日</v>
      </c>
      <c r="BZ3" s="4" t="str">
        <f ca="1">IFERROR(__xludf.DUMMYFUNCTION("""COMPUTED_VALUE"""),"脳リンパ腫")</f>
        <v>脳リンパ腫</v>
      </c>
      <c r="CA3" s="4" t="str">
        <f ca="1">IFERROR(__xludf.DUMMYFUNCTION("""COMPUTED_VALUE"""),"令和5年11月頃")</f>
        <v>令和5年11月頃</v>
      </c>
      <c r="CB3" s="4"/>
      <c r="CC3" s="4"/>
      <c r="CD3" s="4"/>
      <c r="CE3" s="4"/>
      <c r="CF3" s="4"/>
      <c r="CG3" s="4"/>
      <c r="CH3" s="4"/>
      <c r="CI3" s="4"/>
      <c r="CJ3" s="4" t="str">
        <f ca="1">IFERROR(__xludf.DUMMYFUNCTION("""COMPUTED_VALUE"""),"発熱があれば武内病院を受診することとなっている。武内病院　血液内科　塚田先生")</f>
        <v>発熱があれば武内病院を受診することとなっている。武内病院　血液内科　塚田先生</v>
      </c>
      <c r="CK3" s="4"/>
      <c r="CL3" s="4"/>
      <c r="CM3" s="4"/>
      <c r="CN3" s="4"/>
      <c r="CO3" s="4"/>
      <c r="CP3" s="4"/>
      <c r="CQ3" s="4"/>
      <c r="CR3" s="4"/>
      <c r="CS3" s="4" t="str">
        <f ca="1">IFERROR(__xludf.DUMMYFUNCTION("""COMPUTED_VALUE"""),"既往にリウマチや腸閉塞（手術済み）があるが現在は特に問題なし。")</f>
        <v>既往にリウマチや腸閉塞（手術済み）があるが現在は特に問題なし。</v>
      </c>
      <c r="CT3" s="4" t="str">
        <f ca="1">IFERROR(__xludf.DUMMYFUNCTION("""COMPUTED_VALUE"""),"服薬管理は看護師が行っている。
退院後は、ローレル薬局を契約。
袋を手渡しすることで、ご自身で袋を開封して内服できる。")</f>
        <v>服薬管理は看護師が行っている。
退院後は、ローレル薬局を契約。
袋を手渡しすることで、ご自身で袋を開封して内服できる。</v>
      </c>
      <c r="CU3" s="4"/>
      <c r="CV3" s="4"/>
      <c r="CW3" s="4"/>
      <c r="CX3" s="4" t="str">
        <f ca="1">IFERROR(__xludf.DUMMYFUNCTION("""COMPUTED_VALUE"""),"入力")</f>
        <v>入力</v>
      </c>
      <c r="CY3" s="4" t="str">
        <f ca="1">IFERROR(__xludf.DUMMYFUNCTION("""COMPUTED_VALUE"""),"無")</f>
        <v>無</v>
      </c>
      <c r="CZ3" s="4" t="str">
        <f ca="1">IFERROR(__xludf.DUMMYFUNCTION("""COMPUTED_VALUE"""),"無")</f>
        <v>無</v>
      </c>
      <c r="DA3" s="4" t="str">
        <f ca="1">IFERROR(__xludf.DUMMYFUNCTION("""COMPUTED_VALUE"""),"無")</f>
        <v>無</v>
      </c>
      <c r="DB3" s="4" t="str">
        <f ca="1">IFERROR(__xludf.DUMMYFUNCTION("""COMPUTED_VALUE"""),"右上肢、右下肢")</f>
        <v>右上肢、右下肢</v>
      </c>
      <c r="DC3" s="4" t="str">
        <f ca="1">IFERROR(__xludf.DUMMYFUNCTION("""COMPUTED_VALUE"""),"無")</f>
        <v>無</v>
      </c>
      <c r="DD3" s="4">
        <f ca="1">IFERROR(__xludf.DUMMYFUNCTION("""COMPUTED_VALUE"""),0)</f>
        <v>0</v>
      </c>
      <c r="DE3" s="4">
        <f ca="1">IFERROR(__xludf.DUMMYFUNCTION("""COMPUTED_VALUE"""),0)</f>
        <v>0</v>
      </c>
      <c r="DF3" s="4" t="str">
        <f ca="1">IFERROR(__xludf.DUMMYFUNCTION("""COMPUTED_VALUE"""),"大きい字は可")</f>
        <v>大きい字は可</v>
      </c>
      <c r="DG3" s="4" t="str">
        <f ca="1">IFERROR(__xludf.DUMMYFUNCTION("""COMPUTED_VALUE"""),"有")</f>
        <v>有</v>
      </c>
      <c r="DH3" s="4" t="str">
        <f ca="1">IFERROR(__xludf.DUMMYFUNCTION("""COMPUTED_VALUE"""),"大きい声は可")</f>
        <v>大きい声は可</v>
      </c>
      <c r="DI3" s="4" t="str">
        <f ca="1">IFERROR(__xludf.DUMMYFUNCTION("""COMPUTED_VALUE"""),"有")</f>
        <v>有</v>
      </c>
      <c r="DJ3" s="4" t="str">
        <f ca="1">IFERROR(__xludf.DUMMYFUNCTION("""COMPUTED_VALUE"""),"脳リンパ腫の影響で右半身麻痺及び軽度の失語症が見られる。視力は大きな問題はないものの、難聴があり大きな声で話す必要がある。
痰が多く、常にゴロゴロしている状況であり、ご自身で排痰を行うことができないものの、吸引はやや拒否がある。
ここ最近、痰の量が増えており、吸引の拒否も少なくなっている。")</f>
        <v>脳リンパ腫の影響で右半身麻痺及び軽度の失語症が見られる。視力は大きな問題はないものの、難聴があり大きな声で話す必要がある。
痰が多く、常にゴロゴロしている状況であり、ご自身で排痰を行うことができないものの、吸引はやや拒否がある。
ここ最近、痰の量が増えており、吸引の拒否も少なくなっている。</v>
      </c>
      <c r="DK3" s="4"/>
      <c r="DL3" s="4" t="str">
        <f ca="1">IFERROR(__xludf.DUMMYFUNCTION("""COMPUTED_VALUE"""),"入力")</f>
        <v>入力</v>
      </c>
      <c r="DM3" s="4" t="str">
        <f ca="1">IFERROR(__xludf.DUMMYFUNCTION("""COMPUTED_VALUE"""),"有")</f>
        <v>有</v>
      </c>
      <c r="DN3" s="4" t="str">
        <f ca="1">IFERROR(__xludf.DUMMYFUNCTION("""COMPUTED_VALUE"""),"軽度")</f>
        <v>軽度</v>
      </c>
      <c r="DO3" s="4" t="str">
        <f ca="1">IFERROR(__xludf.DUMMYFUNCTION("""COMPUTED_VALUE"""),"無")</f>
        <v>無</v>
      </c>
      <c r="DP3" s="4" t="str">
        <f ca="1">IFERROR(__xludf.DUMMYFUNCTION("""COMPUTED_VALUE"""),"やや不自由")</f>
        <v>やや不自由</v>
      </c>
      <c r="DQ3" s="4" t="str">
        <f ca="1">IFERROR(__xludf.DUMMYFUNCTION("""COMPUTED_VALUE"""),"やや不自由")</f>
        <v>やや不自由</v>
      </c>
      <c r="DR3" s="4" t="str">
        <f ca="1">IFERROR(__xludf.DUMMYFUNCTION("""COMPUTED_VALUE"""),"失語症があり認知機能の精査は困難。")</f>
        <v>失語症があり認知機能の精査は困難。</v>
      </c>
      <c r="DS3" s="4"/>
      <c r="DT3" s="4"/>
      <c r="DU3" s="4" t="str">
        <f ca="1">IFERROR(__xludf.DUMMYFUNCTION("""COMPUTED_VALUE"""),"入力")</f>
        <v>入力</v>
      </c>
      <c r="DV3" s="4" t="str">
        <f ca="1">IFERROR(__xludf.DUMMYFUNCTION("""COMPUTED_VALUE"""),"何かにつかまればできる")</f>
        <v>何かにつかまればできる</v>
      </c>
      <c r="DW3" s="4" t="str">
        <f ca="1">IFERROR(__xludf.DUMMYFUNCTION("""COMPUTED_VALUE"""),"何かにつかまればできる")</f>
        <v>何かにつかまればできる</v>
      </c>
      <c r="DX3" s="4" t="str">
        <f ca="1">IFERROR(__xludf.DUMMYFUNCTION("""COMPUTED_VALUE"""),"自分の手で支えればできる")</f>
        <v>自分の手で支えればできる</v>
      </c>
      <c r="DY3" s="4" t="str">
        <f ca="1">IFERROR(__xludf.DUMMYFUNCTION("""COMPUTED_VALUE"""),"何かにつかまればできる")</f>
        <v>何かにつかまればできる</v>
      </c>
      <c r="DZ3" s="4" t="str">
        <f ca="1">IFERROR(__xludf.DUMMYFUNCTION("""COMPUTED_VALUE"""),"何か支えがあればできる")</f>
        <v>何か支えがあればできる</v>
      </c>
      <c r="EA3" s="4" t="str">
        <f ca="1">IFERROR(__xludf.DUMMYFUNCTION("""COMPUTED_VALUE"""),"見守り")</f>
        <v>見守り</v>
      </c>
      <c r="EB3" s="4" t="str">
        <f ca="1">IFERROR(__xludf.DUMMYFUNCTION("""COMPUTED_VALUE"""),"見守り")</f>
        <v>見守り</v>
      </c>
      <c r="EC3" s="4" t="str">
        <f ca="1">IFERROR(__xludf.DUMMYFUNCTION("""COMPUTED_VALUE"""),"独歩")</f>
        <v>独歩</v>
      </c>
      <c r="ED3" s="4" t="str">
        <f ca="1">IFERROR(__xludf.DUMMYFUNCTION("""COMPUTED_VALUE"""),"一部介助")</f>
        <v>一部介助</v>
      </c>
      <c r="EE3" s="4" t="str">
        <f ca="1">IFERROR(__xludf.DUMMYFUNCTION("""COMPUTED_VALUE"""),"車椅子")</f>
        <v>車椅子</v>
      </c>
      <c r="EF3" s="4" t="str">
        <f ca="1">IFERROR(__xludf.DUMMYFUNCTION("""COMPUTED_VALUE"""),"基本動作はご自身で行うことが可能。ベッドからトイレまでは手すりを設置しており、不安定ではあるもののご自身で移動できている。
長距離の移動は車いすを使用。現在訪問リハビリを受けており歩行器での歩行訓練を行っている。")</f>
        <v>基本動作はご自身で行うことが可能。ベッドからトイレまでは手すりを設置しており、不安定ではあるもののご自身で移動できている。
長距離の移動は車いすを使用。現在訪問リハビリを受けており歩行器での歩行訓練を行っている。</v>
      </c>
      <c r="EG3" s="4"/>
      <c r="EH3" s="4" t="str">
        <f ca="1">IFERROR(__xludf.DUMMYFUNCTION("""COMPUTED_VALUE"""),"入力")</f>
        <v>入力</v>
      </c>
      <c r="EI3" s="4" t="str">
        <f ca="1">IFERROR(__xludf.DUMMYFUNCTION("""COMPUTED_VALUE"""),"入力")</f>
        <v>入力</v>
      </c>
      <c r="EJ3" s="4" t="str">
        <f ca="1">IFERROR(__xludf.DUMMYFUNCTION("""COMPUTED_VALUE"""),"経口摂取")</f>
        <v>経口摂取</v>
      </c>
      <c r="EK3" s="4" t="str">
        <f ca="1">IFERROR(__xludf.DUMMYFUNCTION("""COMPUTED_VALUE"""),"自立")</f>
        <v>自立</v>
      </c>
      <c r="EL3" s="4" t="str">
        <f ca="1">IFERROR(__xludf.DUMMYFUNCTION("""COMPUTED_VALUE"""),"見守り等が必要")</f>
        <v>見守り等が必要</v>
      </c>
      <c r="EM3" s="4" t="str">
        <f ca="1">IFERROR(__xludf.DUMMYFUNCTION("""COMPUTED_VALUE"""),"ペースト")</f>
        <v>ペースト</v>
      </c>
      <c r="EN3" s="4" t="str">
        <f ca="1">IFERROR(__xludf.DUMMYFUNCTION("""COMPUTED_VALUE"""),"ペースト")</f>
        <v>ペースト</v>
      </c>
      <c r="EO3" s="4" t="str">
        <f ca="1">IFERROR(__xludf.DUMMYFUNCTION("""COMPUTED_VALUE"""),"有")</f>
        <v>有</v>
      </c>
      <c r="EP3" s="4" t="str">
        <f ca="1">IFERROR(__xludf.DUMMYFUNCTION("""COMPUTED_VALUE"""),"有")</f>
        <v>有</v>
      </c>
      <c r="EQ3" s="4" t="str">
        <f ca="1">IFERROR(__xludf.DUMMYFUNCTION("""COMPUTED_VALUE"""),"スプーン")</f>
        <v>スプーン</v>
      </c>
      <c r="ER3" s="4" t="str">
        <f ca="1">IFERROR(__xludf.DUMMYFUNCTION("""COMPUTED_VALUE"""),"食事制限があり、ナッツ類とブルーチーズは禁止。
ここ最近は、痰量の増加に伴い嚥下機能の低下があり食事の前後で痰の吸引を行う必要がある。ご自身で摂取することは可能。
加藤先生から絶食の指示が出たが、ご家族様の強い希望で食事を食べてほしいという理由から、食事形態を落として食事して頂いている。")</f>
        <v>食事制限があり、ナッツ類とブルーチーズは禁止。
ここ最近は、痰量の増加に伴い嚥下機能の低下があり食事の前後で痰の吸引を行う必要がある。ご自身で摂取することは可能。
加藤先生から絶食の指示が出たが、ご家族様の強い希望で食事を食べてほしいという理由から、食事形態を落として食事して頂いている。</v>
      </c>
      <c r="ES3" s="4"/>
      <c r="ET3" s="4" t="str">
        <f ca="1">IFERROR(__xludf.DUMMYFUNCTION("""COMPUTED_VALUE"""),"入力")</f>
        <v>入力</v>
      </c>
      <c r="EU3" s="4" t="str">
        <f ca="1">IFERROR(__xludf.DUMMYFUNCTION("""COMPUTED_VALUE"""),"見守り")</f>
        <v>見守り</v>
      </c>
      <c r="EV3" s="4"/>
      <c r="EW3" s="4" t="str">
        <f ca="1">IFERROR(__xludf.DUMMYFUNCTION("""COMPUTED_VALUE"""),"無")</f>
        <v>無</v>
      </c>
      <c r="EX3" s="4"/>
      <c r="EY3" s="4"/>
      <c r="EZ3" s="4" t="str">
        <f ca="1">IFERROR(__xludf.DUMMYFUNCTION("""COMPUTED_VALUE"""),"促しが必要であるが、洗面所で口腔ケアが可能。
訪問リハビリSTより、誤嚥性肺炎を防ぐためにも口腔ケアはきちんと行ったほうがよいと助言有。")</f>
        <v>促しが必要であるが、洗面所で口腔ケアが可能。
訪問リハビリSTより、誤嚥性肺炎を防ぐためにも口腔ケアはきちんと行ったほうがよいと助言有。</v>
      </c>
      <c r="FA3" s="4"/>
      <c r="FB3" s="4" t="str">
        <f ca="1">IFERROR(__xludf.DUMMYFUNCTION("""COMPUTED_VALUE"""),"入力")</f>
        <v>入力</v>
      </c>
      <c r="FC3" s="4" t="str">
        <f ca="1">IFERROR(__xludf.DUMMYFUNCTION("""COMPUTED_VALUE"""),"一部介助")</f>
        <v>一部介助</v>
      </c>
      <c r="FD3" s="4" t="str">
        <f ca="1">IFERROR(__xludf.DUMMYFUNCTION("""COMPUTED_VALUE"""),"一般浴")</f>
        <v>一般浴</v>
      </c>
      <c r="FE3" s="4" t="str">
        <f ca="1">IFERROR(__xludf.DUMMYFUNCTION("""COMPUTED_VALUE"""),"無")</f>
        <v>無</v>
      </c>
      <c r="FF3" s="4"/>
      <c r="FG3" s="4" t="str">
        <f ca="1">IFERROR(__xludf.DUMMYFUNCTION("""COMPUTED_VALUE"""),"一部介助")</f>
        <v>一部介助</v>
      </c>
      <c r="FH3" s="4" t="str">
        <f ca="1">IFERROR(__xludf.DUMMYFUNCTION("""COMPUTED_VALUE"""),"一部介助")</f>
        <v>一部介助</v>
      </c>
      <c r="FI3" s="4" t="str">
        <f ca="1">IFERROR(__xludf.DUMMYFUNCTION("""COMPUTED_VALUE"""),"入浴の拒否があり、現在はご家族様が入浴時間に付き添って促して頂いている。")</f>
        <v>入浴の拒否があり、現在はご家族様が入浴時間に付き添って促して頂いている。</v>
      </c>
      <c r="FJ3" s="4"/>
      <c r="FK3" s="4" t="str">
        <f ca="1">IFERROR(__xludf.DUMMYFUNCTION("""COMPUTED_VALUE"""),"入力")</f>
        <v>入力</v>
      </c>
      <c r="FL3" s="4" t="str">
        <f ca="1">IFERROR(__xludf.DUMMYFUNCTION("""COMPUTED_VALUE"""),"自立")</f>
        <v>自立</v>
      </c>
      <c r="FM3" s="4" t="str">
        <f ca="1">IFERROR(__xludf.DUMMYFUNCTION("""COMPUTED_VALUE"""),"有")</f>
        <v>有</v>
      </c>
      <c r="FN3" s="4" t="str">
        <f ca="1">IFERROR(__xludf.DUMMYFUNCTION("""COMPUTED_VALUE"""),"有")</f>
        <v>有</v>
      </c>
      <c r="FO3" s="4" t="str">
        <f ca="1">IFERROR(__xludf.DUMMYFUNCTION("""COMPUTED_VALUE"""),"有")</f>
        <v>有</v>
      </c>
      <c r="FP3" s="4" t="str">
        <f ca="1">IFERROR(__xludf.DUMMYFUNCTION("""COMPUTED_VALUE"""),"有")</f>
        <v>有</v>
      </c>
      <c r="FQ3" s="4" t="str">
        <f ca="1">IFERROR(__xludf.DUMMYFUNCTION("""COMPUTED_VALUE"""),"軟便")</f>
        <v>軟便</v>
      </c>
      <c r="FR3" s="4" t="str">
        <f ca="1">IFERROR(__xludf.DUMMYFUNCTION("""COMPUTED_VALUE"""),"トイレ")</f>
        <v>トイレ</v>
      </c>
      <c r="FS3" s="4" t="str">
        <f ca="1">IFERROR(__xludf.DUMMYFUNCTION("""COMPUTED_VALUE"""),"トイレ")</f>
        <v>トイレ</v>
      </c>
      <c r="FT3" s="4" t="str">
        <f ca="1">IFERROR(__xludf.DUMMYFUNCTION("""COMPUTED_VALUE"""),"リハビリパンツ , 小パット")</f>
        <v>リハビリパンツ , 小パット</v>
      </c>
      <c r="FU3" s="4" t="str">
        <f ca="1">IFERROR(__xludf.DUMMYFUNCTION("""COMPUTED_VALUE"""),"排泄はご自身で可能。失禁があるがご自身で交換は可能だが、汚物処理は不可能。")</f>
        <v>排泄はご自身で可能。失禁があるがご自身で交換は可能だが、汚物処理は不可能。</v>
      </c>
      <c r="FV3" s="4"/>
      <c r="FW3" s="4"/>
      <c r="FX3" s="4" t="str">
        <f ca="1">IFERROR(__xludf.DUMMYFUNCTION("""COMPUTED_VALUE"""),"入力")</f>
        <v>入力</v>
      </c>
      <c r="FY3" s="4" t="str">
        <f ca="1">IFERROR(__xludf.DUMMYFUNCTION("""COMPUTED_VALUE"""),"全介助")</f>
        <v>全介助</v>
      </c>
      <c r="FZ3" s="4" t="str">
        <f ca="1">IFERROR(__xludf.DUMMYFUNCTION("""COMPUTED_VALUE"""),"全介助")</f>
        <v>全介助</v>
      </c>
      <c r="GA3" s="4" t="str">
        <f ca="1">IFERROR(__xludf.DUMMYFUNCTION("""COMPUTED_VALUE"""),"全介助")</f>
        <v>全介助</v>
      </c>
      <c r="GB3" s="4" t="str">
        <f ca="1">IFERROR(__xludf.DUMMYFUNCTION("""COMPUTED_VALUE"""),"全介助")</f>
        <v>全介助</v>
      </c>
      <c r="GC3" s="4" t="str">
        <f ca="1">IFERROR(__xludf.DUMMYFUNCTION("""COMPUTED_VALUE"""),"全介助")</f>
        <v>全介助</v>
      </c>
      <c r="GD3" s="4" t="str">
        <f ca="1">IFERROR(__xludf.DUMMYFUNCTION("""COMPUTED_VALUE"""),"施設内のサービスを利用。")</f>
        <v>施設内のサービスを利用。</v>
      </c>
      <c r="GE3" s="4"/>
      <c r="GF3" s="4"/>
      <c r="GG3" s="4" t="str">
        <f ca="1">IFERROR(__xludf.DUMMYFUNCTION("""COMPUTED_VALUE"""),"食事前後の痰吸引のため毎食訪問看護の支援が必要な状況であるが、自己負担額が高額になることに不安があるものの、３食ご飯を食べてほしい。等矛盾な発言も見られる。ご家族様は全く悪い方ではありませんが、特に料金面で細かい性格をしているため、都度説明を要す場面も多い。")</f>
        <v>食事前後の痰吸引のため毎食訪問看護の支援が必要な状況であるが、自己負担額が高額になることに不安があるものの、３食ご飯を食べてほしい。等矛盾な発言も見られる。ご家族様は全く悪い方ではありませんが、特に料金面で細かい性格をしているため、都度説明を要す場面も多い。</v>
      </c>
      <c r="GH3" s="4">
        <f ca="1">IFERROR(__xludf.DUMMYFUNCTION("""COMPUTED_VALUE"""),30)</f>
        <v>30</v>
      </c>
      <c r="GI3" s="4"/>
    </row>
    <row r="4" spans="1:191">
      <c r="A4" s="4"/>
      <c r="B4" s="4"/>
      <c r="C4" s="4" t="str">
        <f ca="1">IFERROR(__xludf.DUMMYFUNCTION("""COMPUTED_VALUE"""),"樋口　智子")</f>
        <v>樋口　智子</v>
      </c>
      <c r="D4" s="4" t="str">
        <f ca="1">IFERROR(__xludf.DUMMYFUNCTION("""COMPUTED_VALUE"""),"2010031305")</f>
        <v>2010031305</v>
      </c>
      <c r="E4" s="4"/>
      <c r="F4" s="4"/>
      <c r="G4" s="4"/>
      <c r="H4" s="4"/>
      <c r="I4" s="5">
        <f ca="1">IFERROR(__xludf.DUMMYFUNCTION("""COMPUTED_VALUE"""),45474)</f>
        <v>45474</v>
      </c>
      <c r="J4" s="4" t="str">
        <f ca="1">IFERROR(__xludf.DUMMYFUNCTION("""COMPUTED_VALUE"""),"山川　和輝")</f>
        <v>山川　和輝</v>
      </c>
      <c r="K4" s="4" t="str">
        <f ca="1">IFERROR(__xludf.DUMMYFUNCTION("""COMPUTED_VALUE"""),"更新")</f>
        <v>更新</v>
      </c>
      <c r="L4" s="4" t="str">
        <f ca="1">IFERROR(__xludf.DUMMYFUNCTION("""COMPUTED_VALUE"""),"本人の居室")</f>
        <v>本人の居室</v>
      </c>
      <c r="M4" s="4" t="str">
        <f ca="1">IFERROR(__xludf.DUMMYFUNCTION("""COMPUTED_VALUE"""),"平成28年8月28日にサービス付き高齢者向け住宅　安濃津ろまんに入居される。")</f>
        <v>平成28年8月28日にサービス付き高齢者向け住宅　安濃津ろまんに入居される。</v>
      </c>
      <c r="N4" s="4" t="str">
        <f ca="1">IFERROR(__xludf.DUMMYFUNCTION("""COMPUTED_VALUE"""),"ここで安定した生活を送らせてもらってます。動けるようになってきたので嬉しいです。")</f>
        <v>ここで安定した生活を送らせてもらってます。動けるようになってきたので嬉しいです。</v>
      </c>
      <c r="O4" s="4" t="str">
        <f ca="1">IFERROR(__xludf.DUMMYFUNCTION("""COMPUTED_VALUE"""),"転倒や怪我をしないように気をつけて、安全に生活を続けてほしいと思っています。")</f>
        <v>転倒や怪我をしないように気をつけて、安全に生活を続けてほしいと思っています。</v>
      </c>
      <c r="P4" s="4"/>
      <c r="Q4" s="4" t="str">
        <f ca="1">IFERROR(__xludf.DUMMYFUNCTION("""COMPUTED_VALUE"""),"入力")</f>
        <v>入力</v>
      </c>
      <c r="R4" s="4" t="str">
        <f ca="1">IFERROR(__xludf.DUMMYFUNCTION("""COMPUTED_VALUE"""),"要介護１")</f>
        <v>要介護１</v>
      </c>
      <c r="S4" s="4" t="str">
        <f ca="1">IFERROR(__xludf.DUMMYFUNCTION("""COMPUTED_VALUE"""),"令和6年7月16日")</f>
        <v>令和6年7月16日</v>
      </c>
      <c r="T4" s="4" t="str">
        <f ca="1">IFERROR(__xludf.DUMMYFUNCTION("""COMPUTED_VALUE"""),"令和6年8月1日")</f>
        <v>令和6年8月1日</v>
      </c>
      <c r="U4" s="4" t="str">
        <f ca="1">IFERROR(__xludf.DUMMYFUNCTION("""COMPUTED_VALUE"""),"令和9年7月31日")</f>
        <v>令和9年7月31日</v>
      </c>
      <c r="V4" s="4" t="str">
        <f ca="1">IFERROR(__xludf.DUMMYFUNCTION("""COMPUTED_VALUE"""),"１割負担")</f>
        <v>１割負担</v>
      </c>
      <c r="W4" s="4" t="str">
        <f ca="1">IFERROR(__xludf.DUMMYFUNCTION("""COMPUTED_VALUE"""),"後期高齢者医療保険")</f>
        <v>後期高齢者医療保険</v>
      </c>
      <c r="X4" s="4" t="str">
        <f ca="1">IFERROR(__xludf.DUMMYFUNCTION("""COMPUTED_VALUE"""),"無")</f>
        <v>無</v>
      </c>
      <c r="Y4" s="4"/>
      <c r="Z4" s="4" t="str">
        <f ca="1">IFERROR(__xludf.DUMMYFUNCTION("""COMPUTED_VALUE"""),"無")</f>
        <v>無</v>
      </c>
      <c r="AA4" s="4" t="str">
        <f ca="1">IFERROR(__xludf.DUMMYFUNCTION("""COMPUTED_VALUE"""),"無")</f>
        <v>無</v>
      </c>
      <c r="AB4" s="4" t="str">
        <f ca="1">IFERROR(__xludf.DUMMYFUNCTION("""COMPUTED_VALUE"""),"A2")</f>
        <v>A2</v>
      </c>
      <c r="AC4" s="4" t="str">
        <f ca="1">IFERROR(__xludf.DUMMYFUNCTION("""COMPUTED_VALUE"""),"Ⅱa")</f>
        <v>Ⅱa</v>
      </c>
      <c r="AD4" s="4"/>
      <c r="AE4" s="4" t="str">
        <f ca="1">IFERROR(__xludf.DUMMYFUNCTION("""COMPUTED_VALUE"""),"入力")</f>
        <v>入力</v>
      </c>
      <c r="AF4" s="4" t="str">
        <f ca="1">IFERROR(__xludf.DUMMYFUNCTION("""COMPUTED_VALUE"""),"山川　康子")</f>
        <v>山川　康子</v>
      </c>
      <c r="AG4" s="4" t="str">
        <f ca="1">IFERROR(__xludf.DUMMYFUNCTION("""COMPUTED_VALUE"""),"長女")</f>
        <v>長女</v>
      </c>
      <c r="AH4" s="4"/>
      <c r="AI4" s="4" t="str">
        <f ca="1">IFERROR(__xludf.DUMMYFUNCTION("""COMPUTED_VALUE"""),"別居")</f>
        <v>別居</v>
      </c>
      <c r="AJ4" s="4" t="str">
        <f ca="1">IFERROR(__xludf.DUMMYFUNCTION("""COMPUTED_VALUE"""),"介護する")</f>
        <v>介護する</v>
      </c>
      <c r="AK4" s="4"/>
      <c r="AL4" s="4" t="str">
        <f ca="1">IFERROR(__xludf.DUMMYFUNCTION("""COMPUTED_VALUE"""),"090-8866-0346")</f>
        <v>090-8866-0346</v>
      </c>
      <c r="AM4" s="4" t="str">
        <f ca="1">IFERROR(__xludf.DUMMYFUNCTION("""COMPUTED_VALUE"""),"KP")</f>
        <v>KP</v>
      </c>
      <c r="AN4" s="4" t="str">
        <f ca="1">IFERROR(__xludf.DUMMYFUNCTION("""COMPUTED_VALUE"""),"樋口　徹")</f>
        <v>樋口　徹</v>
      </c>
      <c r="AO4" s="4" t="str">
        <f ca="1">IFERROR(__xludf.DUMMYFUNCTION("""COMPUTED_VALUE"""),"長男")</f>
        <v>長男</v>
      </c>
      <c r="AP4" s="4"/>
      <c r="AQ4" s="4" t="str">
        <f ca="1">IFERROR(__xludf.DUMMYFUNCTION("""COMPUTED_VALUE"""),"別居")</f>
        <v>別居</v>
      </c>
      <c r="AR4" s="4" t="str">
        <f ca="1">IFERROR(__xludf.DUMMYFUNCTION("""COMPUTED_VALUE"""),"介護しない")</f>
        <v>介護しない</v>
      </c>
      <c r="AS4" s="4"/>
      <c r="AT4" s="4" t="str">
        <f ca="1">IFERROR(__xludf.DUMMYFUNCTION("""COMPUTED_VALUE"""),"059-246-8900")</f>
        <v>059-246-8900</v>
      </c>
      <c r="AU4" s="4"/>
      <c r="AV4" s="4"/>
      <c r="AW4" s="4" t="str">
        <f ca="1">IFERROR(__xludf.DUMMYFUNCTION("""COMPUTED_VALUE"""),"入力")</f>
        <v>入力</v>
      </c>
      <c r="AX4" s="4" t="str">
        <f ca="1">IFERROR(__xludf.DUMMYFUNCTION("""COMPUTED_VALUE"""),"一人暮らし")</f>
        <v>一人暮らし</v>
      </c>
      <c r="AY4" s="4" t="str">
        <f ca="1">IFERROR(__xludf.DUMMYFUNCTION("""COMPUTED_VALUE"""),"集合住宅")</f>
        <v>集合住宅</v>
      </c>
      <c r="AZ4" s="4" t="str">
        <f ca="1">IFERROR(__xludf.DUMMYFUNCTION("""COMPUTED_VALUE"""),"エレベーター有")</f>
        <v>エレベーター有</v>
      </c>
      <c r="BA4" s="4" t="str">
        <f ca="1">IFERROR(__xludf.DUMMYFUNCTION("""COMPUTED_VALUE"""),"賃貸")</f>
        <v>賃貸</v>
      </c>
      <c r="BB4" s="4" t="str">
        <f ca="1">IFERROR(__xludf.DUMMYFUNCTION("""COMPUTED_VALUE"""),"有")</f>
        <v>有</v>
      </c>
      <c r="BC4" s="4" t="str">
        <f ca="1">IFERROR(__xludf.DUMMYFUNCTION("""COMPUTED_VALUE"""),"有")</f>
        <v>有</v>
      </c>
      <c r="BD4" s="4" t="str">
        <f ca="1">IFERROR(__xludf.DUMMYFUNCTION("""COMPUTED_VALUE"""),"ウォシュレット")</f>
        <v>ウォシュレット</v>
      </c>
      <c r="BE4" s="4"/>
      <c r="BF4" s="4"/>
      <c r="BG4" s="4" t="str">
        <f ca="1">IFERROR(__xludf.DUMMYFUNCTION("""COMPUTED_VALUE"""),"無")</f>
        <v>無</v>
      </c>
      <c r="BH4" s="4"/>
      <c r="BI4" s="4" t="str">
        <f ca="1">IFERROR(__xludf.DUMMYFUNCTION("""COMPUTED_VALUE"""),"リクライニングベッド")</f>
        <v>リクライニングベッド</v>
      </c>
      <c r="BJ4" s="4" t="str">
        <f ca="1">IFERROR(__xludf.DUMMYFUNCTION("""COMPUTED_VALUE"""),"無")</f>
        <v>無</v>
      </c>
      <c r="BK4" s="4" t="str">
        <f ca="1">IFERROR(__xludf.DUMMYFUNCTION("""COMPUTED_VALUE"""),"無")</f>
        <v>無</v>
      </c>
      <c r="BL4" s="4" t="str">
        <f ca="1">IFERROR(__xludf.DUMMYFUNCTION("""COMPUTED_VALUE"""),"無")</f>
        <v>無</v>
      </c>
      <c r="BM4" s="4"/>
      <c r="BN4" s="4"/>
      <c r="BO4" s="4" t="str">
        <f ca="1">IFERROR(__xludf.DUMMYFUNCTION("""COMPUTED_VALUE"""),"入力")</f>
        <v>入力</v>
      </c>
      <c r="BP4" s="4" t="str">
        <f ca="1">IFERROR(__xludf.DUMMYFUNCTION("""COMPUTED_VALUE"""),"訪問介護 , 訪問看護")</f>
        <v>訪問介護 , 訪問看護</v>
      </c>
      <c r="BQ4" s="4" t="str">
        <f ca="1">IFERROR(__xludf.DUMMYFUNCTION("""COMPUTED_VALUE"""),"車いす")</f>
        <v>車いす</v>
      </c>
      <c r="BR4" s="4" t="str">
        <f ca="1">IFERROR(__xludf.DUMMYFUNCTION("""COMPUTED_VALUE"""),"福祉用具（特殊寝台）自費貸与")</f>
        <v>福祉用具（特殊寝台）自費貸与</v>
      </c>
      <c r="BS4" s="4" t="str">
        <f ca="1">IFERROR(__xludf.DUMMYFUNCTION("""COMPUTED_VALUE"""),"食事支援 , リネンリース , 洗濯")</f>
        <v>食事支援 , リネンリース , 洗濯</v>
      </c>
      <c r="BT4" s="4" t="str">
        <f ca="1">IFERROR(__xludf.DUMMYFUNCTION("""COMPUTED_VALUE"""),"食事中にホールにて他の利用者とお話しされている様子はあるが、基本居室に引きこもった生活となっている。")</f>
        <v>食事中にホールにて他の利用者とお話しされている様子はあるが、基本居室に引きこもった生活となっている。</v>
      </c>
      <c r="BU4" s="4"/>
      <c r="BV4" s="4"/>
      <c r="BW4" s="4" t="str">
        <f ca="1">IFERROR(__xludf.DUMMYFUNCTION("""COMPUTED_VALUE"""),"入力")</f>
        <v>入力</v>
      </c>
      <c r="BX4" s="4" t="str">
        <f ca="1">IFERROR(__xludf.DUMMYFUNCTION("""COMPUTED_VALUE"""),"逆流性食道炎")</f>
        <v>逆流性食道炎</v>
      </c>
      <c r="BY4" s="4" t="str">
        <f ca="1">IFERROR(__xludf.DUMMYFUNCTION("""COMPUTED_VALUE"""),"平成22年2月5日")</f>
        <v>平成22年2月5日</v>
      </c>
      <c r="BZ4" s="4" t="str">
        <f ca="1">IFERROR(__xludf.DUMMYFUNCTION("""COMPUTED_VALUE"""),"慢性胃炎")</f>
        <v>慢性胃炎</v>
      </c>
      <c r="CA4" s="4" t="str">
        <f ca="1">IFERROR(__xludf.DUMMYFUNCTION("""COMPUTED_VALUE"""),"平成22年2月5日")</f>
        <v>平成22年2月5日</v>
      </c>
      <c r="CB4" s="4" t="str">
        <f ca="1">IFERROR(__xludf.DUMMYFUNCTION("""COMPUTED_VALUE"""),"抑うつ神経症")</f>
        <v>抑うつ神経症</v>
      </c>
      <c r="CC4" s="4" t="str">
        <f ca="1">IFERROR(__xludf.DUMMYFUNCTION("""COMPUTED_VALUE"""),"平成19年6月25日")</f>
        <v>平成19年6月25日</v>
      </c>
      <c r="CD4" s="4" t="str">
        <f ca="1">IFERROR(__xludf.DUMMYFUNCTION("""COMPUTED_VALUE"""),"高血圧症")</f>
        <v>高血圧症</v>
      </c>
      <c r="CE4" s="4" t="str">
        <f ca="1">IFERROR(__xludf.DUMMYFUNCTION("""COMPUTED_VALUE"""),"平成14年2月19日")</f>
        <v>平成14年2月19日</v>
      </c>
      <c r="CF4" s="4"/>
      <c r="CG4" s="4"/>
      <c r="CH4" s="4"/>
      <c r="CI4" s="4"/>
      <c r="CJ4" s="4" t="str">
        <f ca="1">IFERROR(__xludf.DUMMYFUNCTION("""COMPUTED_VALUE"""),"現在は往診を受けており、通院は行っていない。")</f>
        <v>現在は往診を受けており、通院は行っていない。</v>
      </c>
      <c r="CK4" s="4"/>
      <c r="CL4" s="4"/>
      <c r="CM4" s="4"/>
      <c r="CN4" s="4"/>
      <c r="CO4" s="4"/>
      <c r="CP4" s="4"/>
      <c r="CQ4" s="4"/>
      <c r="CR4" s="4"/>
      <c r="CS4" s="4" t="str">
        <f ca="1">IFERROR(__xludf.DUMMYFUNCTION("""COMPUTED_VALUE"""),"特に大きな病気は見られていない。")</f>
        <v>特に大きな病気は見られていない。</v>
      </c>
      <c r="CT4" s="4" t="str">
        <f ca="1">IFERROR(__xludf.DUMMYFUNCTION("""COMPUTED_VALUE"""),"高血圧症等を服薬されている。ローレル薬局と看護師で服薬を管理して毎食時に袋を提供すると自身で開けて飲まれる。")</f>
        <v>高血圧症等を服薬されている。ローレル薬局と看護師で服薬を管理して毎食時に袋を提供すると自身で開けて飲まれる。</v>
      </c>
      <c r="CU4" s="4"/>
      <c r="CV4" s="4"/>
      <c r="CW4" s="4"/>
      <c r="CX4" s="4" t="str">
        <f ca="1">IFERROR(__xludf.DUMMYFUNCTION("""COMPUTED_VALUE"""),"入力")</f>
        <v>入力</v>
      </c>
      <c r="CY4" s="4" t="str">
        <f ca="1">IFERROR(__xludf.DUMMYFUNCTION("""COMPUTED_VALUE"""),"無")</f>
        <v>無</v>
      </c>
      <c r="CZ4" s="4" t="str">
        <f ca="1">IFERROR(__xludf.DUMMYFUNCTION("""COMPUTED_VALUE"""),"無")</f>
        <v>無</v>
      </c>
      <c r="DA4" s="4" t="str">
        <f ca="1">IFERROR(__xludf.DUMMYFUNCTION("""COMPUTED_VALUE"""),"無")</f>
        <v>無</v>
      </c>
      <c r="DB4" s="4" t="str">
        <f ca="1">IFERROR(__xludf.DUMMYFUNCTION("""COMPUTED_VALUE"""),"無")</f>
        <v>無</v>
      </c>
      <c r="DC4" s="4" t="str">
        <f ca="1">IFERROR(__xludf.DUMMYFUNCTION("""COMPUTED_VALUE"""),"無")</f>
        <v>無</v>
      </c>
      <c r="DD4" s="4"/>
      <c r="DE4" s="4"/>
      <c r="DF4" s="4" t="str">
        <f ca="1">IFERROR(__xludf.DUMMYFUNCTION("""COMPUTED_VALUE"""),"正常")</f>
        <v>正常</v>
      </c>
      <c r="DG4" s="4"/>
      <c r="DH4" s="4" t="str">
        <f ca="1">IFERROR(__xludf.DUMMYFUNCTION("""COMPUTED_VALUE"""),"正常")</f>
        <v>正常</v>
      </c>
      <c r="DI4" s="4"/>
      <c r="DJ4" s="4" t="str">
        <f ca="1">IFERROR(__xludf.DUMMYFUNCTION("""COMPUTED_VALUE"""),"特に大きな問題はなし。")</f>
        <v>特に大きな問題はなし。</v>
      </c>
      <c r="DK4" s="4"/>
      <c r="DL4" s="4" t="str">
        <f ca="1">IFERROR(__xludf.DUMMYFUNCTION("""COMPUTED_VALUE"""),"入力")</f>
        <v>入力</v>
      </c>
      <c r="DM4" s="4" t="str">
        <f ca="1">IFERROR(__xludf.DUMMYFUNCTION("""COMPUTED_VALUE"""),"無")</f>
        <v>無</v>
      </c>
      <c r="DN4" s="4"/>
      <c r="DO4" s="4" t="str">
        <f ca="1">IFERROR(__xludf.DUMMYFUNCTION("""COMPUTED_VALUE"""),"無")</f>
        <v>無</v>
      </c>
      <c r="DP4" s="4" t="str">
        <f ca="1">IFERROR(__xludf.DUMMYFUNCTION("""COMPUTED_VALUE"""),"可能")</f>
        <v>可能</v>
      </c>
      <c r="DQ4" s="4" t="str">
        <f ca="1">IFERROR(__xludf.DUMMYFUNCTION("""COMPUTED_VALUE"""),"可能")</f>
        <v>可能</v>
      </c>
      <c r="DR4" s="4" t="str">
        <f ca="1">IFERROR(__xludf.DUMMYFUNCTION("""COMPUTED_VALUE"""),"年相応の物忘れはあるものの、特に日常生活に支障が出るほどではない。")</f>
        <v>年相応の物忘れはあるものの、特に日常生活に支障が出るほどではない。</v>
      </c>
      <c r="DS4" s="4"/>
      <c r="DT4" s="4"/>
      <c r="DU4" s="4" t="str">
        <f ca="1">IFERROR(__xludf.DUMMYFUNCTION("""COMPUTED_VALUE"""),"入力")</f>
        <v>入力</v>
      </c>
      <c r="DV4" s="4" t="str">
        <f ca="1">IFERROR(__xludf.DUMMYFUNCTION("""COMPUTED_VALUE"""),"何かにつかまればできる")</f>
        <v>何かにつかまればできる</v>
      </c>
      <c r="DW4" s="4" t="str">
        <f ca="1">IFERROR(__xludf.DUMMYFUNCTION("""COMPUTED_VALUE"""),"何かにつかまればできる")</f>
        <v>何かにつかまればできる</v>
      </c>
      <c r="DX4" s="4" t="str">
        <f ca="1">IFERROR(__xludf.DUMMYFUNCTION("""COMPUTED_VALUE"""),"自分の手で支えればできる")</f>
        <v>自分の手で支えればできる</v>
      </c>
      <c r="DY4" s="4" t="str">
        <f ca="1">IFERROR(__xludf.DUMMYFUNCTION("""COMPUTED_VALUE"""),"何かにつかまればできる")</f>
        <v>何かにつかまればできる</v>
      </c>
      <c r="DZ4" s="4" t="str">
        <f ca="1">IFERROR(__xludf.DUMMYFUNCTION("""COMPUTED_VALUE"""),"何か支えがあればできる")</f>
        <v>何か支えがあればできる</v>
      </c>
      <c r="EA4" s="4" t="str">
        <f ca="1">IFERROR(__xludf.DUMMYFUNCTION("""COMPUTED_VALUE"""),"自立")</f>
        <v>自立</v>
      </c>
      <c r="EB4" s="4" t="str">
        <f ca="1">IFERROR(__xludf.DUMMYFUNCTION("""COMPUTED_VALUE"""),"自立")</f>
        <v>自立</v>
      </c>
      <c r="EC4" s="4" t="str">
        <f ca="1">IFERROR(__xludf.DUMMYFUNCTION("""COMPUTED_VALUE"""),"独歩")</f>
        <v>独歩</v>
      </c>
      <c r="ED4" s="4" t="str">
        <f ca="1">IFERROR(__xludf.DUMMYFUNCTION("""COMPUTED_VALUE"""),"全介助")</f>
        <v>全介助</v>
      </c>
      <c r="EE4" s="4" t="str">
        <f ca="1">IFERROR(__xludf.DUMMYFUNCTION("""COMPUTED_VALUE"""),"車椅子")</f>
        <v>車椅子</v>
      </c>
      <c r="EF4" s="4" t="str">
        <f ca="1">IFERROR(__xludf.DUMMYFUNCTION("""COMPUTED_VALUE"""),"居室内の移動は独歩、伝い歩行で移動。円背が強くあり転倒のリスクはある。居室外は車いすを使用している。")</f>
        <v>居室内の移動は独歩、伝い歩行で移動。円背が強くあり転倒のリスクはある。居室外は車いすを使用している。</v>
      </c>
      <c r="EG4" s="4"/>
      <c r="EH4" s="4" t="str">
        <f ca="1">IFERROR(__xludf.DUMMYFUNCTION("""COMPUTED_VALUE"""),"入力")</f>
        <v>入力</v>
      </c>
      <c r="EI4" s="4" t="str">
        <f ca="1">IFERROR(__xludf.DUMMYFUNCTION("""COMPUTED_VALUE"""),"入力")</f>
        <v>入力</v>
      </c>
      <c r="EJ4" s="4" t="str">
        <f ca="1">IFERROR(__xludf.DUMMYFUNCTION("""COMPUTED_VALUE"""),"経口摂取")</f>
        <v>経口摂取</v>
      </c>
      <c r="EK4" s="4" t="str">
        <f ca="1">IFERROR(__xludf.DUMMYFUNCTION("""COMPUTED_VALUE"""),"自立")</f>
        <v>自立</v>
      </c>
      <c r="EL4" s="4" t="str">
        <f ca="1">IFERROR(__xludf.DUMMYFUNCTION("""COMPUTED_VALUE"""),"できる")</f>
        <v>できる</v>
      </c>
      <c r="EM4" s="4" t="str">
        <f ca="1">IFERROR(__xludf.DUMMYFUNCTION("""COMPUTED_VALUE"""),"普通")</f>
        <v>普通</v>
      </c>
      <c r="EN4" s="4" t="str">
        <f ca="1">IFERROR(__xludf.DUMMYFUNCTION("""COMPUTED_VALUE"""),"普通")</f>
        <v>普通</v>
      </c>
      <c r="EO4" s="4" t="str">
        <f ca="1">IFERROR(__xludf.DUMMYFUNCTION("""COMPUTED_VALUE"""),"無")</f>
        <v>無</v>
      </c>
      <c r="EP4" s="4" t="str">
        <f ca="1">IFERROR(__xludf.DUMMYFUNCTION("""COMPUTED_VALUE"""),"無")</f>
        <v>無</v>
      </c>
      <c r="EQ4" s="4" t="str">
        <f ca="1">IFERROR(__xludf.DUMMYFUNCTION("""COMPUTED_VALUE"""),"箸 , スプーン")</f>
        <v>箸 , スプーン</v>
      </c>
      <c r="ER4" s="4" t="str">
        <f ca="1">IFERROR(__xludf.DUMMYFUNCTION("""COMPUTED_VALUE"""),"特に問題なし。")</f>
        <v>特に問題なし。</v>
      </c>
      <c r="ES4" s="4"/>
      <c r="ET4" s="4" t="str">
        <f ca="1">IFERROR(__xludf.DUMMYFUNCTION("""COMPUTED_VALUE"""),"入力")</f>
        <v>入力</v>
      </c>
      <c r="EU4" s="4" t="str">
        <f ca="1">IFERROR(__xludf.DUMMYFUNCTION("""COMPUTED_VALUE"""),"自立")</f>
        <v>自立</v>
      </c>
      <c r="EV4" s="4"/>
      <c r="EW4" s="4" t="str">
        <f ca="1">IFERROR(__xludf.DUMMYFUNCTION("""COMPUTED_VALUE"""),"有")</f>
        <v>有</v>
      </c>
      <c r="EX4" s="4"/>
      <c r="EY4" s="4"/>
      <c r="EZ4" s="4" t="str">
        <f ca="1">IFERROR(__xludf.DUMMYFUNCTION("""COMPUTED_VALUE"""),"義歯は不明。")</f>
        <v>義歯は不明。</v>
      </c>
      <c r="FA4" s="4"/>
      <c r="FB4" s="4" t="str">
        <f ca="1">IFERROR(__xludf.DUMMYFUNCTION("""COMPUTED_VALUE"""),"入力")</f>
        <v>入力</v>
      </c>
      <c r="FC4" s="4" t="str">
        <f ca="1">IFERROR(__xludf.DUMMYFUNCTION("""COMPUTED_VALUE"""),"一部介助")</f>
        <v>一部介助</v>
      </c>
      <c r="FD4" s="4" t="str">
        <f ca="1">IFERROR(__xludf.DUMMYFUNCTION("""COMPUTED_VALUE"""),"一般浴")</f>
        <v>一般浴</v>
      </c>
      <c r="FE4" s="4" t="str">
        <f ca="1">IFERROR(__xludf.DUMMYFUNCTION("""COMPUTED_VALUE"""),"無")</f>
        <v>無</v>
      </c>
      <c r="FF4" s="4"/>
      <c r="FG4" s="4" t="str">
        <f ca="1">IFERROR(__xludf.DUMMYFUNCTION("""COMPUTED_VALUE"""),"見守り")</f>
        <v>見守り</v>
      </c>
      <c r="FH4" s="4" t="str">
        <f ca="1">IFERROR(__xludf.DUMMYFUNCTION("""COMPUTED_VALUE"""),"見守り")</f>
        <v>見守り</v>
      </c>
      <c r="FI4" s="4" t="str">
        <f ca="1">IFERROR(__xludf.DUMMYFUNCTION("""COMPUTED_VALUE"""),"入浴はヘルパーステーションで行っている。")</f>
        <v>入浴はヘルパーステーションで行っている。</v>
      </c>
      <c r="FJ4" s="4"/>
      <c r="FK4" s="4" t="str">
        <f ca="1">IFERROR(__xludf.DUMMYFUNCTION("""COMPUTED_VALUE"""),"入力")</f>
        <v>入力</v>
      </c>
      <c r="FL4" s="4" t="str">
        <f ca="1">IFERROR(__xludf.DUMMYFUNCTION("""COMPUTED_VALUE"""),"自立")</f>
        <v>自立</v>
      </c>
      <c r="FM4" s="4" t="str">
        <f ca="1">IFERROR(__xludf.DUMMYFUNCTION("""COMPUTED_VALUE"""),"有")</f>
        <v>有</v>
      </c>
      <c r="FN4" s="4" t="str">
        <f ca="1">IFERROR(__xludf.DUMMYFUNCTION("""COMPUTED_VALUE"""),"無")</f>
        <v>無</v>
      </c>
      <c r="FO4" s="4" t="str">
        <f ca="1">IFERROR(__xludf.DUMMYFUNCTION("""COMPUTED_VALUE"""),"有")</f>
        <v>有</v>
      </c>
      <c r="FP4" s="4" t="str">
        <f ca="1">IFERROR(__xludf.DUMMYFUNCTION("""COMPUTED_VALUE"""),"無")</f>
        <v>無</v>
      </c>
      <c r="FQ4" s="4" t="str">
        <f ca="1">IFERROR(__xludf.DUMMYFUNCTION("""COMPUTED_VALUE"""),"普通便")</f>
        <v>普通便</v>
      </c>
      <c r="FR4" s="4" t="str">
        <f ca="1">IFERROR(__xludf.DUMMYFUNCTION("""COMPUTED_VALUE"""),"トイレ")</f>
        <v>トイレ</v>
      </c>
      <c r="FS4" s="4" t="str">
        <f ca="1">IFERROR(__xludf.DUMMYFUNCTION("""COMPUTED_VALUE"""),"トイレ")</f>
        <v>トイレ</v>
      </c>
      <c r="FT4" s="4" t="str">
        <f ca="1">IFERROR(__xludf.DUMMYFUNCTION("""COMPUTED_VALUE"""),"リハビリパンツ , 小パット")</f>
        <v>リハビリパンツ , 小パット</v>
      </c>
      <c r="FU4" s="4" t="str">
        <f ca="1">IFERROR(__xludf.DUMMYFUNCTION("""COMPUTED_VALUE"""),"排泄は失禁なくご自身で行えている。")</f>
        <v>排泄は失禁なくご自身で行えている。</v>
      </c>
      <c r="FV4" s="4"/>
      <c r="FW4" s="4"/>
      <c r="FX4" s="4" t="str">
        <f ca="1">IFERROR(__xludf.DUMMYFUNCTION("""COMPUTED_VALUE"""),"入力")</f>
        <v>入力</v>
      </c>
      <c r="FY4" s="4" t="str">
        <f ca="1">IFERROR(__xludf.DUMMYFUNCTION("""COMPUTED_VALUE"""),"全介助")</f>
        <v>全介助</v>
      </c>
      <c r="FZ4" s="4" t="str">
        <f ca="1">IFERROR(__xludf.DUMMYFUNCTION("""COMPUTED_VALUE"""),"全介助")</f>
        <v>全介助</v>
      </c>
      <c r="GA4" s="4" t="str">
        <f ca="1">IFERROR(__xludf.DUMMYFUNCTION("""COMPUTED_VALUE"""),"全介助")</f>
        <v>全介助</v>
      </c>
      <c r="GB4" s="4" t="str">
        <f ca="1">IFERROR(__xludf.DUMMYFUNCTION("""COMPUTED_VALUE"""),"全介助")</f>
        <v>全介助</v>
      </c>
      <c r="GC4" s="4" t="str">
        <f ca="1">IFERROR(__xludf.DUMMYFUNCTION("""COMPUTED_VALUE"""),"全介助")</f>
        <v>全介助</v>
      </c>
      <c r="GD4" s="4"/>
      <c r="GE4" s="4"/>
      <c r="GF4" s="4"/>
      <c r="GG4" s="4" t="str">
        <f ca="1">IFERROR(__xludf.DUMMYFUNCTION("""COMPUTED_VALUE"""),"特になし。")</f>
        <v>特になし。</v>
      </c>
      <c r="GH4" s="4">
        <f ca="1">IFERROR(__xludf.DUMMYFUNCTION("""COMPUTED_VALUE"""),40)</f>
        <v>40</v>
      </c>
      <c r="GI4" s="4"/>
    </row>
    <row r="5" spans="1:191">
      <c r="A5" s="4"/>
      <c r="B5" s="4"/>
      <c r="C5" s="4" t="str">
        <f ca="1">IFERROR(__xludf.DUMMYFUNCTION("""COMPUTED_VALUE"""),"宮畑　廣仁")</f>
        <v>宮畑　廣仁</v>
      </c>
      <c r="D5" s="4" t="str">
        <f ca="1">IFERROR(__xludf.DUMMYFUNCTION("""COMPUTED_VALUE"""),"123123")</f>
        <v>123123</v>
      </c>
      <c r="E5" s="4"/>
      <c r="F5" s="4"/>
      <c r="G5" s="4"/>
      <c r="H5" s="4"/>
      <c r="I5" s="5">
        <f ca="1">IFERROR(__xludf.DUMMYFUNCTION("""COMPUTED_VALUE"""),45528)</f>
        <v>45528</v>
      </c>
      <c r="J5" s="4" t="str">
        <f ca="1">IFERROR(__xludf.DUMMYFUNCTION("""COMPUTED_VALUE"""),"山川　和輝")</f>
        <v>山川　和輝</v>
      </c>
      <c r="K5" s="4" t="str">
        <f ca="1">IFERROR(__xludf.DUMMYFUNCTION("""COMPUTED_VALUE"""),"新規")</f>
        <v>新規</v>
      </c>
      <c r="L5" s="4" t="str">
        <f ca="1">IFERROR(__xludf.DUMMYFUNCTION("""COMPUTED_VALUE"""),"本人の居室")</f>
        <v>本人の居室</v>
      </c>
      <c r="M5" s="4" t="str">
        <f ca="1">IFERROR(__xludf.DUMMYFUNCTION("""COMPUTED_VALUE"""),"沖縄県生まれ。航空自衛隊に所属していた。青山レーダー基地に勤務していたころ、妻と結婚。転勤したくなったので自衛隊を辞め、様々な職に従事。同敷地内に店舗（焼肉ハウスたくみ）があり、妻と娘が経営している。")</f>
        <v>沖縄県生まれ。航空自衛隊に所属していた。青山レーダー基地に勤務していたころ、妻と結婚。転勤したくなったので自衛隊を辞め、様々な職に従事。同敷地内に店舗（焼肉ハウスたくみ）があり、妻と娘が経営している。</v>
      </c>
      <c r="N5" s="4"/>
      <c r="O5" s="4" t="str">
        <f ca="1">IFERROR(__xludf.DUMMYFUNCTION("""COMPUTED_VALUE"""),"自宅介護は困難。今後も施設で安心して生活してほしいと思っています。")</f>
        <v>自宅介護は困難。今後も施設で安心して生活してほしいと思っています。</v>
      </c>
      <c r="P5" s="4"/>
      <c r="Q5" s="4" t="str">
        <f ca="1">IFERROR(__xludf.DUMMYFUNCTION("""COMPUTED_VALUE"""),"入力")</f>
        <v>入力</v>
      </c>
      <c r="R5" s="4" t="str">
        <f ca="1">IFERROR(__xludf.DUMMYFUNCTION("""COMPUTED_VALUE"""),"要介護４")</f>
        <v>要介護４</v>
      </c>
      <c r="S5" s="4" t="str">
        <f ca="1">IFERROR(__xludf.DUMMYFUNCTION("""COMPUTED_VALUE"""),"令和6年7月11日")</f>
        <v>令和6年7月11日</v>
      </c>
      <c r="T5" s="4" t="str">
        <f ca="1">IFERROR(__xludf.DUMMYFUNCTION("""COMPUTED_VALUE"""),"令和6年5月30日")</f>
        <v>令和6年5月30日</v>
      </c>
      <c r="U5" s="4" t="str">
        <f ca="1">IFERROR(__xludf.DUMMYFUNCTION("""COMPUTED_VALUE"""),"令和7年5月31日")</f>
        <v>令和7年5月31日</v>
      </c>
      <c r="V5" s="4" t="str">
        <f ca="1">IFERROR(__xludf.DUMMYFUNCTION("""COMPUTED_VALUE"""),"１割負担")</f>
        <v>１割負担</v>
      </c>
      <c r="W5" s="4" t="str">
        <f ca="1">IFERROR(__xludf.DUMMYFUNCTION("""COMPUTED_VALUE"""),"後期高齢者医療保険")</f>
        <v>後期高齢者医療保険</v>
      </c>
      <c r="X5" s="4" t="str">
        <f ca="1">IFERROR(__xludf.DUMMYFUNCTION("""COMPUTED_VALUE"""),"無")</f>
        <v>無</v>
      </c>
      <c r="Y5" s="4"/>
      <c r="Z5" s="4" t="str">
        <f ca="1">IFERROR(__xludf.DUMMYFUNCTION("""COMPUTED_VALUE"""),"無")</f>
        <v>無</v>
      </c>
      <c r="AA5" s="4" t="str">
        <f ca="1">IFERROR(__xludf.DUMMYFUNCTION("""COMPUTED_VALUE"""),"無")</f>
        <v>無</v>
      </c>
      <c r="AB5" s="4"/>
      <c r="AC5" s="4"/>
      <c r="AD5" s="4"/>
      <c r="AE5" s="4" t="str">
        <f ca="1">IFERROR(__xludf.DUMMYFUNCTION("""COMPUTED_VALUE"""),"入力")</f>
        <v>入力</v>
      </c>
      <c r="AF5" s="4" t="str">
        <f ca="1">IFERROR(__xludf.DUMMYFUNCTION("""COMPUTED_VALUE"""),"宮畑　恵子")</f>
        <v>宮畑　恵子</v>
      </c>
      <c r="AG5" s="4" t="str">
        <f ca="1">IFERROR(__xludf.DUMMYFUNCTION("""COMPUTED_VALUE"""),"妻")</f>
        <v>妻</v>
      </c>
      <c r="AH5" s="4"/>
      <c r="AI5" s="4" t="str">
        <f ca="1">IFERROR(__xludf.DUMMYFUNCTION("""COMPUTED_VALUE"""),"別居")</f>
        <v>別居</v>
      </c>
      <c r="AJ5" s="4" t="str">
        <f ca="1">IFERROR(__xludf.DUMMYFUNCTION("""COMPUTED_VALUE"""),"介護する")</f>
        <v>介護する</v>
      </c>
      <c r="AK5" s="4" t="str">
        <f ca="1">IFERROR(__xludf.DUMMYFUNCTION("""COMPUTED_VALUE"""),"有")</f>
        <v>有</v>
      </c>
      <c r="AL5" s="4" t="str">
        <f ca="1">IFERROR(__xludf.DUMMYFUNCTION("""COMPUTED_VALUE"""),"090-4113-3080")</f>
        <v>090-4113-3080</v>
      </c>
      <c r="AM5" s="4" t="str">
        <f ca="1">IFERROR(__xludf.DUMMYFUNCTION("""COMPUTED_VALUE"""),"KP。連絡先順位　妻→娘→お店（059-268-3910）")</f>
        <v>KP。連絡先順位　妻→娘→お店（059-268-3910）</v>
      </c>
      <c r="AN5" s="4" t="str">
        <f ca="1">IFERROR(__xludf.DUMMYFUNCTION("""COMPUTED_VALUE"""),"元嶋　あかり")</f>
        <v>元嶋　あかり</v>
      </c>
      <c r="AO5" s="4" t="str">
        <f ca="1">IFERROR(__xludf.DUMMYFUNCTION("""COMPUTED_VALUE"""),"長女")</f>
        <v>長女</v>
      </c>
      <c r="AP5" s="4"/>
      <c r="AQ5" s="4" t="str">
        <f ca="1">IFERROR(__xludf.DUMMYFUNCTION("""COMPUTED_VALUE"""),"別居")</f>
        <v>別居</v>
      </c>
      <c r="AR5" s="4" t="str">
        <f ca="1">IFERROR(__xludf.DUMMYFUNCTION("""COMPUTED_VALUE"""),"介護する")</f>
        <v>介護する</v>
      </c>
      <c r="AS5" s="4" t="str">
        <f ca="1">IFERROR(__xludf.DUMMYFUNCTION("""COMPUTED_VALUE"""),"有")</f>
        <v>有</v>
      </c>
      <c r="AT5" s="4" t="str">
        <f ca="1">IFERROR(__xludf.DUMMYFUNCTION("""COMPUTED_VALUE"""),"090-6071-8730")</f>
        <v>090-6071-8730</v>
      </c>
      <c r="AU5" s="4" t="str">
        <f ca="1">IFERROR(__xludf.DUMMYFUNCTION("""COMPUTED_VALUE"""),"連絡先順位　妻→娘→お店（059-268-3910）")</f>
        <v>連絡先順位　妻→娘→お店（059-268-3910）</v>
      </c>
      <c r="AV5" s="4"/>
      <c r="AW5" s="4" t="str">
        <f ca="1">IFERROR(__xludf.DUMMYFUNCTION("""COMPUTED_VALUE"""),"入力")</f>
        <v>入力</v>
      </c>
      <c r="AX5" s="4" t="str">
        <f ca="1">IFERROR(__xludf.DUMMYFUNCTION("""COMPUTED_VALUE"""),"一人暮らし")</f>
        <v>一人暮らし</v>
      </c>
      <c r="AY5" s="4" t="str">
        <f ca="1">IFERROR(__xludf.DUMMYFUNCTION("""COMPUTED_VALUE"""),"集合住宅")</f>
        <v>集合住宅</v>
      </c>
      <c r="AZ5" s="4" t="str">
        <f ca="1">IFERROR(__xludf.DUMMYFUNCTION("""COMPUTED_VALUE"""),"エレベーター有")</f>
        <v>エレベーター有</v>
      </c>
      <c r="BA5" s="4" t="str">
        <f ca="1">IFERROR(__xludf.DUMMYFUNCTION("""COMPUTED_VALUE"""),"賃貸")</f>
        <v>賃貸</v>
      </c>
      <c r="BB5" s="4" t="str">
        <f ca="1">IFERROR(__xludf.DUMMYFUNCTION("""COMPUTED_VALUE"""),"有")</f>
        <v>有</v>
      </c>
      <c r="BC5" s="4" t="str">
        <f ca="1">IFERROR(__xludf.DUMMYFUNCTION("""COMPUTED_VALUE"""),"有")</f>
        <v>有</v>
      </c>
      <c r="BD5" s="4" t="str">
        <f ca="1">IFERROR(__xludf.DUMMYFUNCTION("""COMPUTED_VALUE"""),"ウォシュレット")</f>
        <v>ウォシュレット</v>
      </c>
      <c r="BE5" s="4"/>
      <c r="BF5" s="4"/>
      <c r="BG5" s="4" t="str">
        <f ca="1">IFERROR(__xludf.DUMMYFUNCTION("""COMPUTED_VALUE"""),"無")</f>
        <v>無</v>
      </c>
      <c r="BH5" s="4"/>
      <c r="BI5" s="4" t="str">
        <f ca="1">IFERROR(__xludf.DUMMYFUNCTION("""COMPUTED_VALUE"""),"リクライニングベッド")</f>
        <v>リクライニングベッド</v>
      </c>
      <c r="BJ5" s="4" t="str">
        <f ca="1">IFERROR(__xludf.DUMMYFUNCTION("""COMPUTED_VALUE"""),"無")</f>
        <v>無</v>
      </c>
      <c r="BK5" s="4" t="str">
        <f ca="1">IFERROR(__xludf.DUMMYFUNCTION("""COMPUTED_VALUE"""),"無")</f>
        <v>無</v>
      </c>
      <c r="BL5" s="4" t="str">
        <f ca="1">IFERROR(__xludf.DUMMYFUNCTION("""COMPUTED_VALUE"""),"無")</f>
        <v>無</v>
      </c>
      <c r="BM5" s="4"/>
      <c r="BN5" s="4"/>
      <c r="BO5" s="4" t="str">
        <f ca="1">IFERROR(__xludf.DUMMYFUNCTION("""COMPUTED_VALUE"""),"入力")</f>
        <v>入力</v>
      </c>
      <c r="BP5" s="4"/>
      <c r="BQ5" s="4"/>
      <c r="BR5" s="4"/>
      <c r="BS5" s="4"/>
      <c r="BT5" s="4"/>
      <c r="BU5" s="4"/>
      <c r="BV5" s="4"/>
      <c r="BW5" s="4" t="str">
        <f ca="1">IFERROR(__xludf.DUMMYFUNCTION("""COMPUTED_VALUE"""),"入力")</f>
        <v>入力</v>
      </c>
      <c r="BX5" s="4" t="str">
        <f ca="1">IFERROR(__xludf.DUMMYFUNCTION("""COMPUTED_VALUE"""),"右大腿骨転子部骨折（手術済み）")</f>
        <v>右大腿骨転子部骨折（手術済み）</v>
      </c>
      <c r="BY5" s="4" t="str">
        <f ca="1">IFERROR(__xludf.DUMMYFUNCTION("""COMPUTED_VALUE"""),"令和6年4月7日")</f>
        <v>令和6年4月7日</v>
      </c>
      <c r="BZ5" s="4" t="str">
        <f ca="1">IFERROR(__xludf.DUMMYFUNCTION("""COMPUTED_VALUE"""),"頻脈、閉塞性肥大型心筋症")</f>
        <v>頻脈、閉塞性肥大型心筋症</v>
      </c>
      <c r="CA5" s="4" t="str">
        <f ca="1">IFERROR(__xludf.DUMMYFUNCTION("""COMPUTED_VALUE"""),"令和6年5月10日")</f>
        <v>令和6年5月10日</v>
      </c>
      <c r="CB5" s="4" t="str">
        <f ca="1">IFERROR(__xludf.DUMMYFUNCTION("""COMPUTED_VALUE"""),"間質性肺炎")</f>
        <v>間質性肺炎</v>
      </c>
      <c r="CC5" s="4" t="str">
        <f ca="1">IFERROR(__xludf.DUMMYFUNCTION("""COMPUTED_VALUE"""),"不詳")</f>
        <v>不詳</v>
      </c>
      <c r="CD5" s="4" t="str">
        <f ca="1">IFERROR(__xludf.DUMMYFUNCTION("""COMPUTED_VALUE"""),"第1腰椎椎体骨折（保存療法）")</f>
        <v>第1腰椎椎体骨折（保存療法）</v>
      </c>
      <c r="CE5" s="4" t="str">
        <f ca="1">IFERROR(__xludf.DUMMYFUNCTION("""COMPUTED_VALUE"""),"令和6年2月20日")</f>
        <v>令和6年2月20日</v>
      </c>
      <c r="CF5" s="4" t="str">
        <f ca="1">IFERROR(__xludf.DUMMYFUNCTION("""COMPUTED_VALUE"""),"鉄欠乏性貧血")</f>
        <v>鉄欠乏性貧血</v>
      </c>
      <c r="CG5" s="4" t="str">
        <f ca="1">IFERROR(__xludf.DUMMYFUNCTION("""COMPUTED_VALUE"""),"不詳")</f>
        <v>不詳</v>
      </c>
      <c r="CH5" s="4"/>
      <c r="CI5" s="4"/>
      <c r="CJ5" s="4" t="str">
        <f ca="1">IFERROR(__xludf.DUMMYFUNCTION("""COMPUTED_VALUE"""),"令和6年6月26日までは、永井病院に受診を行っていたが現在は通院は行っていない。")</f>
        <v>令和6年6月26日までは、永井病院に受診を行っていたが現在は通院は行っていない。</v>
      </c>
      <c r="CK5" s="4"/>
      <c r="CL5" s="4"/>
      <c r="CM5" s="4"/>
      <c r="CN5" s="4"/>
      <c r="CO5" s="4"/>
      <c r="CP5" s="4"/>
      <c r="CQ5" s="4"/>
      <c r="CR5" s="4"/>
      <c r="CS5" s="4"/>
      <c r="CT5" s="4" t="str">
        <f ca="1">IFERROR(__xludf.DUMMYFUNCTION("""COMPUTED_VALUE"""),"内服は袋を開封して口まで運んでいる。
服薬管理は老健ロマンの看護師が行っている。
週1回、起床時に「アレンドロン」を内服する。")</f>
        <v>内服は袋を開封して口まで運んでいる。
服薬管理は老健ロマンの看護師が行っている。
週1回、起床時に「アレンドロン」を内服する。</v>
      </c>
      <c r="CU5" s="4"/>
      <c r="CV5" s="4"/>
      <c r="CW5" s="4"/>
      <c r="CX5" s="4" t="str">
        <f ca="1">IFERROR(__xludf.DUMMYFUNCTION("""COMPUTED_VALUE"""),"入力")</f>
        <v>入力</v>
      </c>
      <c r="CY5" s="4" t="str">
        <f ca="1">IFERROR(__xludf.DUMMYFUNCTION("""COMPUTED_VALUE"""),"無")</f>
        <v>無</v>
      </c>
      <c r="CZ5" s="4" t="str">
        <f ca="1">IFERROR(__xludf.DUMMYFUNCTION("""COMPUTED_VALUE"""),"無")</f>
        <v>無</v>
      </c>
      <c r="DA5" s="4" t="str">
        <f ca="1">IFERROR(__xludf.DUMMYFUNCTION("""COMPUTED_VALUE"""),"無")</f>
        <v>無</v>
      </c>
      <c r="DB5" s="4" t="str">
        <f ca="1">IFERROR(__xludf.DUMMYFUNCTION("""COMPUTED_VALUE"""),"無")</f>
        <v>無</v>
      </c>
      <c r="DC5" s="4" t="str">
        <f ca="1">IFERROR(__xludf.DUMMYFUNCTION("""COMPUTED_VALUE"""),"無")</f>
        <v>無</v>
      </c>
      <c r="DD5" s="4"/>
      <c r="DE5" s="4"/>
      <c r="DF5" s="4" t="str">
        <f ca="1">IFERROR(__xludf.DUMMYFUNCTION("""COMPUTED_VALUE"""),"正常")</f>
        <v>正常</v>
      </c>
      <c r="DG5" s="4" t="str">
        <f ca="1">IFERROR(__xludf.DUMMYFUNCTION("""COMPUTED_VALUE"""),"無")</f>
        <v>無</v>
      </c>
      <c r="DH5" s="4" t="str">
        <f ca="1">IFERROR(__xludf.DUMMYFUNCTION("""COMPUTED_VALUE"""),"正常")</f>
        <v>正常</v>
      </c>
      <c r="DI5" s="4" t="str">
        <f ca="1">IFERROR(__xludf.DUMMYFUNCTION("""COMPUTED_VALUE"""),"無")</f>
        <v>無</v>
      </c>
      <c r="DJ5" s="4" t="str">
        <f ca="1">IFERROR(__xludf.DUMMYFUNCTION("""COMPUTED_VALUE"""),"普段の血圧は70～100mmHgとやや低値で、ベッド上の生活が続いており起立性低血圧も見られる。
老健ロマンでは、起立性低血圧で意識消失や何らかの症状が出たことはないとのこと。")</f>
        <v>普段の血圧は70～100mmHgとやや低値で、ベッド上の生活が続いており起立性低血圧も見られる。
老健ロマンでは、起立性低血圧で意識消失や何らかの症状が出たことはないとのこと。</v>
      </c>
      <c r="DK5" s="4"/>
      <c r="DL5" s="4" t="str">
        <f ca="1">IFERROR(__xludf.DUMMYFUNCTION("""COMPUTED_VALUE"""),"入力")</f>
        <v>入力</v>
      </c>
      <c r="DM5" s="4" t="str">
        <f ca="1">IFERROR(__xludf.DUMMYFUNCTION("""COMPUTED_VALUE"""),"有")</f>
        <v>有</v>
      </c>
      <c r="DN5" s="4" t="str">
        <f ca="1">IFERROR(__xludf.DUMMYFUNCTION("""COMPUTED_VALUE"""),"中等度")</f>
        <v>中等度</v>
      </c>
      <c r="DO5" s="4" t="str">
        <f ca="1">IFERROR(__xludf.DUMMYFUNCTION("""COMPUTED_VALUE"""),"無")</f>
        <v>無</v>
      </c>
      <c r="DP5" s="4" t="str">
        <f ca="1">IFERROR(__xludf.DUMMYFUNCTION("""COMPUTED_VALUE"""),"不明瞭")</f>
        <v>不明瞭</v>
      </c>
      <c r="DQ5" s="4" t="str">
        <f ca="1">IFERROR(__xludf.DUMMYFUNCTION("""COMPUTED_VALUE"""),"その場のみ可")</f>
        <v>その場のみ可</v>
      </c>
      <c r="DR5" s="4" t="str">
        <f ca="1">IFERROR(__xludf.DUMMYFUNCTION("""COMPUTED_VALUE"""),"指示入力は入るものの、物忘れや記銘力に低下あり。長谷川式12点と低値。病識もない。")</f>
        <v>指示入力は入るものの、物忘れや記銘力に低下あり。長谷川式12点と低値。病識もない。</v>
      </c>
      <c r="DS5" s="4"/>
      <c r="DT5" s="4"/>
      <c r="DU5" s="4" t="str">
        <f ca="1">IFERROR(__xludf.DUMMYFUNCTION("""COMPUTED_VALUE"""),"入力")</f>
        <v>入力</v>
      </c>
      <c r="DV5" s="4"/>
      <c r="DW5" s="4" t="str">
        <f ca="1">IFERROR(__xludf.DUMMYFUNCTION("""COMPUTED_VALUE"""),"できない")</f>
        <v>できない</v>
      </c>
      <c r="DX5" s="4" t="str">
        <f ca="1">IFERROR(__xludf.DUMMYFUNCTION("""COMPUTED_VALUE"""),"自分の手で支えればできる")</f>
        <v>自分の手で支えればできる</v>
      </c>
      <c r="DY5" s="4" t="str">
        <f ca="1">IFERROR(__xludf.DUMMYFUNCTION("""COMPUTED_VALUE"""),"できない")</f>
        <v>できない</v>
      </c>
      <c r="DZ5" s="4" t="str">
        <f ca="1">IFERROR(__xludf.DUMMYFUNCTION("""COMPUTED_VALUE"""),"できない")</f>
        <v>できない</v>
      </c>
      <c r="EA5" s="4" t="str">
        <f ca="1">IFERROR(__xludf.DUMMYFUNCTION("""COMPUTED_VALUE"""),"全介助")</f>
        <v>全介助</v>
      </c>
      <c r="EB5" s="4" t="str">
        <f ca="1">IFERROR(__xludf.DUMMYFUNCTION("""COMPUTED_VALUE"""),"全介助")</f>
        <v>全介助</v>
      </c>
      <c r="EC5" s="4" t="str">
        <f ca="1">IFERROR(__xludf.DUMMYFUNCTION("""COMPUTED_VALUE"""),"車椅子")</f>
        <v>車椅子</v>
      </c>
      <c r="ED5" s="4" t="str">
        <f ca="1">IFERROR(__xludf.DUMMYFUNCTION("""COMPUTED_VALUE"""),"全介助")</f>
        <v>全介助</v>
      </c>
      <c r="EE5" s="4" t="str">
        <f ca="1">IFERROR(__xludf.DUMMYFUNCTION("""COMPUTED_VALUE"""),"車椅子")</f>
        <v>車椅子</v>
      </c>
      <c r="EF5" s="4" t="str">
        <f ca="1">IFERROR(__xludf.DUMMYFUNCTION("""COMPUTED_VALUE"""),"移動はリクライニング車椅子を使用。
永井病院に入院中は歩行器で歩く練習をされていたが、老健ロマンに退院後は積極的に歩行訓練は行っていない。
血圧70～100mmHgで起立性低血圧の危険性もあり終日ベッドで臥床。
基本的に寝たきりの生活をされており、すべての動作において協力動作はあるものの介助を要す。")</f>
        <v>移動はリクライニング車椅子を使用。
永井病院に入院中は歩行器で歩く練習をされていたが、老健ロマンに退院後は積極的に歩行訓練は行っていない。
血圧70～100mmHgで起立性低血圧の危険性もあり終日ベッドで臥床。
基本的に寝たきりの生活をされており、すべての動作において協力動作はあるものの介助を要す。</v>
      </c>
      <c r="EG5" s="4"/>
      <c r="EH5" s="4" t="str">
        <f ca="1">IFERROR(__xludf.DUMMYFUNCTION("""COMPUTED_VALUE"""),"入力")</f>
        <v>入力</v>
      </c>
      <c r="EI5" s="4" t="str">
        <f ca="1">IFERROR(__xludf.DUMMYFUNCTION("""COMPUTED_VALUE"""),"入力")</f>
        <v>入力</v>
      </c>
      <c r="EJ5" s="4" t="str">
        <f ca="1">IFERROR(__xludf.DUMMYFUNCTION("""COMPUTED_VALUE"""),"経口摂取")</f>
        <v>経口摂取</v>
      </c>
      <c r="EK5" s="4" t="str">
        <f ca="1">IFERROR(__xludf.DUMMYFUNCTION("""COMPUTED_VALUE"""),"一部介助")</f>
        <v>一部介助</v>
      </c>
      <c r="EL5" s="4" t="str">
        <f ca="1">IFERROR(__xludf.DUMMYFUNCTION("""COMPUTED_VALUE"""),"できる")</f>
        <v>できる</v>
      </c>
      <c r="EM5" s="4" t="str">
        <f ca="1">IFERROR(__xludf.DUMMYFUNCTION("""COMPUTED_VALUE"""),"軟飯")</f>
        <v>軟飯</v>
      </c>
      <c r="EN5" s="4" t="str">
        <f ca="1">IFERROR(__xludf.DUMMYFUNCTION("""COMPUTED_VALUE"""),"一口大")</f>
        <v>一口大</v>
      </c>
      <c r="EO5" s="4" t="str">
        <f ca="1">IFERROR(__xludf.DUMMYFUNCTION("""COMPUTED_VALUE"""),"無")</f>
        <v>無</v>
      </c>
      <c r="EP5" s="4" t="str">
        <f ca="1">IFERROR(__xludf.DUMMYFUNCTION("""COMPUTED_VALUE"""),"有")</f>
        <v>有</v>
      </c>
      <c r="EQ5" s="4" t="str">
        <f ca="1">IFERROR(__xludf.DUMMYFUNCTION("""COMPUTED_VALUE"""),"スプーン")</f>
        <v>スプーン</v>
      </c>
      <c r="ER5" s="4" t="str">
        <f ca="1">IFERROR(__xludf.DUMMYFUNCTION("""COMPUTED_VALUE"""),"食事制限：塩分6g未満、低残渣食
現在はリクライニング車椅子で食事をされている。ご自身で食べることも可能だが、手がとまったりで食事が進まないときは介助を行っている。")</f>
        <v>食事制限：塩分6g未満、低残渣食
現在はリクライニング車椅子で食事をされている。ご自身で食べることも可能だが、手がとまったりで食事が進まないときは介助を行っている。</v>
      </c>
      <c r="ES5" s="4"/>
      <c r="ET5" s="4" t="str">
        <f ca="1">IFERROR(__xludf.DUMMYFUNCTION("""COMPUTED_VALUE"""),"入力")</f>
        <v>入力</v>
      </c>
      <c r="EU5" s="4" t="str">
        <f ca="1">IFERROR(__xludf.DUMMYFUNCTION("""COMPUTED_VALUE"""),"全介助")</f>
        <v>全介助</v>
      </c>
      <c r="EV5" s="4"/>
      <c r="EW5" s="4" t="str">
        <f ca="1">IFERROR(__xludf.DUMMYFUNCTION("""COMPUTED_VALUE"""),"有")</f>
        <v>有</v>
      </c>
      <c r="EX5" s="4" t="str">
        <f ca="1">IFERROR(__xludf.DUMMYFUNCTION("""COMPUTED_VALUE"""),"総義歯")</f>
        <v>総義歯</v>
      </c>
      <c r="EY5" s="4" t="str">
        <f ca="1">IFERROR(__xludf.DUMMYFUNCTION("""COMPUTED_VALUE"""),"上下")</f>
        <v>上下</v>
      </c>
      <c r="EZ5" s="4" t="str">
        <f ca="1">IFERROR(__xludf.DUMMYFUNCTION("""COMPUTED_VALUE"""),"口腔ケアはベッド上で介助している。
うがいはガーグルベースを使用することで可能。")</f>
        <v>口腔ケアはベッド上で介助している。
うがいはガーグルベースを使用することで可能。</v>
      </c>
      <c r="FA5" s="4"/>
      <c r="FB5" s="4" t="str">
        <f ca="1">IFERROR(__xludf.DUMMYFUNCTION("""COMPUTED_VALUE"""),"入力")</f>
        <v>入力</v>
      </c>
      <c r="FC5" s="4" t="str">
        <f ca="1">IFERROR(__xludf.DUMMYFUNCTION("""COMPUTED_VALUE"""),"一部介助")</f>
        <v>一部介助</v>
      </c>
      <c r="FD5" s="4" t="str">
        <f ca="1">IFERROR(__xludf.DUMMYFUNCTION("""COMPUTED_VALUE"""),"シャワー浴")</f>
        <v>シャワー浴</v>
      </c>
      <c r="FE5" s="4" t="str">
        <f ca="1">IFERROR(__xludf.DUMMYFUNCTION("""COMPUTED_VALUE"""),"無")</f>
        <v>無</v>
      </c>
      <c r="FF5" s="4"/>
      <c r="FG5" s="4" t="str">
        <f ca="1">IFERROR(__xludf.DUMMYFUNCTION("""COMPUTED_VALUE"""),"一部介助")</f>
        <v>一部介助</v>
      </c>
      <c r="FH5" s="4" t="str">
        <f ca="1">IFERROR(__xludf.DUMMYFUNCTION("""COMPUTED_VALUE"""),"一部介助")</f>
        <v>一部介助</v>
      </c>
      <c r="FI5" s="4"/>
      <c r="FJ5" s="4"/>
      <c r="FK5" s="4" t="str">
        <f ca="1">IFERROR(__xludf.DUMMYFUNCTION("""COMPUTED_VALUE"""),"入力")</f>
        <v>入力</v>
      </c>
      <c r="FL5" s="4" t="str">
        <f ca="1">IFERROR(__xludf.DUMMYFUNCTION("""COMPUTED_VALUE"""),"全介助")</f>
        <v>全介助</v>
      </c>
      <c r="FM5" s="4" t="str">
        <f ca="1">IFERROR(__xludf.DUMMYFUNCTION("""COMPUTED_VALUE"""),"有")</f>
        <v>有</v>
      </c>
      <c r="FN5" s="4" t="str">
        <f ca="1">IFERROR(__xludf.DUMMYFUNCTION("""COMPUTED_VALUE"""),"有")</f>
        <v>有</v>
      </c>
      <c r="FO5" s="4" t="str">
        <f ca="1">IFERROR(__xludf.DUMMYFUNCTION("""COMPUTED_VALUE"""),"有")</f>
        <v>有</v>
      </c>
      <c r="FP5" s="4" t="str">
        <f ca="1">IFERROR(__xludf.DUMMYFUNCTION("""COMPUTED_VALUE"""),"有")</f>
        <v>有</v>
      </c>
      <c r="FQ5" s="4" t="str">
        <f ca="1">IFERROR(__xludf.DUMMYFUNCTION("""COMPUTED_VALUE"""),"普通便")</f>
        <v>普通便</v>
      </c>
      <c r="FR5" s="4" t="str">
        <f ca="1">IFERROR(__xludf.DUMMYFUNCTION("""COMPUTED_VALUE"""),"オムツ")</f>
        <v>オムツ</v>
      </c>
      <c r="FS5" s="4" t="str">
        <f ca="1">IFERROR(__xludf.DUMMYFUNCTION("""COMPUTED_VALUE"""),"オムツ")</f>
        <v>オムツ</v>
      </c>
      <c r="FT5" s="4" t="str">
        <f ca="1">IFERROR(__xludf.DUMMYFUNCTION("""COMPUTED_VALUE"""),"紙おむつ , 小パット")</f>
        <v>紙おむつ , 小パット</v>
      </c>
      <c r="FU5" s="4" t="str">
        <f ca="1">IFERROR(__xludf.DUMMYFUNCTION("""COMPUTED_VALUE"""),"医師からトイレの許可は出ているが、長期臥床により起立性低血圧のリスクがありオムツ対応。
今後もオムツ対応とする。")</f>
        <v>医師からトイレの許可は出ているが、長期臥床により起立性低血圧のリスクがありオムツ対応。
今後もオムツ対応とする。</v>
      </c>
      <c r="FV5" s="4"/>
      <c r="FW5" s="4"/>
      <c r="FX5" s="4" t="str">
        <f ca="1">IFERROR(__xludf.DUMMYFUNCTION("""COMPUTED_VALUE"""),"入力")</f>
        <v>入力</v>
      </c>
      <c r="FY5" s="4" t="str">
        <f ca="1">IFERROR(__xludf.DUMMYFUNCTION("""COMPUTED_VALUE"""),"全介助")</f>
        <v>全介助</v>
      </c>
      <c r="FZ5" s="4" t="str">
        <f ca="1">IFERROR(__xludf.DUMMYFUNCTION("""COMPUTED_VALUE"""),"全介助")</f>
        <v>全介助</v>
      </c>
      <c r="GA5" s="4" t="str">
        <f ca="1">IFERROR(__xludf.DUMMYFUNCTION("""COMPUTED_VALUE"""),"全介助")</f>
        <v>全介助</v>
      </c>
      <c r="GB5" s="4" t="str">
        <f ca="1">IFERROR(__xludf.DUMMYFUNCTION("""COMPUTED_VALUE"""),"全介助")</f>
        <v>全介助</v>
      </c>
      <c r="GC5" s="4" t="str">
        <f ca="1">IFERROR(__xludf.DUMMYFUNCTION("""COMPUTED_VALUE"""),"全介助")</f>
        <v>全介助</v>
      </c>
      <c r="GD5" s="4" t="str">
        <f ca="1">IFERROR(__xludf.DUMMYFUNCTION("""COMPUTED_VALUE"""),"すべて全介助。")</f>
        <v>すべて全介助。</v>
      </c>
      <c r="GE5" s="4"/>
      <c r="GF5" s="4"/>
      <c r="GG5" s="4"/>
      <c r="GH5" s="4">
        <f ca="1">IFERROR(__xludf.DUMMYFUNCTION("""COMPUTED_VALUE"""),30)</f>
        <v>30</v>
      </c>
      <c r="GI5" s="4"/>
    </row>
    <row r="6" spans="1:191">
      <c r="A6" s="4"/>
      <c r="B6" s="4"/>
      <c r="C6" s="4" t="str">
        <f ca="1">IFERROR(__xludf.DUMMYFUNCTION("""COMPUTED_VALUE"""),"鬼頭　孝子")</f>
        <v>鬼頭　孝子</v>
      </c>
      <c r="D6" s="4" t="str">
        <f ca="1">IFERROR(__xludf.DUMMYFUNCTION("""COMPUTED_VALUE"""),"db4c110d")</f>
        <v>db4c110d</v>
      </c>
      <c r="E6" s="4"/>
      <c r="F6" s="4"/>
      <c r="G6" s="4"/>
      <c r="H6" s="4"/>
      <c r="I6" s="5">
        <f ca="1">IFERROR(__xludf.DUMMYFUNCTION("""COMPUTED_VALUE"""),45793)</f>
        <v>45793</v>
      </c>
      <c r="J6" s="4" t="str">
        <f ca="1">IFERROR(__xludf.DUMMYFUNCTION("""COMPUTED_VALUE"""),"山川　和輝")</f>
        <v>山川　和輝</v>
      </c>
      <c r="K6" s="4" t="str">
        <f ca="1">IFERROR(__xludf.DUMMYFUNCTION("""COMPUTED_VALUE"""),"新規")</f>
        <v>新規</v>
      </c>
      <c r="L6" s="4" t="str">
        <f ca="1">IFERROR(__xludf.DUMMYFUNCTION("""COMPUTED_VALUE"""),"本人の居室")</f>
        <v>本人の居室</v>
      </c>
      <c r="M6" s="4" t="str">
        <f ca="1">IFERROR(__xludf.DUMMYFUNCTION("""COMPUTED_VALUE"""),"元々パーマ屋を営んでおり、夫が平成15年にご逝去されてから近所の顔馴染みの友人も施設入所等でいなくなり、デイサービスと訪問介護を利用しながら在宅生活をしていた。
網膜静脈閉鎖と緑内障から視力の低下があり、令和4年6月13日にサービス付き高齢者向け住宅ケアスイートに入居となった。
令和6年8月8日、現在住まれているケアスイートが経営破綻となり急遽転居が必要となり、安濃津ろまんの申し込みがあった。安濃津ろまんのお部屋があくまでの間、昭和ろまんショートステイを一時利用することとなった。")</f>
        <v>元々パーマ屋を営んでおり、夫が平成15年にご逝去されてから近所の顔馴染みの友人も施設入所等でいなくなり、デイサービスと訪問介護を利用しながら在宅生活をしていた。
網膜静脈閉鎖と緑内障から視力の低下があり、令和4年6月13日にサービス付き高齢者向け住宅ケアスイートに入居となった。
令和6年8月8日、現在住まれているケアスイートが経営破綻となり急遽転居が必要となり、安濃津ろまんの申し込みがあった。安濃津ろまんのお部屋があくまでの間、昭和ろまんショートステイを一時利用することとなった。</v>
      </c>
      <c r="N6" s="4" t="str">
        <f ca="1">IFERROR(__xludf.DUMMYFUNCTION("""COMPUTED_VALUE"""),"目が見えないので一人でいろんなことができないので、できないことは手伝って欲しい。")</f>
        <v>目が見えないので一人でいろんなことができないので、できないことは手伝って欲しい。</v>
      </c>
      <c r="O6" s="4" t="str">
        <f ca="1">IFERROR(__xludf.DUMMYFUNCTION("""COMPUTED_VALUE"""),"家で見ることはできないので、施設で幸せに過ごしてほしい。")</f>
        <v>家で見ることはできないので、施設で幸せに過ごしてほしい。</v>
      </c>
      <c r="P6" s="4"/>
      <c r="Q6" s="4" t="str">
        <f ca="1">IFERROR(__xludf.DUMMYFUNCTION("""COMPUTED_VALUE"""),"入力")</f>
        <v>入力</v>
      </c>
      <c r="R6" s="4" t="str">
        <f ca="1">IFERROR(__xludf.DUMMYFUNCTION("""COMPUTED_VALUE"""),"要介護３")</f>
        <v>要介護３</v>
      </c>
      <c r="S6" s="4" t="str">
        <f ca="1">IFERROR(__xludf.DUMMYFUNCTION("""COMPUTED_VALUE"""),"令和5年11月1日")</f>
        <v>令和5年11月1日</v>
      </c>
      <c r="T6" s="4" t="str">
        <f ca="1">IFERROR(__xludf.DUMMYFUNCTION("""COMPUTED_VALUE"""),"令和5年11月1日")</f>
        <v>令和5年11月1日</v>
      </c>
      <c r="U6" s="4" t="str">
        <f ca="1">IFERROR(__xludf.DUMMYFUNCTION("""COMPUTED_VALUE"""),"令和6年10月31日")</f>
        <v>令和6年10月31日</v>
      </c>
      <c r="V6" s="4" t="str">
        <f ca="1">IFERROR(__xludf.DUMMYFUNCTION("""COMPUTED_VALUE"""),"１割負担")</f>
        <v>１割負担</v>
      </c>
      <c r="W6" s="4" t="str">
        <f ca="1">IFERROR(__xludf.DUMMYFUNCTION("""COMPUTED_VALUE"""),"後期高齢者医療保険")</f>
        <v>後期高齢者医療保険</v>
      </c>
      <c r="X6" s="4" t="str">
        <f ca="1">IFERROR(__xludf.DUMMYFUNCTION("""COMPUTED_VALUE"""),"有")</f>
        <v>有</v>
      </c>
      <c r="Y6" s="4"/>
      <c r="Z6" s="4" t="str">
        <f ca="1">IFERROR(__xludf.DUMMYFUNCTION("""COMPUTED_VALUE"""),"無")</f>
        <v>無</v>
      </c>
      <c r="AA6" s="4" t="str">
        <f ca="1">IFERROR(__xludf.DUMMYFUNCTION("""COMPUTED_VALUE"""),"無")</f>
        <v>無</v>
      </c>
      <c r="AB6" s="4"/>
      <c r="AC6" s="4"/>
      <c r="AD6" s="4"/>
      <c r="AE6" s="4" t="str">
        <f ca="1">IFERROR(__xludf.DUMMYFUNCTION("""COMPUTED_VALUE"""),"入力")</f>
        <v>入力</v>
      </c>
      <c r="AF6" s="4" t="str">
        <f ca="1">IFERROR(__xludf.DUMMYFUNCTION("""COMPUTED_VALUE"""),"鬼頭　正幸")</f>
        <v>鬼頭　正幸</v>
      </c>
      <c r="AG6" s="4" t="str">
        <f ca="1">IFERROR(__xludf.DUMMYFUNCTION("""COMPUTED_VALUE"""),"長男")</f>
        <v>長男</v>
      </c>
      <c r="AH6" s="4"/>
      <c r="AI6" s="4" t="str">
        <f ca="1">IFERROR(__xludf.DUMMYFUNCTION("""COMPUTED_VALUE"""),"別居")</f>
        <v>別居</v>
      </c>
      <c r="AJ6" s="4" t="str">
        <f ca="1">IFERROR(__xludf.DUMMYFUNCTION("""COMPUTED_VALUE"""),"介護しない")</f>
        <v>介護しない</v>
      </c>
      <c r="AK6" s="4" t="str">
        <f ca="1">IFERROR(__xludf.DUMMYFUNCTION("""COMPUTED_VALUE"""),"有")</f>
        <v>有</v>
      </c>
      <c r="AL6" s="4" t="str">
        <f ca="1">IFERROR(__xludf.DUMMYFUNCTION("""COMPUTED_VALUE"""),"090-7952-6699")</f>
        <v>090-7952-6699</v>
      </c>
      <c r="AM6" s="4" t="str">
        <f ca="1">IFERROR(__xludf.DUMMYFUNCTION("""COMPUTED_VALUE"""),"KP")</f>
        <v>KP</v>
      </c>
      <c r="AN6" s="4"/>
      <c r="AO6" s="4"/>
      <c r="AP6" s="4"/>
      <c r="AQ6" s="4"/>
      <c r="AR6" s="4"/>
      <c r="AS6" s="4"/>
      <c r="AT6" s="4"/>
      <c r="AU6" s="4"/>
      <c r="AV6" s="4"/>
      <c r="AW6" s="4"/>
      <c r="AX6" s="4"/>
      <c r="AY6" s="4"/>
      <c r="AZ6" s="4"/>
      <c r="BA6" s="4"/>
      <c r="BB6" s="4"/>
      <c r="BC6" s="4"/>
      <c r="BD6" s="4"/>
      <c r="BE6" s="4"/>
      <c r="BF6" s="4"/>
      <c r="BG6" s="4"/>
      <c r="BH6" s="4"/>
      <c r="BI6" s="4"/>
      <c r="BJ6" s="4"/>
      <c r="BK6" s="4"/>
      <c r="BL6" s="4"/>
      <c r="BM6" s="4"/>
      <c r="BN6" s="4"/>
      <c r="BO6" s="4"/>
      <c r="BP6" s="4"/>
      <c r="BQ6" s="4"/>
      <c r="BR6" s="4"/>
      <c r="BS6" s="4"/>
      <c r="BT6" s="4"/>
      <c r="BU6" s="4"/>
      <c r="BV6" s="4"/>
      <c r="BW6" s="4" t="str">
        <f ca="1">IFERROR(__xludf.DUMMYFUNCTION("""COMPUTED_VALUE"""),"入力")</f>
        <v>入力</v>
      </c>
      <c r="BX6" s="4" t="str">
        <f ca="1">IFERROR(__xludf.DUMMYFUNCTION("""COMPUTED_VALUE"""),"高血圧症")</f>
        <v>高血圧症</v>
      </c>
      <c r="BY6" s="4" t="str">
        <f ca="1">IFERROR(__xludf.DUMMYFUNCTION("""COMPUTED_VALUE"""),"不詳")</f>
        <v>不詳</v>
      </c>
      <c r="BZ6" s="4" t="str">
        <f ca="1">IFERROR(__xludf.DUMMYFUNCTION("""COMPUTED_VALUE"""),"便秘症")</f>
        <v>便秘症</v>
      </c>
      <c r="CA6" s="4" t="str">
        <f ca="1">IFERROR(__xludf.DUMMYFUNCTION("""COMPUTED_VALUE"""),"不詳")</f>
        <v>不詳</v>
      </c>
      <c r="CB6" s="4" t="str">
        <f ca="1">IFERROR(__xludf.DUMMYFUNCTION("""COMPUTED_VALUE"""),"変形性膝関節症")</f>
        <v>変形性膝関節症</v>
      </c>
      <c r="CC6" s="4" t="str">
        <f ca="1">IFERROR(__xludf.DUMMYFUNCTION("""COMPUTED_VALUE"""),"不詳")</f>
        <v>不詳</v>
      </c>
      <c r="CD6" s="4" t="str">
        <f ca="1">IFERROR(__xludf.DUMMYFUNCTION("""COMPUTED_VALUE"""),"認知症")</f>
        <v>認知症</v>
      </c>
      <c r="CE6" s="4" t="str">
        <f ca="1">IFERROR(__xludf.DUMMYFUNCTION("""COMPUTED_VALUE"""),"不詳")</f>
        <v>不詳</v>
      </c>
      <c r="CF6" s="4" t="str">
        <f ca="1">IFERROR(__xludf.DUMMYFUNCTION("""COMPUTED_VALUE"""),"網膜静脈閉鎖、緑内障")</f>
        <v>網膜静脈閉鎖、緑内障</v>
      </c>
      <c r="CG6" s="4" t="str">
        <f ca="1">IFERROR(__xludf.DUMMYFUNCTION("""COMPUTED_VALUE"""),"不詳")</f>
        <v>不詳</v>
      </c>
      <c r="CH6" s="4"/>
      <c r="CI6" s="4"/>
      <c r="CJ6" s="4" t="str">
        <f ca="1">IFERROR(__xludf.DUMMYFUNCTION("""COMPUTED_VALUE"""),"1ヶ月に1度、まつなが眼科を受診している。最終受診日は8/6。
毎朝7：00ごろにザラカム点眼液を両眼に介助にて行っている。")</f>
        <v>1ヶ月に1度、まつなが眼科を受診している。最終受診日は8/6。
毎朝7：00ごろにザラカム点眼液を両眼に介助にて行っている。</v>
      </c>
      <c r="CK6" s="4" t="str">
        <f ca="1">IFERROR(__xludf.DUMMYFUNCTION("""COMPUTED_VALUE"""),"テスト")</f>
        <v>テスト</v>
      </c>
      <c r="CL6" s="4" t="str">
        <f ca="1">IFERROR(__xludf.DUMMYFUNCTION("""COMPUTED_VALUE"""),"テスト")</f>
        <v>テスト</v>
      </c>
      <c r="CM6" s="4" t="str">
        <f ca="1">IFERROR(__xludf.DUMMYFUNCTION("""COMPUTED_VALUE"""),"テスト")</f>
        <v>テスト</v>
      </c>
      <c r="CN6" s="4" t="str">
        <f ca="1">IFERROR(__xludf.DUMMYFUNCTION("""COMPUTED_VALUE"""),"テスト")</f>
        <v>テスト</v>
      </c>
      <c r="CO6" s="4" t="str">
        <f ca="1">IFERROR(__xludf.DUMMYFUNCTION("""COMPUTED_VALUE"""),"あ")</f>
        <v>あ</v>
      </c>
      <c r="CP6" s="4" t="str">
        <f ca="1">IFERROR(__xludf.DUMMYFUNCTION("""COMPUTED_VALUE"""),"あ")</f>
        <v>あ</v>
      </c>
      <c r="CQ6" s="4" t="str">
        <f ca="1">IFERROR(__xludf.DUMMYFUNCTION("""COMPUTED_VALUE"""),"ｓ")</f>
        <v>ｓ</v>
      </c>
      <c r="CR6" s="4" t="str">
        <f ca="1">IFERROR(__xludf.DUMMYFUNCTION("""COMPUTED_VALUE"""),"ｄ")</f>
        <v>ｄ</v>
      </c>
      <c r="CS6" s="4" t="str">
        <f ca="1">IFERROR(__xludf.DUMMYFUNCTION("""COMPUTED_VALUE"""),"腹部症状等で、平成25年6月後より加藤医院へ通院されており、その際に総合病院を紹介市、大腸ファイバー等で精査を行った結果、特に異常はなく便秘症と診断があった。
網膜静脈閉鎖と緑内障があり、左目がほとんど見えない状況で右目の視力のみで生活されている。")</f>
        <v>腹部症状等で、平成25年6月後より加藤医院へ通院されており、その際に総合病院を紹介市、大腸ファイバー等で精査を行った結果、特に異常はなく便秘症と診断があった。
網膜静脈閉鎖と緑内障があり、左目がほとんど見えない状況で右目の視力のみで生活されている。</v>
      </c>
      <c r="CT6" s="4" t="str">
        <f ca="1">IFERROR(__xludf.DUMMYFUNCTION("""COMPUTED_VALUE"""),"服薬管理は施設が行っている。")</f>
        <v>服薬管理は施設が行っている。</v>
      </c>
      <c r="CU6" s="4" t="str">
        <f ca="1">IFERROR(__xludf.DUMMYFUNCTION("""COMPUTED_VALUE"""),"有")</f>
        <v>有</v>
      </c>
      <c r="CV6" s="4" t="str">
        <f ca="1">IFERROR(__xludf.DUMMYFUNCTION("""COMPUTED_VALUE"""),"ｆｆｆ")</f>
        <v>ｆｆｆ</v>
      </c>
      <c r="CW6" s="4"/>
      <c r="CX6" s="4" t="str">
        <f ca="1">IFERROR(__xludf.DUMMYFUNCTION("""COMPUTED_VALUE"""),"入力")</f>
        <v>入力</v>
      </c>
      <c r="CY6" s="4" t="str">
        <f ca="1">IFERROR(__xludf.DUMMYFUNCTION("""COMPUTED_VALUE"""),"無")</f>
        <v>無</v>
      </c>
      <c r="CZ6" s="4" t="str">
        <f ca="1">IFERROR(__xludf.DUMMYFUNCTION("""COMPUTED_VALUE"""),"無")</f>
        <v>無</v>
      </c>
      <c r="DA6" s="4" t="str">
        <f ca="1">IFERROR(__xludf.DUMMYFUNCTION("""COMPUTED_VALUE"""),"無")</f>
        <v>無</v>
      </c>
      <c r="DB6" s="4" t="str">
        <f ca="1">IFERROR(__xludf.DUMMYFUNCTION("""COMPUTED_VALUE"""),"無")</f>
        <v>無</v>
      </c>
      <c r="DC6" s="4" t="str">
        <f ca="1">IFERROR(__xludf.DUMMYFUNCTION("""COMPUTED_VALUE"""),"無")</f>
        <v>無</v>
      </c>
      <c r="DD6" s="4">
        <f ca="1">IFERROR(__xludf.DUMMYFUNCTION("""COMPUTED_VALUE"""),0)</f>
        <v>0</v>
      </c>
      <c r="DE6" s="4">
        <f ca="1">IFERROR(__xludf.DUMMYFUNCTION("""COMPUTED_VALUE"""),0)</f>
        <v>0</v>
      </c>
      <c r="DF6" s="4" t="str">
        <f ca="1">IFERROR(__xludf.DUMMYFUNCTION("""COMPUTED_VALUE"""),"ほぼ見えない")</f>
        <v>ほぼ見えない</v>
      </c>
      <c r="DG6" s="4" t="str">
        <f ca="1">IFERROR(__xludf.DUMMYFUNCTION("""COMPUTED_VALUE"""),"無")</f>
        <v>無</v>
      </c>
      <c r="DH6" s="4" t="str">
        <f ca="1">IFERROR(__xludf.DUMMYFUNCTION("""COMPUTED_VALUE"""),"正常")</f>
        <v>正常</v>
      </c>
      <c r="DI6" s="4" t="str">
        <f ca="1">IFERROR(__xludf.DUMMYFUNCTION("""COMPUTED_VALUE"""),"無")</f>
        <v>無</v>
      </c>
      <c r="DJ6" s="4" t="str">
        <f ca="1">IFERROR(__xludf.DUMMYFUNCTION("""COMPUTED_VALUE"""),"左目はほとんど見えていないが、右目は問題なし。")</f>
        <v>左目はほとんど見えていないが、右目は問題なし。</v>
      </c>
      <c r="DK6" s="4"/>
      <c r="DL6" s="4" t="str">
        <f ca="1">IFERROR(__xludf.DUMMYFUNCTION("""COMPUTED_VALUE"""),"入力")</f>
        <v>入力</v>
      </c>
      <c r="DM6" s="4" t="str">
        <f ca="1">IFERROR(__xludf.DUMMYFUNCTION("""COMPUTED_VALUE"""),"有")</f>
        <v>有</v>
      </c>
      <c r="DN6" s="4" t="str">
        <f ca="1">IFERROR(__xludf.DUMMYFUNCTION("""COMPUTED_VALUE"""),"軽度")</f>
        <v>軽度</v>
      </c>
      <c r="DO6" s="4" t="str">
        <f ca="1">IFERROR(__xludf.DUMMYFUNCTION("""COMPUTED_VALUE"""),"被害妄想")</f>
        <v>被害妄想</v>
      </c>
      <c r="DP6" s="4" t="str">
        <f ca="1">IFERROR(__xludf.DUMMYFUNCTION("""COMPUTED_VALUE"""),"可能")</f>
        <v>可能</v>
      </c>
      <c r="DQ6" s="4" t="str">
        <f ca="1">IFERROR(__xludf.DUMMYFUNCTION("""COMPUTED_VALUE"""),"可能")</f>
        <v>可能</v>
      </c>
      <c r="DR6" s="4" t="str">
        <f ca="1">IFERROR(__xludf.DUMMYFUNCTION("""COMPUTED_VALUE"""),"年相応の物忘れは見られるものの、日常生活に支障が出ることは少ない。
被害妄想や、隣の部屋の物音、食事内容や職員の態度等で施設管理者に苦情を入れることが多い。ご家族様とよく携帯で連絡を取っているが、ご家族様は苦情を把握されていなかった。
ご家族様からは「知らなかったですが、クレーマーなんですね。」と笑いながら言われていた。")</f>
        <v>年相応の物忘れは見られるものの、日常生活に支障が出ることは少ない。
被害妄想や、隣の部屋の物音、食事内容や職員の態度等で施設管理者に苦情を入れることが多い。ご家族様とよく携帯で連絡を取っているが、ご家族様は苦情を把握されていなかった。
ご家族様からは「知らなかったですが、クレーマーなんですね。」と笑いながら言われていた。</v>
      </c>
      <c r="DS6" s="4"/>
      <c r="DT6" s="4"/>
      <c r="DU6" s="4" t="str">
        <f ca="1">IFERROR(__xludf.DUMMYFUNCTION("""COMPUTED_VALUE"""),"入力")</f>
        <v>入力</v>
      </c>
      <c r="DV6" s="4" t="str">
        <f ca="1">IFERROR(__xludf.DUMMYFUNCTION("""COMPUTED_VALUE"""),"何かにつかまればできる")</f>
        <v>何かにつかまればできる</v>
      </c>
      <c r="DW6" s="4" t="str">
        <f ca="1">IFERROR(__xludf.DUMMYFUNCTION("""COMPUTED_VALUE"""),"何かにつかまればできる")</f>
        <v>何かにつかまればできる</v>
      </c>
      <c r="DX6" s="4" t="str">
        <f ca="1">IFERROR(__xludf.DUMMYFUNCTION("""COMPUTED_VALUE"""),"自分の手で支えればできる")</f>
        <v>自分の手で支えればできる</v>
      </c>
      <c r="DY6" s="4" t="str">
        <f ca="1">IFERROR(__xludf.DUMMYFUNCTION("""COMPUTED_VALUE"""),"何かにつかまればできる")</f>
        <v>何かにつかまればできる</v>
      </c>
      <c r="DZ6" s="4" t="str">
        <f ca="1">IFERROR(__xludf.DUMMYFUNCTION("""COMPUTED_VALUE"""),"何か支えがあればできる")</f>
        <v>何か支えがあればできる</v>
      </c>
      <c r="EA6" s="4" t="str">
        <f ca="1">IFERROR(__xludf.DUMMYFUNCTION("""COMPUTED_VALUE"""),"自立")</f>
        <v>自立</v>
      </c>
      <c r="EB6" s="4" t="str">
        <f ca="1">IFERROR(__xludf.DUMMYFUNCTION("""COMPUTED_VALUE"""),"自立")</f>
        <v>自立</v>
      </c>
      <c r="EC6" s="4" t="str">
        <f ca="1">IFERROR(__xludf.DUMMYFUNCTION("""COMPUTED_VALUE"""),"歩行器")</f>
        <v>歩行器</v>
      </c>
      <c r="ED6" s="4" t="str">
        <f ca="1">IFERROR(__xludf.DUMMYFUNCTION("""COMPUTED_VALUE"""),"自立")</f>
        <v>自立</v>
      </c>
      <c r="EE6" s="4" t="str">
        <f ca="1">IFERROR(__xludf.DUMMYFUNCTION("""COMPUTED_VALUE"""),"歩行器")</f>
        <v>歩行器</v>
      </c>
      <c r="EF6" s="4" t="str">
        <f ca="1">IFERROR(__xludf.DUMMYFUNCTION("""COMPUTED_VALUE"""),"移動はシルバーカーを使用されており、転倒歴はあるものの比較的しっかり歩行できている。屋外もシルバーカーで歩行可能だが、転倒リスクが高いため、見守りは必要な状況。")</f>
        <v>移動はシルバーカーを使用されており、転倒歴はあるものの比較的しっかり歩行できている。屋外もシルバーカーで歩行可能だが、転倒リスクが高いため、見守りは必要な状況。</v>
      </c>
      <c r="EG6" s="4"/>
      <c r="EH6" s="4" t="str">
        <f ca="1">IFERROR(__xludf.DUMMYFUNCTION("""COMPUTED_VALUE"""),"入力")</f>
        <v>入力</v>
      </c>
      <c r="EI6" s="4" t="str">
        <f ca="1">IFERROR(__xludf.DUMMYFUNCTION("""COMPUTED_VALUE"""),"入力")</f>
        <v>入力</v>
      </c>
      <c r="EJ6" s="4" t="str">
        <f ca="1">IFERROR(__xludf.DUMMYFUNCTION("""COMPUTED_VALUE"""),"経口摂取")</f>
        <v>経口摂取</v>
      </c>
      <c r="EK6" s="4" t="str">
        <f ca="1">IFERROR(__xludf.DUMMYFUNCTION("""COMPUTED_VALUE"""),"自立")</f>
        <v>自立</v>
      </c>
      <c r="EL6" s="4" t="str">
        <f ca="1">IFERROR(__xludf.DUMMYFUNCTION("""COMPUTED_VALUE"""),"できる")</f>
        <v>できる</v>
      </c>
      <c r="EM6" s="4" t="str">
        <f ca="1">IFERROR(__xludf.DUMMYFUNCTION("""COMPUTED_VALUE"""),"普通")</f>
        <v>普通</v>
      </c>
      <c r="EN6" s="4" t="str">
        <f ca="1">IFERROR(__xludf.DUMMYFUNCTION("""COMPUTED_VALUE"""),"キザミ")</f>
        <v>キザミ</v>
      </c>
      <c r="EO6" s="4" t="str">
        <f ca="1">IFERROR(__xludf.DUMMYFUNCTION("""COMPUTED_VALUE"""),"無")</f>
        <v>無</v>
      </c>
      <c r="EP6" s="4" t="str">
        <f ca="1">IFERROR(__xludf.DUMMYFUNCTION("""COMPUTED_VALUE"""),"無")</f>
        <v>無</v>
      </c>
      <c r="EQ6" s="4" t="str">
        <f ca="1">IFERROR(__xludf.DUMMYFUNCTION("""COMPUTED_VALUE"""),"箸 , スプーン")</f>
        <v>箸 , スプーン</v>
      </c>
      <c r="ER6" s="4" t="str">
        <f ca="1">IFERROR(__xludf.DUMMYFUNCTION("""COMPUTED_VALUE"""),"好き嫌いが多く、メニューによってはほとんど残されることも多々ある。入れ歯の調子が悪く、副食は刻み食となっている。")</f>
        <v>好き嫌いが多く、メニューによってはほとんど残されることも多々ある。入れ歯の調子が悪く、副食は刻み食となっている。</v>
      </c>
      <c r="ES6" s="4"/>
      <c r="ET6" s="4" t="str">
        <f ca="1">IFERROR(__xludf.DUMMYFUNCTION("""COMPUTED_VALUE"""),"入力")</f>
        <v>入力</v>
      </c>
      <c r="EU6" s="4" t="str">
        <f ca="1">IFERROR(__xludf.DUMMYFUNCTION("""COMPUTED_VALUE"""),"自立")</f>
        <v>自立</v>
      </c>
      <c r="EV6" s="4"/>
      <c r="EW6" s="4" t="str">
        <f ca="1">IFERROR(__xludf.DUMMYFUNCTION("""COMPUTED_VALUE"""),"有")</f>
        <v>有</v>
      </c>
      <c r="EX6" s="4" t="str">
        <f ca="1">IFERROR(__xludf.DUMMYFUNCTION("""COMPUTED_VALUE"""),"部分義歯")</f>
        <v>部分義歯</v>
      </c>
      <c r="EY6" s="4" t="str">
        <f ca="1">IFERROR(__xludf.DUMMYFUNCTION("""COMPUTED_VALUE"""),"上下")</f>
        <v>上下</v>
      </c>
      <c r="EZ6" s="4" t="str">
        <f ca="1">IFERROR(__xludf.DUMMYFUNCTION("""COMPUTED_VALUE"""),"義歯は上下部分入れ歯を使用されている。
義歯の洗浄や口腔ケアはご自身で行うことができている。")</f>
        <v>義歯は上下部分入れ歯を使用されている。
義歯の洗浄や口腔ケアはご自身で行うことができている。</v>
      </c>
      <c r="FA6" s="4"/>
      <c r="FB6" s="4" t="str">
        <f ca="1">IFERROR(__xludf.DUMMYFUNCTION("""COMPUTED_VALUE"""),"入力")</f>
        <v>入力</v>
      </c>
      <c r="FC6" s="4" t="str">
        <f ca="1">IFERROR(__xludf.DUMMYFUNCTION("""COMPUTED_VALUE"""),"見守り")</f>
        <v>見守り</v>
      </c>
      <c r="FD6" s="4" t="str">
        <f ca="1">IFERROR(__xludf.DUMMYFUNCTION("""COMPUTED_VALUE"""),"一般浴")</f>
        <v>一般浴</v>
      </c>
      <c r="FE6" s="4" t="str">
        <f ca="1">IFERROR(__xludf.DUMMYFUNCTION("""COMPUTED_VALUE"""),"無")</f>
        <v>無</v>
      </c>
      <c r="FF6" s="4"/>
      <c r="FG6" s="4" t="str">
        <f ca="1">IFERROR(__xludf.DUMMYFUNCTION("""COMPUTED_VALUE"""),"自立")</f>
        <v>自立</v>
      </c>
      <c r="FH6" s="4" t="str">
        <f ca="1">IFERROR(__xludf.DUMMYFUNCTION("""COMPUTED_VALUE"""),"自立")</f>
        <v>自立</v>
      </c>
      <c r="FI6" s="4" t="str">
        <f ca="1">IFERROR(__xludf.DUMMYFUNCTION("""COMPUTED_VALUE"""),"入浴は浴槽を跨ぐ際に不安定となるため、見守りや介助が必要。
更衣は普段朝と夜に着替えを行っている。")</f>
        <v>入浴は浴槽を跨ぐ際に不安定となるため、見守りや介助が必要。
更衣は普段朝と夜に着替えを行っている。</v>
      </c>
      <c r="FJ6" s="4"/>
      <c r="FK6" s="4" t="str">
        <f ca="1">IFERROR(__xludf.DUMMYFUNCTION("""COMPUTED_VALUE"""),"入力")</f>
        <v>入力</v>
      </c>
      <c r="FL6" s="4" t="str">
        <f ca="1">IFERROR(__xludf.DUMMYFUNCTION("""COMPUTED_VALUE"""),"自立")</f>
        <v>自立</v>
      </c>
      <c r="FM6" s="4" t="str">
        <f ca="1">IFERROR(__xludf.DUMMYFUNCTION("""COMPUTED_VALUE"""),"有")</f>
        <v>有</v>
      </c>
      <c r="FN6" s="4" t="str">
        <f ca="1">IFERROR(__xludf.DUMMYFUNCTION("""COMPUTED_VALUE"""),"有")</f>
        <v>有</v>
      </c>
      <c r="FO6" s="4" t="str">
        <f ca="1">IFERROR(__xludf.DUMMYFUNCTION("""COMPUTED_VALUE"""),"有")</f>
        <v>有</v>
      </c>
      <c r="FP6" s="4" t="str">
        <f ca="1">IFERROR(__xludf.DUMMYFUNCTION("""COMPUTED_VALUE"""),"無")</f>
        <v>無</v>
      </c>
      <c r="FQ6" s="4"/>
      <c r="FR6" s="4" t="str">
        <f ca="1">IFERROR(__xludf.DUMMYFUNCTION("""COMPUTED_VALUE"""),"トイレ")</f>
        <v>トイレ</v>
      </c>
      <c r="FS6" s="4" t="str">
        <f ca="1">IFERROR(__xludf.DUMMYFUNCTION("""COMPUTED_VALUE"""),"トイレ")</f>
        <v>トイレ</v>
      </c>
      <c r="FT6" s="4" t="str">
        <f ca="1">IFERROR(__xludf.DUMMYFUNCTION("""COMPUTED_VALUE"""),"リハビリパンツ , 小パット")</f>
        <v>リハビリパンツ , 小パット</v>
      </c>
      <c r="FU6" s="4" t="str">
        <f ca="1">IFERROR(__xludf.DUMMYFUNCTION("""COMPUTED_VALUE"""),"普段リハビリパンツと小パットを使用しており、失禁はあるもののご自身でトイレに行きパットの処理等、自立されている。
ただ、パットの交換頻度が高く、少し尿漏れした程度で交換を行っているため、パットの使用量が多い。ご家族様はこの状況を理解されていなかったが、パットの請求額が多いことは気になっていたと言われていた。
便に対して固執傾向で、毎日排便がないと不安になるが、最近は順調に出ている。")</f>
        <v>普段リハビリパンツと小パットを使用しており、失禁はあるもののご自身でトイレに行きパットの処理等、自立されている。
ただ、パットの交換頻度が高く、少し尿漏れした程度で交換を行っているため、パットの使用量が多い。ご家族様はこの状況を理解されていなかったが、パットの請求額が多いことは気になっていたと言われていた。
便に対して固執傾向で、毎日排便がないと不安になるが、最近は順調に出ている。</v>
      </c>
      <c r="FV6" s="4"/>
      <c r="FW6" s="4"/>
      <c r="FX6" s="4"/>
      <c r="FY6" s="4"/>
      <c r="FZ6" s="4"/>
      <c r="GA6" s="4"/>
      <c r="GB6" s="4"/>
      <c r="GC6" s="4"/>
      <c r="GD6" s="4"/>
      <c r="GE6" s="4"/>
      <c r="GF6" s="4"/>
      <c r="GG6" s="4" t="str">
        <f ca="1">IFERROR(__xludf.DUMMYFUNCTION("""COMPUTED_VALUE"""),"便に対して固執傾向にあり、最近は順調に出ているものの、便が出やすくするために、毎日コーヒーとバナナを朝の4時に飲食されている。
現施設では、バナナとコーヒーは買い物サービスを利用して購入して頂いている。今後も継続できるかは不安に思われていた。")</f>
        <v>便に対して固執傾向にあり、最近は順調に出ているものの、便が出やすくするために、毎日コーヒーとバナナを朝の4時に飲食されている。
現施設では、バナナとコーヒーは買い物サービスを利用して購入して頂いている。今後も継続できるかは不安に思われていた。</v>
      </c>
      <c r="GH6" s="4">
        <f ca="1">IFERROR(__xludf.DUMMYFUNCTION("""COMPUTED_VALUE"""),30)</f>
        <v>30</v>
      </c>
      <c r="GI6" s="4"/>
    </row>
    <row r="7" spans="1:191">
      <c r="A7" s="4"/>
      <c r="B7" s="4"/>
      <c r="C7" s="4" t="str">
        <f ca="1">IFERROR(__xludf.DUMMYFUNCTION("""COMPUTED_VALUE"""),"岡部　玲子")</f>
        <v>岡部　玲子</v>
      </c>
      <c r="D7" s="4" t="str">
        <f ca="1">IFERROR(__xludf.DUMMYFUNCTION("""COMPUTED_VALUE"""),"a5b08413")</f>
        <v>a5b08413</v>
      </c>
      <c r="E7" s="4"/>
      <c r="F7" s="4"/>
      <c r="G7" s="4"/>
      <c r="H7" s="4"/>
      <c r="I7" s="5">
        <f ca="1">IFERROR(__xludf.DUMMYFUNCTION("""COMPUTED_VALUE"""),45609)</f>
        <v>45609</v>
      </c>
      <c r="J7" s="4" t="str">
        <f ca="1">IFERROR(__xludf.DUMMYFUNCTION("""COMPUTED_VALUE"""),"山川　和輝")</f>
        <v>山川　和輝</v>
      </c>
      <c r="K7" s="4" t="str">
        <f ca="1">IFERROR(__xludf.DUMMYFUNCTION("""COMPUTED_VALUE"""),"新規")</f>
        <v>新規</v>
      </c>
      <c r="L7" s="4" t="str">
        <f ca="1">IFERROR(__xludf.DUMMYFUNCTION("""COMPUTED_VALUE"""),"本人の居室")</f>
        <v>本人の居室</v>
      </c>
      <c r="M7" s="4" t="str">
        <f ca="1">IFERROR(__xludf.DUMMYFUNCTION("""COMPUTED_VALUE"""),"子供3人が独立し夫と二人暮らしをしていた。長男、次女宅は徒歩10分の所に在住。長女は大阪在住。夫が認知症となり介護が必要となったため、令和1年10月にサービス付き高齢者向け住宅ケアスイートに夫婦で入居する。入居時は要介護1で夫の面倒も見ていた。夫が亡くなり令和3年11月から要介護2となり、デイサービスや訪問介護、施設サービスを利用しながら生活を送っていた。令和6年8月に現施設の経営破綻により急遽転居が必要となったため、サービス付き高齢者向け住宅　安濃津ろまんへ転居予定となったが、部屋が空くまでの間、昭和ろ"&amp;"まんのショートステイを利用することとなった。その後、令和6年9月8日にサービス付き高齢者向け住宅安濃津ろまんへ入居となった。")</f>
        <v>子供3人が独立し夫と二人暮らしをしていた。長男、次女宅は徒歩10分の所に在住。長女は大阪在住。夫が認知症となり介護が必要となったため、令和1年10月にサービス付き高齢者向け住宅ケアスイートに夫婦で入居する。入居時は要介護1で夫の面倒も見ていた。夫が亡くなり令和3年11月から要介護2となり、デイサービスや訪問介護、施設サービスを利用しながら生活を送っていた。令和6年8月に現施設の経営破綻により急遽転居が必要となったため、サービス付き高齢者向け住宅　安濃津ろまんへ転居予定となったが、部屋が空くまでの間、昭和ろまんのショートステイを利用することとなった。その後、令和6年9月8日にサービス付き高齢者向け住宅安濃津ろまんへ入居となった。</v>
      </c>
      <c r="N7" s="4" t="str">
        <f ca="1">IFERROR(__xludf.DUMMYFUNCTION("""COMPUTED_VALUE"""),"ご迷惑をかけない程度で元気に生活していきたいと思います。")</f>
        <v>ご迷惑をかけない程度で元気に生活していきたいと思います。</v>
      </c>
      <c r="O7" s="4" t="str">
        <f ca="1">IFERROR(__xludf.DUMMYFUNCTION("""COMPUTED_VALUE"""),"施設で安心して生活してもらいたいです。")</f>
        <v>施設で安心して生活してもらいたいです。</v>
      </c>
      <c r="P7" s="4"/>
      <c r="Q7" s="4" t="str">
        <f ca="1">IFERROR(__xludf.DUMMYFUNCTION("""COMPUTED_VALUE"""),"入力")</f>
        <v>入力</v>
      </c>
      <c r="R7" s="4" t="str">
        <f ca="1">IFERROR(__xludf.DUMMYFUNCTION("""COMPUTED_VALUE"""),"要介護１")</f>
        <v>要介護１</v>
      </c>
      <c r="S7" s="4" t="str">
        <f ca="1">IFERROR(__xludf.DUMMYFUNCTION("""COMPUTED_VALUE"""),"令和6年11月7日")</f>
        <v>令和6年11月7日</v>
      </c>
      <c r="T7" s="4" t="str">
        <f ca="1">IFERROR(__xludf.DUMMYFUNCTION("""COMPUTED_VALUE"""),"令和6年11月1日")</f>
        <v>令和6年11月1日</v>
      </c>
      <c r="U7" s="4" t="str">
        <f ca="1">IFERROR(__xludf.DUMMYFUNCTION("""COMPUTED_VALUE"""),"令和7年10月31日")</f>
        <v>令和7年10月31日</v>
      </c>
      <c r="V7" s="4" t="str">
        <f ca="1">IFERROR(__xludf.DUMMYFUNCTION("""COMPUTED_VALUE"""),"１割負担")</f>
        <v>１割負担</v>
      </c>
      <c r="W7" s="4" t="str">
        <f ca="1">IFERROR(__xludf.DUMMYFUNCTION("""COMPUTED_VALUE"""),"後期高齢者医療保険")</f>
        <v>後期高齢者医療保険</v>
      </c>
      <c r="X7" s="4" t="str">
        <f ca="1">IFERROR(__xludf.DUMMYFUNCTION("""COMPUTED_VALUE"""),"無")</f>
        <v>無</v>
      </c>
      <c r="Y7" s="4"/>
      <c r="Z7" s="4" t="str">
        <f ca="1">IFERROR(__xludf.DUMMYFUNCTION("""COMPUTED_VALUE"""),"無")</f>
        <v>無</v>
      </c>
      <c r="AA7" s="4" t="str">
        <f ca="1">IFERROR(__xludf.DUMMYFUNCTION("""COMPUTED_VALUE"""),"無")</f>
        <v>無</v>
      </c>
      <c r="AB7" s="4" t="str">
        <f ca="1">IFERROR(__xludf.DUMMYFUNCTION("""COMPUTED_VALUE"""),"B1")</f>
        <v>B1</v>
      </c>
      <c r="AC7" s="4" t="str">
        <f ca="1">IFERROR(__xludf.DUMMYFUNCTION("""COMPUTED_VALUE"""),"Ⅲa")</f>
        <v>Ⅲa</v>
      </c>
      <c r="AD7" s="4"/>
      <c r="AE7" s="4" t="str">
        <f ca="1">IFERROR(__xludf.DUMMYFUNCTION("""COMPUTED_VALUE"""),"入力")</f>
        <v>入力</v>
      </c>
      <c r="AF7" s="4" t="str">
        <f ca="1">IFERROR(__xludf.DUMMYFUNCTION("""COMPUTED_VALUE"""),"岡部　宏司")</f>
        <v>岡部　宏司</v>
      </c>
      <c r="AG7" s="4" t="str">
        <f ca="1">IFERROR(__xludf.DUMMYFUNCTION("""COMPUTED_VALUE"""),"長男")</f>
        <v>長男</v>
      </c>
      <c r="AH7" s="4"/>
      <c r="AI7" s="4" t="str">
        <f ca="1">IFERROR(__xludf.DUMMYFUNCTION("""COMPUTED_VALUE"""),"別居")</f>
        <v>別居</v>
      </c>
      <c r="AJ7" s="4" t="str">
        <f ca="1">IFERROR(__xludf.DUMMYFUNCTION("""COMPUTED_VALUE"""),"介護しない")</f>
        <v>介護しない</v>
      </c>
      <c r="AK7" s="4" t="str">
        <f ca="1">IFERROR(__xludf.DUMMYFUNCTION("""COMPUTED_VALUE"""),"有")</f>
        <v>有</v>
      </c>
      <c r="AL7" s="4" t="str">
        <f ca="1">IFERROR(__xludf.DUMMYFUNCTION("""COMPUTED_VALUE"""),"090-3939-7431")</f>
        <v>090-3939-7431</v>
      </c>
      <c r="AM7" s="4" t="str">
        <f ca="1">IFERROR(__xludf.DUMMYFUNCTION("""COMPUTED_VALUE"""),"KP")</f>
        <v>KP</v>
      </c>
      <c r="AN7" s="4"/>
      <c r="AO7" s="4"/>
      <c r="AP7" s="4"/>
      <c r="AQ7" s="4"/>
      <c r="AR7" s="4"/>
      <c r="AS7" s="4"/>
      <c r="AT7" s="4"/>
      <c r="AU7" s="4"/>
      <c r="AV7" s="4"/>
      <c r="AW7" s="4" t="str">
        <f ca="1">IFERROR(__xludf.DUMMYFUNCTION("""COMPUTED_VALUE"""),"入力")</f>
        <v>入力</v>
      </c>
      <c r="AX7" s="4" t="str">
        <f ca="1">IFERROR(__xludf.DUMMYFUNCTION("""COMPUTED_VALUE"""),"一人暮らし")</f>
        <v>一人暮らし</v>
      </c>
      <c r="AY7" s="4" t="str">
        <f ca="1">IFERROR(__xludf.DUMMYFUNCTION("""COMPUTED_VALUE"""),"集合住宅")</f>
        <v>集合住宅</v>
      </c>
      <c r="AZ7" s="4" t="str">
        <f ca="1">IFERROR(__xludf.DUMMYFUNCTION("""COMPUTED_VALUE"""),"エレベーター有")</f>
        <v>エレベーター有</v>
      </c>
      <c r="BA7" s="4" t="str">
        <f ca="1">IFERROR(__xludf.DUMMYFUNCTION("""COMPUTED_VALUE"""),"賃貸")</f>
        <v>賃貸</v>
      </c>
      <c r="BB7" s="4" t="str">
        <f ca="1">IFERROR(__xludf.DUMMYFUNCTION("""COMPUTED_VALUE"""),"有")</f>
        <v>有</v>
      </c>
      <c r="BC7" s="4" t="str">
        <f ca="1">IFERROR(__xludf.DUMMYFUNCTION("""COMPUTED_VALUE"""),"有")</f>
        <v>有</v>
      </c>
      <c r="BD7" s="4" t="str">
        <f ca="1">IFERROR(__xludf.DUMMYFUNCTION("""COMPUTED_VALUE"""),"洋式")</f>
        <v>洋式</v>
      </c>
      <c r="BE7" s="4" t="str">
        <f ca="1">IFERROR(__xludf.DUMMYFUNCTION("""COMPUTED_VALUE"""),"手すり有")</f>
        <v>手すり有</v>
      </c>
      <c r="BF7" s="4" t="str">
        <f ca="1">IFERROR(__xludf.DUMMYFUNCTION("""COMPUTED_VALUE"""),"段差無")</f>
        <v>段差無</v>
      </c>
      <c r="BG7" s="4" t="str">
        <f ca="1">IFERROR(__xludf.DUMMYFUNCTION("""COMPUTED_VALUE"""),"有")</f>
        <v>有</v>
      </c>
      <c r="BH7" s="4" t="str">
        <f ca="1">IFERROR(__xludf.DUMMYFUNCTION("""COMPUTED_VALUE"""),"手すり有")</f>
        <v>手すり有</v>
      </c>
      <c r="BI7" s="4" t="str">
        <f ca="1">IFERROR(__xludf.DUMMYFUNCTION("""COMPUTED_VALUE"""),"リクライニングベッド")</f>
        <v>リクライニングベッド</v>
      </c>
      <c r="BJ7" s="4" t="str">
        <f ca="1">IFERROR(__xludf.DUMMYFUNCTION("""COMPUTED_VALUE"""),"無")</f>
        <v>無</v>
      </c>
      <c r="BK7" s="4" t="str">
        <f ca="1">IFERROR(__xludf.DUMMYFUNCTION("""COMPUTED_VALUE"""),"無")</f>
        <v>無</v>
      </c>
      <c r="BL7" s="4" t="str">
        <f ca="1">IFERROR(__xludf.DUMMYFUNCTION("""COMPUTED_VALUE"""),"無")</f>
        <v>無</v>
      </c>
      <c r="BM7" s="4" t="str">
        <f ca="1">IFERROR(__xludf.DUMMYFUNCTION("""COMPUTED_VALUE"""),"無")</f>
        <v>無</v>
      </c>
      <c r="BN7" s="4"/>
      <c r="BO7" s="4" t="str">
        <f ca="1">IFERROR(__xludf.DUMMYFUNCTION("""COMPUTED_VALUE"""),"入力")</f>
        <v>入力</v>
      </c>
      <c r="BP7" s="4" t="str">
        <f ca="1">IFERROR(__xludf.DUMMYFUNCTION("""COMPUTED_VALUE"""),"訪問介護 , 訪問看護 , 通所介護")</f>
        <v>訪問介護 , 訪問看護 , 通所介護</v>
      </c>
      <c r="BQ7" s="4" t="str">
        <f ca="1">IFERROR(__xludf.DUMMYFUNCTION("""COMPUTED_VALUE"""),"車いす , 特殊寝台 , 特殊寝台付属品 , 手すり")</f>
        <v>車いす , 特殊寝台 , 特殊寝台付属品 , 手すり</v>
      </c>
      <c r="BR7" s="4" t="str">
        <f ca="1">IFERROR(__xludf.DUMMYFUNCTION("""COMPUTED_VALUE"""),"特になし")</f>
        <v>特になし</v>
      </c>
      <c r="BS7" s="4" t="str">
        <f ca="1">IFERROR(__xludf.DUMMYFUNCTION("""COMPUTED_VALUE"""),"食事支援 , 排泄支援 , リネンリース , 洗濯")</f>
        <v>食事支援 , 排泄支援 , リネンリース , 洗濯</v>
      </c>
      <c r="BT7" s="4" t="str">
        <f ca="1">IFERROR(__xludf.DUMMYFUNCTION("""COMPUTED_VALUE"""),"集団への不適応は見られない。")</f>
        <v>集団への不適応は見られない。</v>
      </c>
      <c r="BU7" s="4"/>
      <c r="BV7" s="4"/>
      <c r="BW7" s="4" t="str">
        <f ca="1">IFERROR(__xludf.DUMMYFUNCTION("""COMPUTED_VALUE"""),"入力")</f>
        <v>入力</v>
      </c>
      <c r="BX7" s="4" t="str">
        <f ca="1">IFERROR(__xludf.DUMMYFUNCTION("""COMPUTED_VALUE"""),"脳梗塞")</f>
        <v>脳梗塞</v>
      </c>
      <c r="BY7" s="4" t="str">
        <f ca="1">IFERROR(__xludf.DUMMYFUNCTION("""COMPUTED_VALUE"""),"令和6年6月16日")</f>
        <v>令和6年6月16日</v>
      </c>
      <c r="BZ7" s="4" t="str">
        <f ca="1">IFERROR(__xludf.DUMMYFUNCTION("""COMPUTED_VALUE"""),"頭痛")</f>
        <v>頭痛</v>
      </c>
      <c r="CA7" s="4" t="str">
        <f ca="1">IFERROR(__xludf.DUMMYFUNCTION("""COMPUTED_VALUE"""),"不詳")</f>
        <v>不詳</v>
      </c>
      <c r="CB7" s="4" t="str">
        <f ca="1">IFERROR(__xludf.DUMMYFUNCTION("""COMPUTED_VALUE"""),"右大腿骨頸部骨折")</f>
        <v>右大腿骨頸部骨折</v>
      </c>
      <c r="CC7" s="4" t="str">
        <f ca="1">IFERROR(__xludf.DUMMYFUNCTION("""COMPUTED_VALUE"""),"令和5年3月25日")</f>
        <v>令和5年3月25日</v>
      </c>
      <c r="CD7" s="4" t="str">
        <f ca="1">IFERROR(__xludf.DUMMYFUNCTION("""COMPUTED_VALUE"""),"洞不全症候群")</f>
        <v>洞不全症候群</v>
      </c>
      <c r="CE7" s="4" t="str">
        <f ca="1">IFERROR(__xludf.DUMMYFUNCTION("""COMPUTED_VALUE"""),"不詳")</f>
        <v>不詳</v>
      </c>
      <c r="CF7" s="4" t="str">
        <f ca="1">IFERROR(__xludf.DUMMYFUNCTION("""COMPUTED_VALUE"""),"Th7椎体骨折")</f>
        <v>Th7椎体骨折</v>
      </c>
      <c r="CG7" s="4" t="str">
        <f ca="1">IFERROR(__xludf.DUMMYFUNCTION("""COMPUTED_VALUE"""),"令和3年10月頃")</f>
        <v>令和3年10月頃</v>
      </c>
      <c r="CH7" s="4" t="str">
        <f ca="1">IFERROR(__xludf.DUMMYFUNCTION("""COMPUTED_VALUE"""),"慢性心不全")</f>
        <v>慢性心不全</v>
      </c>
      <c r="CI7" s="4" t="str">
        <f ca="1">IFERROR(__xludf.DUMMYFUNCTION("""COMPUTED_VALUE"""),"不詳")</f>
        <v>不詳</v>
      </c>
      <c r="CJ7" s="4" t="str">
        <f ca="1">IFERROR(__xludf.DUMMYFUNCTION("""COMPUTED_VALUE"""),"加藤医院による往診を受けている。")</f>
        <v>加藤医院による往診を受けている。</v>
      </c>
      <c r="CK7" s="4"/>
      <c r="CL7" s="4"/>
      <c r="CM7" s="4"/>
      <c r="CN7" s="4"/>
      <c r="CO7" s="4"/>
      <c r="CP7" s="4"/>
      <c r="CQ7" s="4"/>
      <c r="CR7" s="4"/>
      <c r="CS7" s="4" t="str">
        <f ca="1">IFERROR(__xludf.DUMMYFUNCTION("""COMPUTED_VALUE"""),"疾患名で列挙した以外にも、ラクナ梗塞や両変形性膝関節症（術後）、頸椎ヘルニアが既往となっている。
脳梗塞を発症したものの、ご本人、ご家族様ともに入院の希望はなく保存療法となった。")</f>
        <v>疾患名で列挙した以外にも、ラクナ梗塞や両変形性膝関節症（術後）、頸椎ヘルニアが既往となっている。
脳梗塞を発症したものの、ご本人、ご家族様ともに入院の希望はなく保存療法となった。</v>
      </c>
      <c r="CT7" s="4" t="str">
        <f ca="1">IFERROR(__xludf.DUMMYFUNCTION("""COMPUTED_VALUE"""),"服薬管理は施設で管理されている。頓服の頭痛薬があり、必要時にNsコールで職員へ伝える。")</f>
        <v>服薬管理は施設で管理されている。頓服の頭痛薬があり、必要時にNsコールで職員へ伝える。</v>
      </c>
      <c r="CU7" s="4"/>
      <c r="CV7" s="4"/>
      <c r="CW7" s="4"/>
      <c r="CX7" s="4" t="str">
        <f ca="1">IFERROR(__xludf.DUMMYFUNCTION("""COMPUTED_VALUE"""),"入力")</f>
        <v>入力</v>
      </c>
      <c r="CY7" s="4" t="str">
        <f ca="1">IFERROR(__xludf.DUMMYFUNCTION("""COMPUTED_VALUE"""),"かゆみ")</f>
        <v>かゆみ</v>
      </c>
      <c r="CZ7" s="4" t="str">
        <f ca="1">IFERROR(__xludf.DUMMYFUNCTION("""COMPUTED_VALUE"""),"無")</f>
        <v>無</v>
      </c>
      <c r="DA7" s="4" t="str">
        <f ca="1">IFERROR(__xludf.DUMMYFUNCTION("""COMPUTED_VALUE"""),"無")</f>
        <v>無</v>
      </c>
      <c r="DB7" s="4" t="str">
        <f ca="1">IFERROR(__xludf.DUMMYFUNCTION("""COMPUTED_VALUE"""),"特になし。")</f>
        <v>特になし。</v>
      </c>
      <c r="DC7" s="4" t="str">
        <f ca="1">IFERROR(__xludf.DUMMYFUNCTION("""COMPUTED_VALUE"""),"頭痛あり")</f>
        <v>頭痛あり</v>
      </c>
      <c r="DD7" s="4">
        <f ca="1">IFERROR(__xludf.DUMMYFUNCTION("""COMPUTED_VALUE"""),0)</f>
        <v>0</v>
      </c>
      <c r="DE7" s="4">
        <f ca="1">IFERROR(__xludf.DUMMYFUNCTION("""COMPUTED_VALUE"""),0)</f>
        <v>0</v>
      </c>
      <c r="DF7" s="4" t="str">
        <f ca="1">IFERROR(__xludf.DUMMYFUNCTION("""COMPUTED_VALUE"""),"正常")</f>
        <v>正常</v>
      </c>
      <c r="DG7" s="4" t="str">
        <f ca="1">IFERROR(__xludf.DUMMYFUNCTION("""COMPUTED_VALUE"""),"有")</f>
        <v>有</v>
      </c>
      <c r="DH7" s="4" t="str">
        <f ca="1">IFERROR(__xludf.DUMMYFUNCTION("""COMPUTED_VALUE"""),"正常")</f>
        <v>正常</v>
      </c>
      <c r="DI7" s="4" t="str">
        <f ca="1">IFERROR(__xludf.DUMMYFUNCTION("""COMPUTED_VALUE"""),"無")</f>
        <v>無</v>
      </c>
      <c r="DJ7" s="4" t="str">
        <f ca="1">IFERROR(__xludf.DUMMYFUNCTION("""COMPUTED_VALUE"""),"・心拍数は低め（徐脈）で、測定値は46～52回/分。ただし、不整脈や胸部の不快感はなく、他のバイタルサインも安定しているため、心臓機能に大きな異常はみられない。
・背部や腹部にかゆみがあり、リンデロン塗布にて改善を図っているが、かゆみが持続している。
・足趾や踵に乾燥やガサつきが見られ、定期的な保湿ケアが必要。趾間のジクつきはなく、清潔保持されている。")</f>
        <v>・心拍数は低め（徐脈）で、測定値は46～52回/分。ただし、不整脈や胸部の不快感はなく、他のバイタルサインも安定しているため、心臓機能に大きな異常はみられない。
・背部や腹部にかゆみがあり、リンデロン塗布にて改善を図っているが、かゆみが持続している。
・足趾や踵に乾燥やガサつきが見られ、定期的な保湿ケアが必要。趾間のジクつきはなく、清潔保持されている。</v>
      </c>
      <c r="DK7" s="4"/>
      <c r="DL7" s="4" t="str">
        <f ca="1">IFERROR(__xludf.DUMMYFUNCTION("""COMPUTED_VALUE"""),"入力")</f>
        <v>入力</v>
      </c>
      <c r="DM7" s="4" t="str">
        <f ca="1">IFERROR(__xludf.DUMMYFUNCTION("""COMPUTED_VALUE"""),"有")</f>
        <v>有</v>
      </c>
      <c r="DN7" s="4" t="str">
        <f ca="1">IFERROR(__xludf.DUMMYFUNCTION("""COMPUTED_VALUE"""),"軽度")</f>
        <v>軽度</v>
      </c>
      <c r="DO7" s="4" t="str">
        <f ca="1">IFERROR(__xludf.DUMMYFUNCTION("""COMPUTED_VALUE"""),"無")</f>
        <v>無</v>
      </c>
      <c r="DP7" s="4" t="str">
        <f ca="1">IFERROR(__xludf.DUMMYFUNCTION("""COMPUTED_VALUE"""),"可能")</f>
        <v>可能</v>
      </c>
      <c r="DQ7" s="4" t="str">
        <f ca="1">IFERROR(__xludf.DUMMYFUNCTION("""COMPUTED_VALUE"""),"可能")</f>
        <v>可能</v>
      </c>
      <c r="DR7" s="4" t="str">
        <f ca="1">IFERROR(__xludf.DUMMYFUNCTION("""COMPUTED_VALUE"""),"年相応の見当識や、記銘力の低下がある。
ただ危険認識力は性格的なものなのか不明だが低下しており、何度も転倒を繰り返されている。
認知機能の低下に加え、遠慮もありNsコールをほとんど押すことはない。")</f>
        <v>年相応の見当識や、記銘力の低下がある。
ただ危険認識力は性格的なものなのか不明だが低下しており、何度も転倒を繰り返されている。
認知機能の低下に加え、遠慮もありNsコールをほとんど押すことはない。</v>
      </c>
      <c r="DS7" s="4"/>
      <c r="DT7" s="4"/>
      <c r="DU7" s="4" t="str">
        <f ca="1">IFERROR(__xludf.DUMMYFUNCTION("""COMPUTED_VALUE"""),"入力")</f>
        <v>入力</v>
      </c>
      <c r="DV7" s="4" t="str">
        <f ca="1">IFERROR(__xludf.DUMMYFUNCTION("""COMPUTED_VALUE"""),"何かにつかまればできる")</f>
        <v>何かにつかまればできる</v>
      </c>
      <c r="DW7" s="4" t="str">
        <f ca="1">IFERROR(__xludf.DUMMYFUNCTION("""COMPUTED_VALUE"""),"何かにつかまればできる")</f>
        <v>何かにつかまればできる</v>
      </c>
      <c r="DX7" s="4" t="str">
        <f ca="1">IFERROR(__xludf.DUMMYFUNCTION("""COMPUTED_VALUE"""),"自分の手で支えればできる")</f>
        <v>自分の手で支えればできる</v>
      </c>
      <c r="DY7" s="4" t="str">
        <f ca="1">IFERROR(__xludf.DUMMYFUNCTION("""COMPUTED_VALUE"""),"何かにつかまればできる")</f>
        <v>何かにつかまればできる</v>
      </c>
      <c r="DZ7" s="4" t="str">
        <f ca="1">IFERROR(__xludf.DUMMYFUNCTION("""COMPUTED_VALUE"""),"何か支えがあればできる")</f>
        <v>何か支えがあればできる</v>
      </c>
      <c r="EA7" s="4" t="str">
        <f ca="1">IFERROR(__xludf.DUMMYFUNCTION("""COMPUTED_VALUE"""),"自立")</f>
        <v>自立</v>
      </c>
      <c r="EB7" s="4" t="str">
        <f ca="1">IFERROR(__xludf.DUMMYFUNCTION("""COMPUTED_VALUE"""),"自立")</f>
        <v>自立</v>
      </c>
      <c r="EC7" s="4" t="str">
        <f ca="1">IFERROR(__xludf.DUMMYFUNCTION("""COMPUTED_VALUE"""),"車椅子")</f>
        <v>車椅子</v>
      </c>
      <c r="ED7" s="4" t="str">
        <f ca="1">IFERROR(__xludf.DUMMYFUNCTION("""COMPUTED_VALUE"""),"全介助")</f>
        <v>全介助</v>
      </c>
      <c r="EE7" s="4" t="str">
        <f ca="1">IFERROR(__xludf.DUMMYFUNCTION("""COMPUTED_VALUE"""),"車椅子")</f>
        <v>車椅子</v>
      </c>
      <c r="EF7" s="4" t="str">
        <f ca="1">IFERROR(__xludf.DUMMYFUNCTION("""COMPUTED_VALUE"""),"基本動作はご自身で可能。
起立や立位保持、移乗もご自身で行われているものの、ふらつきもある。車いすの移動はご自身で操作され移動されており、居室内は転倒も少なくご自身で生活されている。
元々は独歩、伝い歩きで移動されていたが、転倒後から車いす生活となっている。")</f>
        <v>基本動作はご自身で可能。
起立や立位保持、移乗もご自身で行われているものの、ふらつきもある。車いすの移動はご自身で操作され移動されており、居室内は転倒も少なくご自身で生活されている。
元々は独歩、伝い歩きで移動されていたが、転倒後から車いす生活となっている。</v>
      </c>
      <c r="EG7" s="4"/>
      <c r="EH7" s="4" t="str">
        <f ca="1">IFERROR(__xludf.DUMMYFUNCTION("""COMPUTED_VALUE"""),"入力")</f>
        <v>入力</v>
      </c>
      <c r="EI7" s="4" t="str">
        <f ca="1">IFERROR(__xludf.DUMMYFUNCTION("""COMPUTED_VALUE"""),"入力")</f>
        <v>入力</v>
      </c>
      <c r="EJ7" s="4" t="str">
        <f ca="1">IFERROR(__xludf.DUMMYFUNCTION("""COMPUTED_VALUE"""),"経口摂取")</f>
        <v>経口摂取</v>
      </c>
      <c r="EK7" s="4" t="str">
        <f ca="1">IFERROR(__xludf.DUMMYFUNCTION("""COMPUTED_VALUE"""),"自立")</f>
        <v>自立</v>
      </c>
      <c r="EL7" s="4" t="str">
        <f ca="1">IFERROR(__xludf.DUMMYFUNCTION("""COMPUTED_VALUE"""),"できる")</f>
        <v>できる</v>
      </c>
      <c r="EM7" s="4" t="str">
        <f ca="1">IFERROR(__xludf.DUMMYFUNCTION("""COMPUTED_VALUE"""),"普通")</f>
        <v>普通</v>
      </c>
      <c r="EN7" s="4" t="str">
        <f ca="1">IFERROR(__xludf.DUMMYFUNCTION("""COMPUTED_VALUE"""),"普通")</f>
        <v>普通</v>
      </c>
      <c r="EO7" s="4" t="str">
        <f ca="1">IFERROR(__xludf.DUMMYFUNCTION("""COMPUTED_VALUE"""),"無")</f>
        <v>無</v>
      </c>
      <c r="EP7" s="4" t="str">
        <f ca="1">IFERROR(__xludf.DUMMYFUNCTION("""COMPUTED_VALUE"""),"無")</f>
        <v>無</v>
      </c>
      <c r="EQ7" s="4" t="str">
        <f ca="1">IFERROR(__xludf.DUMMYFUNCTION("""COMPUTED_VALUE"""),"箸 , スプーン")</f>
        <v>箸 , スプーン</v>
      </c>
      <c r="ER7" s="4" t="str">
        <f ca="1">IFERROR(__xludf.DUMMYFUNCTION("""COMPUTED_VALUE"""),"特に問題は見られない。")</f>
        <v>特に問題は見られない。</v>
      </c>
      <c r="ES7" s="4"/>
      <c r="ET7" s="4" t="str">
        <f ca="1">IFERROR(__xludf.DUMMYFUNCTION("""COMPUTED_VALUE"""),"入力")</f>
        <v>入力</v>
      </c>
      <c r="EU7" s="4"/>
      <c r="EV7" s="4"/>
      <c r="EW7" s="4"/>
      <c r="EX7" s="4"/>
      <c r="EY7" s="4"/>
      <c r="EZ7" s="4" t="str">
        <f ca="1">IFERROR(__xludf.DUMMYFUNCTION("""COMPUTED_VALUE"""),"今後確認を行う。")</f>
        <v>今後確認を行う。</v>
      </c>
      <c r="FA7" s="4"/>
      <c r="FB7" s="4" t="str">
        <f ca="1">IFERROR(__xludf.DUMMYFUNCTION("""COMPUTED_VALUE"""),"入力")</f>
        <v>入力</v>
      </c>
      <c r="FC7" s="4" t="str">
        <f ca="1">IFERROR(__xludf.DUMMYFUNCTION("""COMPUTED_VALUE"""),"一部介助")</f>
        <v>一部介助</v>
      </c>
      <c r="FD7" s="4" t="str">
        <f ca="1">IFERROR(__xludf.DUMMYFUNCTION("""COMPUTED_VALUE"""),"チェアー浴")</f>
        <v>チェアー浴</v>
      </c>
      <c r="FE7" s="4" t="str">
        <f ca="1">IFERROR(__xludf.DUMMYFUNCTION("""COMPUTED_VALUE"""),"無")</f>
        <v>無</v>
      </c>
      <c r="FF7" s="4"/>
      <c r="FG7" s="4" t="str">
        <f ca="1">IFERROR(__xludf.DUMMYFUNCTION("""COMPUTED_VALUE"""),"自立")</f>
        <v>自立</v>
      </c>
      <c r="FH7" s="4" t="str">
        <f ca="1">IFERROR(__xludf.DUMMYFUNCTION("""COMPUTED_VALUE"""),"自立")</f>
        <v>自立</v>
      </c>
      <c r="FI7" s="4" t="str">
        <f ca="1">IFERROR(__xludf.DUMMYFUNCTION("""COMPUTED_VALUE"""),"入浴はデイサービス利用時に職員の介助のもと大浴場にて入浴されている。
更衣に関してはご自身で着替えており、毎朝晩に洋服、パジャマに着替えを行っている。")</f>
        <v>入浴はデイサービス利用時に職員の介助のもと大浴場にて入浴されている。
更衣に関してはご自身で着替えており、毎朝晩に洋服、パジャマに着替えを行っている。</v>
      </c>
      <c r="FJ7" s="4"/>
      <c r="FK7" s="4" t="str">
        <f ca="1">IFERROR(__xludf.DUMMYFUNCTION("""COMPUTED_VALUE"""),"入力")</f>
        <v>入力</v>
      </c>
      <c r="FL7" s="4" t="str">
        <f ca="1">IFERROR(__xludf.DUMMYFUNCTION("""COMPUTED_VALUE"""),"自立")</f>
        <v>自立</v>
      </c>
      <c r="FM7" s="4" t="str">
        <f ca="1">IFERROR(__xludf.DUMMYFUNCTION("""COMPUTED_VALUE"""),"有")</f>
        <v>有</v>
      </c>
      <c r="FN7" s="4" t="str">
        <f ca="1">IFERROR(__xludf.DUMMYFUNCTION("""COMPUTED_VALUE"""),"無")</f>
        <v>無</v>
      </c>
      <c r="FO7" s="4" t="str">
        <f ca="1">IFERROR(__xludf.DUMMYFUNCTION("""COMPUTED_VALUE"""),"有")</f>
        <v>有</v>
      </c>
      <c r="FP7" s="4" t="str">
        <f ca="1">IFERROR(__xludf.DUMMYFUNCTION("""COMPUTED_VALUE"""),"無")</f>
        <v>無</v>
      </c>
      <c r="FQ7" s="4"/>
      <c r="FR7" s="4" t="str">
        <f ca="1">IFERROR(__xludf.DUMMYFUNCTION("""COMPUTED_VALUE"""),"トイレ")</f>
        <v>トイレ</v>
      </c>
      <c r="FS7" s="4" t="str">
        <f ca="1">IFERROR(__xludf.DUMMYFUNCTION("""COMPUTED_VALUE"""),"トイレ")</f>
        <v>トイレ</v>
      </c>
      <c r="FT7" s="4"/>
      <c r="FU7" s="4" t="str">
        <f ca="1">IFERROR(__xludf.DUMMYFUNCTION("""COMPUTED_VALUE"""),"布パンツを使用されており、失禁は見られない。
ただおひとりでトイレで排泄されるため、転倒リスクは高い。")</f>
        <v>布パンツを使用されており、失禁は見られない。
ただおひとりでトイレで排泄されるため、転倒リスクは高い。</v>
      </c>
      <c r="FV7" s="4"/>
      <c r="FW7" s="4"/>
      <c r="FX7" s="4" t="str">
        <f ca="1">IFERROR(__xludf.DUMMYFUNCTION("""COMPUTED_VALUE"""),"入力")</f>
        <v>入力</v>
      </c>
      <c r="FY7" s="4" t="str">
        <f ca="1">IFERROR(__xludf.DUMMYFUNCTION("""COMPUTED_VALUE"""),"全介助")</f>
        <v>全介助</v>
      </c>
      <c r="FZ7" s="4" t="str">
        <f ca="1">IFERROR(__xludf.DUMMYFUNCTION("""COMPUTED_VALUE"""),"全介助")</f>
        <v>全介助</v>
      </c>
      <c r="GA7" s="4" t="str">
        <f ca="1">IFERROR(__xludf.DUMMYFUNCTION("""COMPUTED_VALUE"""),"全介助")</f>
        <v>全介助</v>
      </c>
      <c r="GB7" s="4" t="str">
        <f ca="1">IFERROR(__xludf.DUMMYFUNCTION("""COMPUTED_VALUE"""),"全介助")</f>
        <v>全介助</v>
      </c>
      <c r="GC7" s="4" t="str">
        <f ca="1">IFERROR(__xludf.DUMMYFUNCTION("""COMPUTED_VALUE"""),"全介助")</f>
        <v>全介助</v>
      </c>
      <c r="GD7" s="4" t="str">
        <f ca="1">IFERROR(__xludf.DUMMYFUNCTION("""COMPUTED_VALUE"""),"すべて施設サービスを受けている。")</f>
        <v>すべて施設サービスを受けている。</v>
      </c>
      <c r="GE7" s="4"/>
      <c r="GF7" s="4"/>
      <c r="GG7" s="4" t="str">
        <f ca="1">IFERROR(__xludf.DUMMYFUNCTION("""COMPUTED_VALUE"""),"現在デイサービスを利用されており、集団への不適応は見られていないものの、頭痛の訴え等、何かしらの理由を付けてデイサービスを休みがち。")</f>
        <v>現在デイサービスを利用されており、集団への不適応は見られていないものの、頭痛の訴え等、何かしらの理由を付けてデイサービスを休みがち。</v>
      </c>
      <c r="GH7" s="4">
        <f ca="1">IFERROR(__xludf.DUMMYFUNCTION("""COMPUTED_VALUE"""),30)</f>
        <v>30</v>
      </c>
      <c r="GI7" s="4"/>
    </row>
    <row r="8" spans="1:191">
      <c r="A8" s="4"/>
      <c r="B8" s="4"/>
      <c r="C8" s="4" t="str">
        <f ca="1">IFERROR(__xludf.DUMMYFUNCTION("""COMPUTED_VALUE"""),"河合　義子")</f>
        <v>河合　義子</v>
      </c>
      <c r="D8" s="4" t="str">
        <f ca="1">IFERROR(__xludf.DUMMYFUNCTION("""COMPUTED_VALUE"""),"a78f7be4")</f>
        <v>a78f7be4</v>
      </c>
      <c r="E8" s="4"/>
      <c r="F8" s="4"/>
      <c r="G8" s="4"/>
      <c r="H8" s="4"/>
      <c r="I8" s="5">
        <f ca="1">IFERROR(__xludf.DUMMYFUNCTION("""COMPUTED_VALUE"""),45529)</f>
        <v>45529</v>
      </c>
      <c r="J8" s="4" t="str">
        <f ca="1">IFERROR(__xludf.DUMMYFUNCTION("""COMPUTED_VALUE"""),"山川　和輝")</f>
        <v>山川　和輝</v>
      </c>
      <c r="K8" s="4" t="str">
        <f ca="1">IFERROR(__xludf.DUMMYFUNCTION("""COMPUTED_VALUE"""),"ケアマネ変更")</f>
        <v>ケアマネ変更</v>
      </c>
      <c r="L8" s="4" t="str">
        <f ca="1">IFERROR(__xludf.DUMMYFUNCTION("""COMPUTED_VALUE"""),"本人の居室")</f>
        <v>本人の居室</v>
      </c>
      <c r="M8" s="4"/>
      <c r="N8" s="4"/>
      <c r="O8" s="4"/>
      <c r="P8" s="4"/>
      <c r="Q8" s="4" t="str">
        <f ca="1">IFERROR(__xludf.DUMMYFUNCTION("""COMPUTED_VALUE"""),"入力")</f>
        <v>入力</v>
      </c>
      <c r="R8" s="4" t="str">
        <f ca="1">IFERROR(__xludf.DUMMYFUNCTION("""COMPUTED_VALUE"""),"要介護３")</f>
        <v>要介護３</v>
      </c>
      <c r="S8" s="4" t="str">
        <f ca="1">IFERROR(__xludf.DUMMYFUNCTION("""COMPUTED_VALUE"""),"令和6年6月27日")</f>
        <v>令和6年6月27日</v>
      </c>
      <c r="T8" s="4" t="str">
        <f ca="1">IFERROR(__xludf.DUMMYFUNCTION("""COMPUTED_VALUE"""),"令和6年4月1日")</f>
        <v>令和6年4月1日</v>
      </c>
      <c r="U8" s="4" t="str">
        <f ca="1">IFERROR(__xludf.DUMMYFUNCTION("""COMPUTED_VALUE"""),"令和7年3月31日")</f>
        <v>令和7年3月31日</v>
      </c>
      <c r="V8" s="4" t="str">
        <f ca="1">IFERROR(__xludf.DUMMYFUNCTION("""COMPUTED_VALUE"""),"１割負担")</f>
        <v>１割負担</v>
      </c>
      <c r="W8" s="4" t="str">
        <f ca="1">IFERROR(__xludf.DUMMYFUNCTION("""COMPUTED_VALUE"""),"後期高齢者医療保険")</f>
        <v>後期高齢者医療保険</v>
      </c>
      <c r="X8" s="4" t="str">
        <f ca="1">IFERROR(__xludf.DUMMYFUNCTION("""COMPUTED_VALUE"""),"無")</f>
        <v>無</v>
      </c>
      <c r="Y8" s="4"/>
      <c r="Z8" s="4" t="str">
        <f ca="1">IFERROR(__xludf.DUMMYFUNCTION("""COMPUTED_VALUE"""),"無")</f>
        <v>無</v>
      </c>
      <c r="AA8" s="4" t="str">
        <f ca="1">IFERROR(__xludf.DUMMYFUNCTION("""COMPUTED_VALUE"""),"無")</f>
        <v>無</v>
      </c>
      <c r="AB8" s="4" t="str">
        <f ca="1">IFERROR(__xludf.DUMMYFUNCTION("""COMPUTED_VALUE"""),"J2")</f>
        <v>J2</v>
      </c>
      <c r="AC8" s="4" t="str">
        <f ca="1">IFERROR(__xludf.DUMMYFUNCTION("""COMPUTED_VALUE"""),"Ⅲb")</f>
        <v>Ⅲb</v>
      </c>
      <c r="AD8" s="4"/>
      <c r="AE8" s="4" t="str">
        <f ca="1">IFERROR(__xludf.DUMMYFUNCTION("""COMPUTED_VALUE"""),"入力")</f>
        <v>入力</v>
      </c>
      <c r="AF8" s="4" t="str">
        <f ca="1">IFERROR(__xludf.DUMMYFUNCTION("""COMPUTED_VALUE"""),"河合　紀子")</f>
        <v>河合　紀子</v>
      </c>
      <c r="AG8" s="4" t="str">
        <f ca="1">IFERROR(__xludf.DUMMYFUNCTION("""COMPUTED_VALUE"""),"長男の嫁")</f>
        <v>長男の嫁</v>
      </c>
      <c r="AH8" s="4"/>
      <c r="AI8" s="4" t="str">
        <f ca="1">IFERROR(__xludf.DUMMYFUNCTION("""COMPUTED_VALUE"""),"同居")</f>
        <v>同居</v>
      </c>
      <c r="AJ8" s="4" t="str">
        <f ca="1">IFERROR(__xludf.DUMMYFUNCTION("""COMPUTED_VALUE"""),"介護する")</f>
        <v>介護する</v>
      </c>
      <c r="AK8" s="4" t="str">
        <f ca="1">IFERROR(__xludf.DUMMYFUNCTION("""COMPUTED_VALUE"""),"無")</f>
        <v>無</v>
      </c>
      <c r="AL8" s="4" t="str">
        <f ca="1">IFERROR(__xludf.DUMMYFUNCTION("""COMPUTED_VALUE"""),"090-2260-4999")</f>
        <v>090-2260-4999</v>
      </c>
      <c r="AM8" s="4" t="str">
        <f ca="1">IFERROR(__xludf.DUMMYFUNCTION("""COMPUTED_VALUE"""),"KP。最近リウマチを発症")</f>
        <v>KP。最近リウマチを発症</v>
      </c>
      <c r="AN8" s="4" t="str">
        <f ca="1">IFERROR(__xludf.DUMMYFUNCTION("""COMPUTED_VALUE"""),"河合　才和")</f>
        <v>河合　才和</v>
      </c>
      <c r="AO8" s="4" t="str">
        <f ca="1">IFERROR(__xludf.DUMMYFUNCTION("""COMPUTED_VALUE"""),"長男")</f>
        <v>長男</v>
      </c>
      <c r="AP8" s="4"/>
      <c r="AQ8" s="4" t="str">
        <f ca="1">IFERROR(__xludf.DUMMYFUNCTION("""COMPUTED_VALUE"""),"同居")</f>
        <v>同居</v>
      </c>
      <c r="AR8" s="4" t="str">
        <f ca="1">IFERROR(__xludf.DUMMYFUNCTION("""COMPUTED_VALUE"""),"介護しない")</f>
        <v>介護しない</v>
      </c>
      <c r="AS8" s="4" t="str">
        <f ca="1">IFERROR(__xludf.DUMMYFUNCTION("""COMPUTED_VALUE"""),"有")</f>
        <v>有</v>
      </c>
      <c r="AT8" s="4" t="str">
        <f ca="1">IFERROR(__xludf.DUMMYFUNCTION("""COMPUTED_VALUE"""),"090-3389-7915")</f>
        <v>090-3389-7915</v>
      </c>
      <c r="AU8" s="4" t="str">
        <f ca="1">IFERROR(__xludf.DUMMYFUNCTION("""COMPUTED_VALUE"""),"本人と関わりを持たない。")</f>
        <v>本人と関わりを持たない。</v>
      </c>
      <c r="AV8" s="4"/>
      <c r="AW8" s="4" t="str">
        <f ca="1">IFERROR(__xludf.DUMMYFUNCTION("""COMPUTED_VALUE"""),"入力")</f>
        <v>入力</v>
      </c>
      <c r="AX8" s="4" t="str">
        <f ca="1">IFERROR(__xludf.DUMMYFUNCTION("""COMPUTED_VALUE"""),"家族同居")</f>
        <v>家族同居</v>
      </c>
      <c r="AY8" s="4" t="str">
        <f ca="1">IFERROR(__xludf.DUMMYFUNCTION("""COMPUTED_VALUE"""),"一戸建て")</f>
        <v>一戸建て</v>
      </c>
      <c r="AZ8" s="4"/>
      <c r="BA8" s="4" t="str">
        <f ca="1">IFERROR(__xludf.DUMMYFUNCTION("""COMPUTED_VALUE"""),"所有")</f>
        <v>所有</v>
      </c>
      <c r="BB8" s="4" t="str">
        <f ca="1">IFERROR(__xludf.DUMMYFUNCTION("""COMPUTED_VALUE"""),"有")</f>
        <v>有</v>
      </c>
      <c r="BC8" s="4" t="str">
        <f ca="1">IFERROR(__xludf.DUMMYFUNCTION("""COMPUTED_VALUE"""),"有")</f>
        <v>有</v>
      </c>
      <c r="BD8" s="4" t="str">
        <f ca="1">IFERROR(__xludf.DUMMYFUNCTION("""COMPUTED_VALUE"""),"補高便座")</f>
        <v>補高便座</v>
      </c>
      <c r="BE8" s="4"/>
      <c r="BF8" s="4"/>
      <c r="BG8" s="4" t="str">
        <f ca="1">IFERROR(__xludf.DUMMYFUNCTION("""COMPUTED_VALUE"""),"有")</f>
        <v>有</v>
      </c>
      <c r="BH8" s="4" t="str">
        <f ca="1">IFERROR(__xludf.DUMMYFUNCTION("""COMPUTED_VALUE"""),"手すり無")</f>
        <v>手すり無</v>
      </c>
      <c r="BI8" s="4" t="str">
        <f ca="1">IFERROR(__xludf.DUMMYFUNCTION("""COMPUTED_VALUE"""),"ベッド")</f>
        <v>ベッド</v>
      </c>
      <c r="BJ8" s="4" t="str">
        <f ca="1">IFERROR(__xludf.DUMMYFUNCTION("""COMPUTED_VALUE"""),"無")</f>
        <v>無</v>
      </c>
      <c r="BK8" s="4" t="str">
        <f ca="1">IFERROR(__xludf.DUMMYFUNCTION("""COMPUTED_VALUE"""),"有")</f>
        <v>有</v>
      </c>
      <c r="BL8" s="4" t="str">
        <f ca="1">IFERROR(__xludf.DUMMYFUNCTION("""COMPUTED_VALUE"""),"有")</f>
        <v>有</v>
      </c>
      <c r="BM8" s="4"/>
      <c r="BN8" s="4"/>
      <c r="BO8" s="4" t="str">
        <f ca="1">IFERROR(__xludf.DUMMYFUNCTION("""COMPUTED_VALUE"""),"入力")</f>
        <v>入力</v>
      </c>
      <c r="BP8" s="4" t="str">
        <f ca="1">IFERROR(__xludf.DUMMYFUNCTION("""COMPUTED_VALUE"""),"通所介護")</f>
        <v>通所介護</v>
      </c>
      <c r="BQ8" s="4"/>
      <c r="BR8" s="4" t="str">
        <f ca="1">IFERROR(__xludf.DUMMYFUNCTION("""COMPUTED_VALUE"""),"住宅改修9/6着工")</f>
        <v>住宅改修9/6着工</v>
      </c>
      <c r="BS8" s="4"/>
      <c r="BT8" s="4" t="str">
        <f ca="1">IFERROR(__xludf.DUMMYFUNCTION("""COMPUTED_VALUE"""),"デイサービスを利用し他者との交流あり。トラブル等はなし。")</f>
        <v>デイサービスを利用し他者との交流あり。トラブル等はなし。</v>
      </c>
      <c r="BU8" s="4"/>
      <c r="BV8" s="4"/>
      <c r="BW8" s="4" t="str">
        <f ca="1">IFERROR(__xludf.DUMMYFUNCTION("""COMPUTED_VALUE"""),"入力")</f>
        <v>入力</v>
      </c>
      <c r="BX8" s="4" t="str">
        <f ca="1">IFERROR(__xludf.DUMMYFUNCTION("""COMPUTED_VALUE"""),"高血圧症")</f>
        <v>高血圧症</v>
      </c>
      <c r="BY8" s="4" t="str">
        <f ca="1">IFERROR(__xludf.DUMMYFUNCTION("""COMPUTED_VALUE"""),"不詳")</f>
        <v>不詳</v>
      </c>
      <c r="BZ8" s="4" t="str">
        <f ca="1">IFERROR(__xludf.DUMMYFUNCTION("""COMPUTED_VALUE"""),"蓄膿症")</f>
        <v>蓄膿症</v>
      </c>
      <c r="CA8" s="4" t="str">
        <f ca="1">IFERROR(__xludf.DUMMYFUNCTION("""COMPUTED_VALUE"""),"不詳")</f>
        <v>不詳</v>
      </c>
      <c r="CB8" s="4" t="str">
        <f ca="1">IFERROR(__xludf.DUMMYFUNCTION("""COMPUTED_VALUE"""),"手足のしびれ、痛み")</f>
        <v>手足のしびれ、痛み</v>
      </c>
      <c r="CC8" s="4" t="str">
        <f ca="1">IFERROR(__xludf.DUMMYFUNCTION("""COMPUTED_VALUE"""),"不詳")</f>
        <v>不詳</v>
      </c>
      <c r="CD8" s="4"/>
      <c r="CE8" s="4"/>
      <c r="CF8" s="4"/>
      <c r="CG8" s="4"/>
      <c r="CH8" s="4"/>
      <c r="CI8" s="4"/>
      <c r="CJ8" s="4" t="str">
        <f ca="1">IFERROR(__xludf.DUMMYFUNCTION("""COMPUTED_VALUE"""),"主治医は寺田医院。何か体調に変化があればお嫁様の付き添いで受診。しのぎ耳鼻科と新町整形外科は服薬がなくなりそうなときに受診を行っている。")</f>
        <v>主治医は寺田医院。何か体調に変化があればお嫁様の付き添いで受診。しのぎ耳鼻科と新町整形外科は服薬がなくなりそうなときに受診を行っている。</v>
      </c>
      <c r="CK8" s="4"/>
      <c r="CL8" s="4"/>
      <c r="CM8" s="4"/>
      <c r="CN8" s="4"/>
      <c r="CO8" s="4"/>
      <c r="CP8" s="4"/>
      <c r="CQ8" s="4"/>
      <c r="CR8" s="4"/>
      <c r="CS8" s="4" t="str">
        <f ca="1">IFERROR(__xludf.DUMMYFUNCTION("""COMPUTED_VALUE"""),"特になし。")</f>
        <v>特になし。</v>
      </c>
      <c r="CT8" s="4" t="str">
        <f ca="1">IFERROR(__xludf.DUMMYFUNCTION("""COMPUTED_VALUE"""),"服薬管理はもともとご自身で行っていたが、飲み忘れが増えたことで、鳥羽に住む娘様が2週間に1度自宅へ来られて管理している。")</f>
        <v>服薬管理はもともとご自身で行っていたが、飲み忘れが増えたことで、鳥羽に住む娘様が2週間に1度自宅へ来られて管理している。</v>
      </c>
      <c r="CU8" s="4"/>
      <c r="CV8" s="4"/>
      <c r="CW8" s="4"/>
      <c r="CX8" s="4" t="str">
        <f ca="1">IFERROR(__xludf.DUMMYFUNCTION("""COMPUTED_VALUE"""),"入力")</f>
        <v>入力</v>
      </c>
      <c r="CY8" s="4" t="str">
        <f ca="1">IFERROR(__xludf.DUMMYFUNCTION("""COMPUTED_VALUE"""),"無")</f>
        <v>無</v>
      </c>
      <c r="CZ8" s="4" t="str">
        <f ca="1">IFERROR(__xludf.DUMMYFUNCTION("""COMPUTED_VALUE"""),"無")</f>
        <v>無</v>
      </c>
      <c r="DA8" s="4" t="str">
        <f ca="1">IFERROR(__xludf.DUMMYFUNCTION("""COMPUTED_VALUE"""),"無")</f>
        <v>無</v>
      </c>
      <c r="DB8" s="4" t="str">
        <f ca="1">IFERROR(__xludf.DUMMYFUNCTION("""COMPUTED_VALUE"""),"特になし")</f>
        <v>特になし</v>
      </c>
      <c r="DC8" s="4" t="str">
        <f ca="1">IFERROR(__xludf.DUMMYFUNCTION("""COMPUTED_VALUE"""),"右手足の痛み、しびれあり")</f>
        <v>右手足の痛み、しびれあり</v>
      </c>
      <c r="DD8" s="4"/>
      <c r="DE8" s="4"/>
      <c r="DF8" s="4" t="str">
        <f ca="1">IFERROR(__xludf.DUMMYFUNCTION("""COMPUTED_VALUE"""),"大きい字は可")</f>
        <v>大きい字は可</v>
      </c>
      <c r="DG8" s="4" t="str">
        <f ca="1">IFERROR(__xludf.DUMMYFUNCTION("""COMPUTED_VALUE"""),"有")</f>
        <v>有</v>
      </c>
      <c r="DH8" s="4" t="str">
        <f ca="1">IFERROR(__xludf.DUMMYFUNCTION("""COMPUTED_VALUE"""),"大きい声は可")</f>
        <v>大きい声は可</v>
      </c>
      <c r="DI8" s="4" t="str">
        <f ca="1">IFERROR(__xludf.DUMMYFUNCTION("""COMPUTED_VALUE"""),"無")</f>
        <v>無</v>
      </c>
      <c r="DJ8" s="4" t="str">
        <f ca="1">IFERROR(__xludf.DUMMYFUNCTION("""COMPUTED_VALUE"""),"原因不明の右手足のしびれや痛みがある。高血圧症があり降圧剤が処方されているが、時折血圧が低値になることがある。
難聴があり大きなことでお話しする必要がある。")</f>
        <v>原因不明の右手足のしびれや痛みがある。高血圧症があり降圧剤が処方されているが、時折血圧が低値になることがある。
難聴があり大きなことでお話しする必要がある。</v>
      </c>
      <c r="DK8" s="4"/>
      <c r="DL8" s="4" t="str">
        <f ca="1">IFERROR(__xludf.DUMMYFUNCTION("""COMPUTED_VALUE"""),"入力")</f>
        <v>入力</v>
      </c>
      <c r="DM8" s="4" t="str">
        <f ca="1">IFERROR(__xludf.DUMMYFUNCTION("""COMPUTED_VALUE"""),"有")</f>
        <v>有</v>
      </c>
      <c r="DN8" s="4" t="str">
        <f ca="1">IFERROR(__xludf.DUMMYFUNCTION("""COMPUTED_VALUE"""),"中等度")</f>
        <v>中等度</v>
      </c>
      <c r="DO8" s="4" t="str">
        <f ca="1">IFERROR(__xludf.DUMMYFUNCTION("""COMPUTED_VALUE"""),"無")</f>
        <v>無</v>
      </c>
      <c r="DP8" s="4" t="str">
        <f ca="1">IFERROR(__xludf.DUMMYFUNCTION("""COMPUTED_VALUE"""),"可能")</f>
        <v>可能</v>
      </c>
      <c r="DQ8" s="4" t="str">
        <f ca="1">IFERROR(__xludf.DUMMYFUNCTION("""COMPUTED_VALUE"""),"その場のみ可")</f>
        <v>その場のみ可</v>
      </c>
      <c r="DR8" s="4" t="str">
        <f ca="1">IFERROR(__xludf.DUMMYFUNCTION("""COMPUTED_VALUE"""),"記憶力の低下や記銘力が年相応かそれ以上に低下がみられる。")</f>
        <v>記憶力の低下や記銘力が年相応かそれ以上に低下がみられる。</v>
      </c>
      <c r="DS8" s="4"/>
      <c r="DT8" s="4"/>
      <c r="DU8" s="4" t="str">
        <f ca="1">IFERROR(__xludf.DUMMYFUNCTION("""COMPUTED_VALUE"""),"入力")</f>
        <v>入力</v>
      </c>
      <c r="DV8" s="4" t="str">
        <f ca="1">IFERROR(__xludf.DUMMYFUNCTION("""COMPUTED_VALUE"""),"何かにつかまればできる")</f>
        <v>何かにつかまればできる</v>
      </c>
      <c r="DW8" s="4" t="str">
        <f ca="1">IFERROR(__xludf.DUMMYFUNCTION("""COMPUTED_VALUE"""),"何かにつかまればできる")</f>
        <v>何かにつかまればできる</v>
      </c>
      <c r="DX8" s="4" t="str">
        <f ca="1">IFERROR(__xludf.DUMMYFUNCTION("""COMPUTED_VALUE"""),"自分の手で支えればできる")</f>
        <v>自分の手で支えればできる</v>
      </c>
      <c r="DY8" s="4" t="str">
        <f ca="1">IFERROR(__xludf.DUMMYFUNCTION("""COMPUTED_VALUE"""),"何かにつかまればできる")</f>
        <v>何かにつかまればできる</v>
      </c>
      <c r="DZ8" s="4" t="str">
        <f ca="1">IFERROR(__xludf.DUMMYFUNCTION("""COMPUTED_VALUE"""),"何か支えがあればできる")</f>
        <v>何か支えがあればできる</v>
      </c>
      <c r="EA8" s="4" t="str">
        <f ca="1">IFERROR(__xludf.DUMMYFUNCTION("""COMPUTED_VALUE"""),"自立")</f>
        <v>自立</v>
      </c>
      <c r="EB8" s="4" t="str">
        <f ca="1">IFERROR(__xludf.DUMMYFUNCTION("""COMPUTED_VALUE"""),"自立")</f>
        <v>自立</v>
      </c>
      <c r="EC8" s="4" t="str">
        <f ca="1">IFERROR(__xludf.DUMMYFUNCTION("""COMPUTED_VALUE"""),"独歩")</f>
        <v>独歩</v>
      </c>
      <c r="ED8" s="4" t="str">
        <f ca="1">IFERROR(__xludf.DUMMYFUNCTION("""COMPUTED_VALUE"""),"一部介助")</f>
        <v>一部介助</v>
      </c>
      <c r="EE8" s="4" t="str">
        <f ca="1">IFERROR(__xludf.DUMMYFUNCTION("""COMPUTED_VALUE"""),"歩行器")</f>
        <v>歩行器</v>
      </c>
      <c r="EF8" s="4" t="str">
        <f ca="1">IFERROR(__xludf.DUMMYFUNCTION("""COMPUTED_VALUE"""),"室内移動は、床を這って移動。伝い歩きも可能だが転倒リスクが高く、また本人曰く這って移動したほうが早い。と言われている。屋外はシルバーカーを使用して何とかご自身で歩けているものの、長距離の移動は介助を要す。")</f>
        <v>室内移動は、床を這って移動。伝い歩きも可能だが転倒リスクが高く、また本人曰く這って移動したほうが早い。と言われている。屋外はシルバーカーを使用して何とかご自身で歩けているものの、長距離の移動は介助を要す。</v>
      </c>
      <c r="EG8" s="4"/>
      <c r="EH8" s="4" t="str">
        <f ca="1">IFERROR(__xludf.DUMMYFUNCTION("""COMPUTED_VALUE"""),"入力")</f>
        <v>入力</v>
      </c>
      <c r="EI8" s="4" t="str">
        <f ca="1">IFERROR(__xludf.DUMMYFUNCTION("""COMPUTED_VALUE"""),"入力")</f>
        <v>入力</v>
      </c>
      <c r="EJ8" s="4" t="str">
        <f ca="1">IFERROR(__xludf.DUMMYFUNCTION("""COMPUTED_VALUE"""),"経口摂取")</f>
        <v>経口摂取</v>
      </c>
      <c r="EK8" s="4" t="str">
        <f ca="1">IFERROR(__xludf.DUMMYFUNCTION("""COMPUTED_VALUE"""),"自立")</f>
        <v>自立</v>
      </c>
      <c r="EL8" s="4" t="str">
        <f ca="1">IFERROR(__xludf.DUMMYFUNCTION("""COMPUTED_VALUE"""),"できる")</f>
        <v>できる</v>
      </c>
      <c r="EM8" s="4" t="str">
        <f ca="1">IFERROR(__xludf.DUMMYFUNCTION("""COMPUTED_VALUE"""),"普通")</f>
        <v>普通</v>
      </c>
      <c r="EN8" s="4" t="str">
        <f ca="1">IFERROR(__xludf.DUMMYFUNCTION("""COMPUTED_VALUE"""),"普通")</f>
        <v>普通</v>
      </c>
      <c r="EO8" s="4" t="str">
        <f ca="1">IFERROR(__xludf.DUMMYFUNCTION("""COMPUTED_VALUE"""),"無")</f>
        <v>無</v>
      </c>
      <c r="EP8" s="4" t="str">
        <f ca="1">IFERROR(__xludf.DUMMYFUNCTION("""COMPUTED_VALUE"""),"無")</f>
        <v>無</v>
      </c>
      <c r="EQ8" s="4" t="str">
        <f ca="1">IFERROR(__xludf.DUMMYFUNCTION("""COMPUTED_VALUE"""),"箸 , スプーン")</f>
        <v>箸 , スプーン</v>
      </c>
      <c r="ER8" s="4" t="str">
        <f ca="1">IFERROR(__xludf.DUMMYFUNCTION("""COMPUTED_VALUE"""),"食事は長男の妻が準備している。
ご自身で問題なく食べることができる。")</f>
        <v>食事は長男の妻が準備している。
ご自身で問題なく食べることができる。</v>
      </c>
      <c r="ES8" s="4"/>
      <c r="ET8" s="4" t="str">
        <f ca="1">IFERROR(__xludf.DUMMYFUNCTION("""COMPUTED_VALUE"""),"入力")</f>
        <v>入力</v>
      </c>
      <c r="EU8" s="4" t="str">
        <f ca="1">IFERROR(__xludf.DUMMYFUNCTION("""COMPUTED_VALUE"""),"自立")</f>
        <v>自立</v>
      </c>
      <c r="EV8" s="4"/>
      <c r="EW8" s="4"/>
      <c r="EX8" s="4"/>
      <c r="EY8" s="4"/>
      <c r="EZ8" s="4" t="str">
        <f ca="1">IFERROR(__xludf.DUMMYFUNCTION("""COMPUTED_VALUE"""),"ご自身で行えていると言われているが、詳細は不明。")</f>
        <v>ご自身で行えていると言われているが、詳細は不明。</v>
      </c>
      <c r="FA8" s="4"/>
      <c r="FB8" s="4" t="str">
        <f ca="1">IFERROR(__xludf.DUMMYFUNCTION("""COMPUTED_VALUE"""),"入力")</f>
        <v>入力</v>
      </c>
      <c r="FC8" s="4" t="str">
        <f ca="1">IFERROR(__xludf.DUMMYFUNCTION("""COMPUTED_VALUE"""),"一部介助")</f>
        <v>一部介助</v>
      </c>
      <c r="FD8" s="4" t="str">
        <f ca="1">IFERROR(__xludf.DUMMYFUNCTION("""COMPUTED_VALUE"""),"チェアー浴")</f>
        <v>チェアー浴</v>
      </c>
      <c r="FE8" s="4" t="str">
        <f ca="1">IFERROR(__xludf.DUMMYFUNCTION("""COMPUTED_VALUE"""),"無")</f>
        <v>無</v>
      </c>
      <c r="FF8" s="4"/>
      <c r="FG8" s="4" t="str">
        <f ca="1">IFERROR(__xludf.DUMMYFUNCTION("""COMPUTED_VALUE"""),"一部介助")</f>
        <v>一部介助</v>
      </c>
      <c r="FH8" s="4" t="str">
        <f ca="1">IFERROR(__xludf.DUMMYFUNCTION("""COMPUTED_VALUE"""),"一部介助")</f>
        <v>一部介助</v>
      </c>
      <c r="FI8" s="4" t="str">
        <f ca="1">IFERROR(__xludf.DUMMYFUNCTION("""COMPUTED_VALUE"""),"入浴は安濃津デイを利用した際に、介助を受けながら入浴している。更衣もご自身で行うことは困難なため介助を受けている。")</f>
        <v>入浴は安濃津デイを利用した際に、介助を受けながら入浴している。更衣もご自身で行うことは困難なため介助を受けている。</v>
      </c>
      <c r="FJ8" s="4"/>
      <c r="FK8" s="4" t="str">
        <f ca="1">IFERROR(__xludf.DUMMYFUNCTION("""COMPUTED_VALUE"""),"入力")</f>
        <v>入力</v>
      </c>
      <c r="FL8" s="4" t="str">
        <f ca="1">IFERROR(__xludf.DUMMYFUNCTION("""COMPUTED_VALUE"""),"一部介助")</f>
        <v>一部介助</v>
      </c>
      <c r="FM8" s="4" t="str">
        <f ca="1">IFERROR(__xludf.DUMMYFUNCTION("""COMPUTED_VALUE"""),"有")</f>
        <v>有</v>
      </c>
      <c r="FN8" s="4" t="str">
        <f ca="1">IFERROR(__xludf.DUMMYFUNCTION("""COMPUTED_VALUE"""),"有")</f>
        <v>有</v>
      </c>
      <c r="FO8" s="4" t="str">
        <f ca="1">IFERROR(__xludf.DUMMYFUNCTION("""COMPUTED_VALUE"""),"有")</f>
        <v>有</v>
      </c>
      <c r="FP8" s="4" t="str">
        <f ca="1">IFERROR(__xludf.DUMMYFUNCTION("""COMPUTED_VALUE"""),"有")</f>
        <v>有</v>
      </c>
      <c r="FQ8" s="4"/>
      <c r="FR8" s="4" t="str">
        <f ca="1">IFERROR(__xludf.DUMMYFUNCTION("""COMPUTED_VALUE"""),"トイレ")</f>
        <v>トイレ</v>
      </c>
      <c r="FS8" s="4" t="str">
        <f ca="1">IFERROR(__xludf.DUMMYFUNCTION("""COMPUTED_VALUE"""),"トイレ")</f>
        <v>トイレ</v>
      </c>
      <c r="FT8" s="4" t="str">
        <f ca="1">IFERROR(__xludf.DUMMYFUNCTION("""COMPUTED_VALUE"""),"リハビリパンツ")</f>
        <v>リハビリパンツ</v>
      </c>
      <c r="FU8" s="4" t="str">
        <f ca="1">IFERROR(__xludf.DUMMYFUNCTION("""COMPUTED_VALUE"""),"トイレは屋外にあり、今までは失禁はあったもののトイレで排泄を行っていたが、最近では間に合わないことが失禁し床や畳が汚れてしまうことが多々あった。お嫁様がお掃除を行っていたが介護負担が多かった。最近はトイレまで行くことはできず、リハビリパンツ内に失禁されている。ご自身でパンツの交換は行えている。")</f>
        <v>トイレは屋外にあり、今までは失禁はあったもののトイレで排泄を行っていたが、最近では間に合わないことが失禁し床や畳が汚れてしまうことが多々あった。お嫁様がお掃除を行っていたが介護負担が多かった。最近はトイレまで行くことはできず、リハビリパンツ内に失禁されている。ご自身でパンツの交換は行えている。</v>
      </c>
      <c r="FV8" s="4"/>
      <c r="FW8" s="4"/>
      <c r="FX8" s="4" t="str">
        <f ca="1">IFERROR(__xludf.DUMMYFUNCTION("""COMPUTED_VALUE"""),"入力")</f>
        <v>入力</v>
      </c>
      <c r="FY8" s="4" t="str">
        <f ca="1">IFERROR(__xludf.DUMMYFUNCTION("""COMPUTED_VALUE"""),"全介助")</f>
        <v>全介助</v>
      </c>
      <c r="FZ8" s="4" t="str">
        <f ca="1">IFERROR(__xludf.DUMMYFUNCTION("""COMPUTED_VALUE"""),"全介助")</f>
        <v>全介助</v>
      </c>
      <c r="GA8" s="4" t="str">
        <f ca="1">IFERROR(__xludf.DUMMYFUNCTION("""COMPUTED_VALUE"""),"全介助")</f>
        <v>全介助</v>
      </c>
      <c r="GB8" s="4" t="str">
        <f ca="1">IFERROR(__xludf.DUMMYFUNCTION("""COMPUTED_VALUE"""),"全介助")</f>
        <v>全介助</v>
      </c>
      <c r="GC8" s="4" t="str">
        <f ca="1">IFERROR(__xludf.DUMMYFUNCTION("""COMPUTED_VALUE"""),"全介助")</f>
        <v>全介助</v>
      </c>
      <c r="GD8" s="4" t="str">
        <f ca="1">IFERROR(__xludf.DUMMYFUNCTION("""COMPUTED_VALUE"""),"すべて長男のお嫁様が行っている。")</f>
        <v>すべて長男のお嫁様が行っている。</v>
      </c>
      <c r="GE8" s="4"/>
      <c r="GF8" s="4"/>
      <c r="GG8" s="4" t="str">
        <f ca="1">IFERROR(__xludf.DUMMYFUNCTION("""COMPUTED_VALUE"""),"KPは長男のお嫁様だが、最近リウマチを発症して、それ以降治療等で疲労され介護を行うことが困難となった。同時期にこれ以上自宅で生活することが難しい状況となられたため特養の申し込みを行った。
特養に入るまでの間、ロングショートステイの希望があるため、現在調整を行っている。
お嫁様の性格が少し特殊で、慣れるまでは気難しく感じることが多々あった。")</f>
        <v>KPは長男のお嫁様だが、最近リウマチを発症して、それ以降治療等で疲労され介護を行うことが困難となった。同時期にこれ以上自宅で生活することが難しい状況となられたため特養の申し込みを行った。
特養に入るまでの間、ロングショートステイの希望があるため、現在調整を行っている。
お嫁様の性格が少し特殊で、慣れるまでは気難しく感じることが多々あった。</v>
      </c>
      <c r="GH8" s="4">
        <f ca="1">IFERROR(__xludf.DUMMYFUNCTION("""COMPUTED_VALUE"""),30)</f>
        <v>30</v>
      </c>
      <c r="GI8" s="4"/>
    </row>
    <row r="9" spans="1:191">
      <c r="A9" s="4"/>
      <c r="B9" s="4"/>
      <c r="C9" s="4" t="str">
        <f ca="1">IFERROR(__xludf.DUMMYFUNCTION("""COMPUTED_VALUE"""),"市瀬　八須子")</f>
        <v>市瀬　八須子</v>
      </c>
      <c r="D9" s="4" t="str">
        <f ca="1">IFERROR(__xludf.DUMMYFUNCTION("""COMPUTED_VALUE"""),"33d6d0a1")</f>
        <v>33d6d0a1</v>
      </c>
      <c r="E9" s="4"/>
      <c r="F9" s="4"/>
      <c r="G9" s="4"/>
      <c r="H9" s="4"/>
      <c r="I9" s="5">
        <f ca="1">IFERROR(__xludf.DUMMYFUNCTION("""COMPUTED_VALUE"""),45544)</f>
        <v>45544</v>
      </c>
      <c r="J9" s="4" t="str">
        <f ca="1">IFERROR(__xludf.DUMMYFUNCTION("""COMPUTED_VALUE"""),"山川　和輝")</f>
        <v>山川　和輝</v>
      </c>
      <c r="K9" s="4" t="str">
        <f ca="1">IFERROR(__xludf.DUMMYFUNCTION("""COMPUTED_VALUE"""),"新規")</f>
        <v>新規</v>
      </c>
      <c r="L9" s="4" t="str">
        <f ca="1">IFERROR(__xludf.DUMMYFUNCTION("""COMPUTED_VALUE"""),"入院先の病院")</f>
        <v>入院先の病院</v>
      </c>
      <c r="M9" s="4" t="str">
        <f ca="1">IFERROR(__xludf.DUMMYFUNCTION("""COMPUTED_VALUE"""),"令和6年5月26日、自宅にて転倒し三重中央医療センターへ搬送。左大腿骨転子部骨折、左橈骨遠位端骨折、左踵骨骨折の診断にて手術を施行。7月3日にリハビリ目的で大門病院へ転院となる。今後自宅で生活することは困難であり、安濃津ろまんを申し込まれた。")</f>
        <v>令和6年5月26日、自宅にて転倒し三重中央医療センターへ搬送。左大腿骨転子部骨折、左橈骨遠位端骨折、左踵骨骨折の診断にて手術を施行。7月3日にリハビリ目的で大門病院へ転院となる。今後自宅で生活することは困難であり、安濃津ろまんを申し込まれた。</v>
      </c>
      <c r="N9" s="4" t="str">
        <f ca="1">IFERROR(__xludf.DUMMYFUNCTION("""COMPUTED_VALUE"""),"施設で転ばずに安全に生活したいと思っています。")</f>
        <v>施設で転ばずに安全に生活したいと思っています。</v>
      </c>
      <c r="O9" s="4"/>
      <c r="P9" s="4"/>
      <c r="Q9" s="4" t="str">
        <f ca="1">IFERROR(__xludf.DUMMYFUNCTION("""COMPUTED_VALUE"""),"入力")</f>
        <v>入力</v>
      </c>
      <c r="R9" s="4" t="str">
        <f ca="1">IFERROR(__xludf.DUMMYFUNCTION("""COMPUTED_VALUE"""),"要介護２")</f>
        <v>要介護２</v>
      </c>
      <c r="S9" s="4" t="str">
        <f ca="1">IFERROR(__xludf.DUMMYFUNCTION("""COMPUTED_VALUE"""),"令和6年8月20日")</f>
        <v>令和6年8月20日</v>
      </c>
      <c r="T9" s="4" t="str">
        <f ca="1">IFERROR(__xludf.DUMMYFUNCTION("""COMPUTED_VALUE"""),"令和6年7月1日")</f>
        <v>令和6年7月1日</v>
      </c>
      <c r="U9" s="4" t="str">
        <f ca="1">IFERROR(__xludf.DUMMYFUNCTION("""COMPUTED_VALUE"""),"令和7年7月31日")</f>
        <v>令和7年7月31日</v>
      </c>
      <c r="V9" s="4" t="str">
        <f ca="1">IFERROR(__xludf.DUMMYFUNCTION("""COMPUTED_VALUE"""),"１割負担")</f>
        <v>１割負担</v>
      </c>
      <c r="W9" s="4" t="str">
        <f ca="1">IFERROR(__xludf.DUMMYFUNCTION("""COMPUTED_VALUE"""),"後期高齢者医療保険")</f>
        <v>後期高齢者医療保険</v>
      </c>
      <c r="X9" s="4" t="str">
        <f ca="1">IFERROR(__xludf.DUMMYFUNCTION("""COMPUTED_VALUE"""),"無")</f>
        <v>無</v>
      </c>
      <c r="Y9" s="4"/>
      <c r="Z9" s="4" t="str">
        <f ca="1">IFERROR(__xludf.DUMMYFUNCTION("""COMPUTED_VALUE"""),"無")</f>
        <v>無</v>
      </c>
      <c r="AA9" s="4" t="str">
        <f ca="1">IFERROR(__xludf.DUMMYFUNCTION("""COMPUTED_VALUE"""),"無")</f>
        <v>無</v>
      </c>
      <c r="AB9" s="4"/>
      <c r="AC9" s="4"/>
      <c r="AD9" s="4"/>
      <c r="AE9" s="4" t="str">
        <f ca="1">IFERROR(__xludf.DUMMYFUNCTION("""COMPUTED_VALUE"""),"入力")</f>
        <v>入力</v>
      </c>
      <c r="AF9" s="4" t="str">
        <f ca="1">IFERROR(__xludf.DUMMYFUNCTION("""COMPUTED_VALUE"""),"市瀬　久照")</f>
        <v>市瀬　久照</v>
      </c>
      <c r="AG9" s="4" t="str">
        <f ca="1">IFERROR(__xludf.DUMMYFUNCTION("""COMPUTED_VALUE"""),"子")</f>
        <v>子</v>
      </c>
      <c r="AH9" s="4"/>
      <c r="AI9" s="4" t="str">
        <f ca="1">IFERROR(__xludf.DUMMYFUNCTION("""COMPUTED_VALUE"""),"別居")</f>
        <v>別居</v>
      </c>
      <c r="AJ9" s="4" t="str">
        <f ca="1">IFERROR(__xludf.DUMMYFUNCTION("""COMPUTED_VALUE"""),"介護する")</f>
        <v>介護する</v>
      </c>
      <c r="AK9" s="4"/>
      <c r="AL9" s="4" t="str">
        <f ca="1">IFERROR(__xludf.DUMMYFUNCTION("""COMPUTED_VALUE"""),"090-8959-8652")</f>
        <v>090-8959-8652</v>
      </c>
      <c r="AM9" s="4" t="str">
        <f ca="1">IFERROR(__xludf.DUMMYFUNCTION("""COMPUTED_VALUE"""),"KP。津市在住")</f>
        <v>KP。津市在住</v>
      </c>
      <c r="AN9" s="4" t="str">
        <f ca="1">IFERROR(__xludf.DUMMYFUNCTION("""COMPUTED_VALUE"""),"前川　由美子")</f>
        <v>前川　由美子</v>
      </c>
      <c r="AO9" s="4" t="str">
        <f ca="1">IFERROR(__xludf.DUMMYFUNCTION("""COMPUTED_VALUE"""),"子")</f>
        <v>子</v>
      </c>
      <c r="AP9" s="4"/>
      <c r="AQ9" s="4" t="str">
        <f ca="1">IFERROR(__xludf.DUMMYFUNCTION("""COMPUTED_VALUE"""),"別居")</f>
        <v>別居</v>
      </c>
      <c r="AR9" s="4" t="str">
        <f ca="1">IFERROR(__xludf.DUMMYFUNCTION("""COMPUTED_VALUE"""),"介護する")</f>
        <v>介護する</v>
      </c>
      <c r="AS9" s="4"/>
      <c r="AT9" s="4" t="str">
        <f ca="1">IFERROR(__xludf.DUMMYFUNCTION("""COMPUTED_VALUE"""),"090-2773-6461")</f>
        <v>090-2773-6461</v>
      </c>
      <c r="AU9" s="4" t="str">
        <f ca="1">IFERROR(__xludf.DUMMYFUNCTION("""COMPUTED_VALUE"""),"松阪市在住")</f>
        <v>松阪市在住</v>
      </c>
      <c r="AV9" s="4"/>
      <c r="AW9" s="4" t="str">
        <f ca="1">IFERROR(__xludf.DUMMYFUNCTION("""COMPUTED_VALUE"""),"入力")</f>
        <v>入力</v>
      </c>
      <c r="AX9" s="4" t="str">
        <f ca="1">IFERROR(__xludf.DUMMYFUNCTION("""COMPUTED_VALUE"""),"一人暮らし")</f>
        <v>一人暮らし</v>
      </c>
      <c r="AY9" s="4" t="str">
        <f ca="1">IFERROR(__xludf.DUMMYFUNCTION("""COMPUTED_VALUE"""),"集合住宅")</f>
        <v>集合住宅</v>
      </c>
      <c r="AZ9" s="4" t="str">
        <f ca="1">IFERROR(__xludf.DUMMYFUNCTION("""COMPUTED_VALUE"""),"エレベーター有")</f>
        <v>エレベーター有</v>
      </c>
      <c r="BA9" s="4" t="str">
        <f ca="1">IFERROR(__xludf.DUMMYFUNCTION("""COMPUTED_VALUE"""),"賃貸")</f>
        <v>賃貸</v>
      </c>
      <c r="BB9" s="4" t="str">
        <f ca="1">IFERROR(__xludf.DUMMYFUNCTION("""COMPUTED_VALUE"""),"有")</f>
        <v>有</v>
      </c>
      <c r="BC9" s="4" t="str">
        <f ca="1">IFERROR(__xludf.DUMMYFUNCTION("""COMPUTED_VALUE"""),"有")</f>
        <v>有</v>
      </c>
      <c r="BD9" s="4" t="str">
        <f ca="1">IFERROR(__xludf.DUMMYFUNCTION("""COMPUTED_VALUE"""),"ウォシュレット")</f>
        <v>ウォシュレット</v>
      </c>
      <c r="BE9" s="4"/>
      <c r="BF9" s="4"/>
      <c r="BG9" s="4" t="str">
        <f ca="1">IFERROR(__xludf.DUMMYFUNCTION("""COMPUTED_VALUE"""),"有")</f>
        <v>有</v>
      </c>
      <c r="BH9" s="4" t="str">
        <f ca="1">IFERROR(__xludf.DUMMYFUNCTION("""COMPUTED_VALUE"""),"手すり有")</f>
        <v>手すり有</v>
      </c>
      <c r="BI9" s="4" t="str">
        <f ca="1">IFERROR(__xludf.DUMMYFUNCTION("""COMPUTED_VALUE"""),"リクライニングベッド")</f>
        <v>リクライニングベッド</v>
      </c>
      <c r="BJ9" s="4" t="str">
        <f ca="1">IFERROR(__xludf.DUMMYFUNCTION("""COMPUTED_VALUE"""),"無")</f>
        <v>無</v>
      </c>
      <c r="BK9" s="4" t="str">
        <f ca="1">IFERROR(__xludf.DUMMYFUNCTION("""COMPUTED_VALUE"""),"無")</f>
        <v>無</v>
      </c>
      <c r="BL9" s="4" t="str">
        <f ca="1">IFERROR(__xludf.DUMMYFUNCTION("""COMPUTED_VALUE"""),"無")</f>
        <v>無</v>
      </c>
      <c r="BM9" s="4"/>
      <c r="BN9" s="4"/>
      <c r="BO9" s="4" t="str">
        <f ca="1">IFERROR(__xludf.DUMMYFUNCTION("""COMPUTED_VALUE"""),"入力")</f>
        <v>入力</v>
      </c>
      <c r="BP9" s="4"/>
      <c r="BQ9" s="4"/>
      <c r="BR9" s="4"/>
      <c r="BS9" s="4"/>
      <c r="BT9" s="4"/>
      <c r="BU9" s="4"/>
      <c r="BV9" s="4"/>
      <c r="BW9" s="4" t="str">
        <f ca="1">IFERROR(__xludf.DUMMYFUNCTION("""COMPUTED_VALUE"""),"入力")</f>
        <v>入力</v>
      </c>
      <c r="BX9" s="4" t="str">
        <f ca="1">IFERROR(__xludf.DUMMYFUNCTION("""COMPUTED_VALUE"""),"左大腿骨転子部骨折（OPE)")</f>
        <v>左大腿骨転子部骨折（OPE)</v>
      </c>
      <c r="BY9" s="4" t="str">
        <f ca="1">IFERROR(__xludf.DUMMYFUNCTION("""COMPUTED_VALUE"""),"令和6年5月26日")</f>
        <v>令和6年5月26日</v>
      </c>
      <c r="BZ9" s="4" t="str">
        <f ca="1">IFERROR(__xludf.DUMMYFUNCTION("""COMPUTED_VALUE"""),"左橈骨遠位端骨折")</f>
        <v>左橈骨遠位端骨折</v>
      </c>
      <c r="CA9" s="4" t="str">
        <f ca="1">IFERROR(__xludf.DUMMYFUNCTION("""COMPUTED_VALUE"""),"令和6年5月26日")</f>
        <v>令和6年5月26日</v>
      </c>
      <c r="CB9" s="4" t="str">
        <f ca="1">IFERROR(__xludf.DUMMYFUNCTION("""COMPUTED_VALUE"""),"左踵骨骨折（保存療法）")</f>
        <v>左踵骨骨折（保存療法）</v>
      </c>
      <c r="CC9" s="4" t="str">
        <f ca="1">IFERROR(__xludf.DUMMYFUNCTION("""COMPUTED_VALUE"""),"令和6年5月26日")</f>
        <v>令和6年5月26日</v>
      </c>
      <c r="CD9" s="4"/>
      <c r="CE9" s="4"/>
      <c r="CF9" s="4"/>
      <c r="CG9" s="4"/>
      <c r="CH9" s="4"/>
      <c r="CI9" s="4"/>
      <c r="CJ9" s="4" t="str">
        <f ca="1">IFERROR(__xludf.DUMMYFUNCTION("""COMPUTED_VALUE"""),"主治医は遠山病院。退院後は、骨折の経過を見て頂くために三重中央医療センターを受診予定。
今後主治医は加藤医院に変更。")</f>
        <v>主治医は遠山病院。退院後は、骨折の経過を見て頂くために三重中央医療センターを受診予定。
今後主治医は加藤医院に変更。</v>
      </c>
      <c r="CK9" s="4"/>
      <c r="CL9" s="4"/>
      <c r="CM9" s="4"/>
      <c r="CN9" s="4"/>
      <c r="CO9" s="4"/>
      <c r="CP9" s="4"/>
      <c r="CQ9" s="4"/>
      <c r="CR9" s="4"/>
      <c r="CS9" s="4" t="str">
        <f ca="1">IFERROR(__xludf.DUMMYFUNCTION("""COMPUTED_VALUE"""),"乳がん（平成24年　遠山病院）、硬膜動静脈瘻（平成28年　三重大学病院）、骨粗鬆症、高血圧症、不眠症、頻尿")</f>
        <v>乳がん（平成24年　遠山病院）、硬膜動静脈瘻（平成28年　三重大学病院）、骨粗鬆症、高血圧症、不眠症、頻尿</v>
      </c>
      <c r="CT9" s="4" t="str">
        <f ca="1">IFERROR(__xludf.DUMMYFUNCTION("""COMPUTED_VALUE"""),"高血圧の内服等を内服している。")</f>
        <v>高血圧の内服等を内服している。</v>
      </c>
      <c r="CU9" s="4"/>
      <c r="CV9" s="4"/>
      <c r="CW9" s="4"/>
      <c r="CX9" s="4" t="str">
        <f ca="1">IFERROR(__xludf.DUMMYFUNCTION("""COMPUTED_VALUE"""),"入力")</f>
        <v>入力</v>
      </c>
      <c r="CY9" s="4" t="str">
        <f ca="1">IFERROR(__xludf.DUMMYFUNCTION("""COMPUTED_VALUE"""),"無")</f>
        <v>無</v>
      </c>
      <c r="CZ9" s="4" t="str">
        <f ca="1">IFERROR(__xludf.DUMMYFUNCTION("""COMPUTED_VALUE"""),"無")</f>
        <v>無</v>
      </c>
      <c r="DA9" s="4" t="str">
        <f ca="1">IFERROR(__xludf.DUMMYFUNCTION("""COMPUTED_VALUE"""),"無")</f>
        <v>無</v>
      </c>
      <c r="DB9" s="4" t="str">
        <f ca="1">IFERROR(__xludf.DUMMYFUNCTION("""COMPUTED_VALUE"""),"なし")</f>
        <v>なし</v>
      </c>
      <c r="DC9" s="4" t="str">
        <f ca="1">IFERROR(__xludf.DUMMYFUNCTION("""COMPUTED_VALUE"""),"なし")</f>
        <v>なし</v>
      </c>
      <c r="DD9" s="4"/>
      <c r="DE9" s="4"/>
      <c r="DF9" s="4" t="str">
        <f ca="1">IFERROR(__xludf.DUMMYFUNCTION("""COMPUTED_VALUE"""),"正常")</f>
        <v>正常</v>
      </c>
      <c r="DG9" s="4" t="str">
        <f ca="1">IFERROR(__xludf.DUMMYFUNCTION("""COMPUTED_VALUE"""),"無")</f>
        <v>無</v>
      </c>
      <c r="DH9" s="4" t="str">
        <f ca="1">IFERROR(__xludf.DUMMYFUNCTION("""COMPUTED_VALUE"""),"正常")</f>
        <v>正常</v>
      </c>
      <c r="DI9" s="4" t="str">
        <f ca="1">IFERROR(__xludf.DUMMYFUNCTION("""COMPUTED_VALUE"""),"無")</f>
        <v>無</v>
      </c>
      <c r="DJ9" s="4" t="str">
        <f ca="1">IFERROR(__xludf.DUMMYFUNCTION("""COMPUTED_VALUE"""),"左大腿骨は術後経過良好。現在全荷重が許可されている。
左手は可動域制限や、禁忌（プッシュアップ）があり、補助手レベルでしか使用できない。
痛みの訴えはなし。")</f>
        <v>左大腿骨は術後経過良好。現在全荷重が許可されている。
左手は可動域制限や、禁忌（プッシュアップ）があり、補助手レベルでしか使用できない。
痛みの訴えはなし。</v>
      </c>
      <c r="DK9" s="4"/>
      <c r="DL9" s="4" t="str">
        <f ca="1">IFERROR(__xludf.DUMMYFUNCTION("""COMPUTED_VALUE"""),"入力")</f>
        <v>入力</v>
      </c>
      <c r="DM9" s="4" t="str">
        <f ca="1">IFERROR(__xludf.DUMMYFUNCTION("""COMPUTED_VALUE"""),"無")</f>
        <v>無</v>
      </c>
      <c r="DN9" s="4" t="str">
        <f ca="1">IFERROR(__xludf.DUMMYFUNCTION("""COMPUTED_VALUE"""),"軽度")</f>
        <v>軽度</v>
      </c>
      <c r="DO9" s="4" t="str">
        <f ca="1">IFERROR(__xludf.DUMMYFUNCTION("""COMPUTED_VALUE"""),"無")</f>
        <v>無</v>
      </c>
      <c r="DP9" s="4" t="str">
        <f ca="1">IFERROR(__xludf.DUMMYFUNCTION("""COMPUTED_VALUE"""),"可能")</f>
        <v>可能</v>
      </c>
      <c r="DQ9" s="4" t="str">
        <f ca="1">IFERROR(__xludf.DUMMYFUNCTION("""COMPUTED_VALUE"""),"可能")</f>
        <v>可能</v>
      </c>
      <c r="DR9" s="4" t="str">
        <f ca="1">IFERROR(__xludf.DUMMYFUNCTION("""COMPUTED_VALUE"""),"年相応の認知機能の低下はあるものの、日常生活に支障が出るほどではない。")</f>
        <v>年相応の認知機能の低下はあるものの、日常生活に支障が出るほどではない。</v>
      </c>
      <c r="DS9" s="4"/>
      <c r="DT9" s="4"/>
      <c r="DU9" s="4" t="str">
        <f ca="1">IFERROR(__xludf.DUMMYFUNCTION("""COMPUTED_VALUE"""),"入力")</f>
        <v>入力</v>
      </c>
      <c r="DV9" s="4" t="str">
        <f ca="1">IFERROR(__xludf.DUMMYFUNCTION("""COMPUTED_VALUE"""),"何かにつかまればできる")</f>
        <v>何かにつかまればできる</v>
      </c>
      <c r="DW9" s="4" t="str">
        <f ca="1">IFERROR(__xludf.DUMMYFUNCTION("""COMPUTED_VALUE"""),"何かにつかまればできる")</f>
        <v>何かにつかまればできる</v>
      </c>
      <c r="DX9" s="4" t="str">
        <f ca="1">IFERROR(__xludf.DUMMYFUNCTION("""COMPUTED_VALUE"""),"自分の手で支えればできる")</f>
        <v>自分の手で支えればできる</v>
      </c>
      <c r="DY9" s="4" t="str">
        <f ca="1">IFERROR(__xludf.DUMMYFUNCTION("""COMPUTED_VALUE"""),"何かにつかまればできる")</f>
        <v>何かにつかまればできる</v>
      </c>
      <c r="DZ9" s="4" t="str">
        <f ca="1">IFERROR(__xludf.DUMMYFUNCTION("""COMPUTED_VALUE"""),"何か支えがあればできる")</f>
        <v>何か支えがあればできる</v>
      </c>
      <c r="EA9" s="4" t="str">
        <f ca="1">IFERROR(__xludf.DUMMYFUNCTION("""COMPUTED_VALUE"""),"見守り")</f>
        <v>見守り</v>
      </c>
      <c r="EB9" s="4" t="str">
        <f ca="1">IFERROR(__xludf.DUMMYFUNCTION("""COMPUTED_VALUE"""),"見守り")</f>
        <v>見守り</v>
      </c>
      <c r="EC9" s="4" t="str">
        <f ca="1">IFERROR(__xludf.DUMMYFUNCTION("""COMPUTED_VALUE"""),"歩行器")</f>
        <v>歩行器</v>
      </c>
      <c r="ED9" s="4" t="str">
        <f ca="1">IFERROR(__xludf.DUMMYFUNCTION("""COMPUTED_VALUE"""),"全介助")</f>
        <v>全介助</v>
      </c>
      <c r="EE9" s="4" t="str">
        <f ca="1">IFERROR(__xludf.DUMMYFUNCTION("""COMPUTED_VALUE"""),"車椅子")</f>
        <v>車椅子</v>
      </c>
      <c r="EF9" s="4" t="str">
        <f ca="1">IFERROR(__xludf.DUMMYFUNCTION("""COMPUTED_VALUE"""),"基本動作はご自身で可能だが、左手を使用することが難しいため動作は緩慢。移動は歩行器を使用して自立レベル。
病院では安全性を取って見守りを行っている。
歩行は小刻みで、すり足傾向。時折つまずきや自身の靴を踏んでしまうこと見られる。方向転換の際に身体が後方に傾くことがあり注意が必要。
動作は全体的に緩慢であるが比較的安定している。")</f>
        <v>基本動作はご自身で可能だが、左手を使用することが難しいため動作は緩慢。移動は歩行器を使用して自立レベル。
病院では安全性を取って見守りを行っている。
歩行は小刻みで、すり足傾向。時折つまずきや自身の靴を踏んでしまうこと見られる。方向転換の際に身体が後方に傾くことがあり注意が必要。
動作は全体的に緩慢であるが比較的安定している。</v>
      </c>
      <c r="EG9" s="4"/>
      <c r="EH9" s="4" t="str">
        <f ca="1">IFERROR(__xludf.DUMMYFUNCTION("""COMPUTED_VALUE"""),"入力")</f>
        <v>入力</v>
      </c>
      <c r="EI9" s="4" t="str">
        <f ca="1">IFERROR(__xludf.DUMMYFUNCTION("""COMPUTED_VALUE"""),"入力")</f>
        <v>入力</v>
      </c>
      <c r="EJ9" s="4" t="str">
        <f ca="1">IFERROR(__xludf.DUMMYFUNCTION("""COMPUTED_VALUE"""),"経口摂取")</f>
        <v>経口摂取</v>
      </c>
      <c r="EK9" s="4" t="str">
        <f ca="1">IFERROR(__xludf.DUMMYFUNCTION("""COMPUTED_VALUE"""),"自立")</f>
        <v>自立</v>
      </c>
      <c r="EL9" s="4" t="str">
        <f ca="1">IFERROR(__xludf.DUMMYFUNCTION("""COMPUTED_VALUE"""),"できる")</f>
        <v>できる</v>
      </c>
      <c r="EM9" s="4" t="str">
        <f ca="1">IFERROR(__xludf.DUMMYFUNCTION("""COMPUTED_VALUE"""),"普通")</f>
        <v>普通</v>
      </c>
      <c r="EN9" s="4" t="str">
        <f ca="1">IFERROR(__xludf.DUMMYFUNCTION("""COMPUTED_VALUE"""),"普通")</f>
        <v>普通</v>
      </c>
      <c r="EO9" s="4" t="str">
        <f ca="1">IFERROR(__xludf.DUMMYFUNCTION("""COMPUTED_VALUE"""),"無")</f>
        <v>無</v>
      </c>
      <c r="EP9" s="4" t="str">
        <f ca="1">IFERROR(__xludf.DUMMYFUNCTION("""COMPUTED_VALUE"""),"無")</f>
        <v>無</v>
      </c>
      <c r="EQ9" s="4" t="str">
        <f ca="1">IFERROR(__xludf.DUMMYFUNCTION("""COMPUTED_VALUE"""),"箸 , スプーン")</f>
        <v>箸 , スプーン</v>
      </c>
      <c r="ER9" s="4" t="str">
        <f ca="1">IFERROR(__xludf.DUMMYFUNCTION("""COMPUTED_VALUE"""),"食事は問題なし。")</f>
        <v>食事は問題なし。</v>
      </c>
      <c r="ES9" s="4"/>
      <c r="ET9" s="4" t="str">
        <f ca="1">IFERROR(__xludf.DUMMYFUNCTION("""COMPUTED_VALUE"""),"入力")</f>
        <v>入力</v>
      </c>
      <c r="EU9" s="4" t="str">
        <f ca="1">IFERROR(__xludf.DUMMYFUNCTION("""COMPUTED_VALUE"""),"見守り")</f>
        <v>見守り</v>
      </c>
      <c r="EV9" s="4"/>
      <c r="EW9" s="4" t="str">
        <f ca="1">IFERROR(__xludf.DUMMYFUNCTION("""COMPUTED_VALUE"""),"有")</f>
        <v>有</v>
      </c>
      <c r="EX9" s="4" t="str">
        <f ca="1">IFERROR(__xludf.DUMMYFUNCTION("""COMPUTED_VALUE"""),"部分義歯")</f>
        <v>部分義歯</v>
      </c>
      <c r="EY9" s="4" t="str">
        <f ca="1">IFERROR(__xludf.DUMMYFUNCTION("""COMPUTED_VALUE"""),"上下")</f>
        <v>上下</v>
      </c>
      <c r="EZ9" s="4" t="str">
        <f ca="1">IFERROR(__xludf.DUMMYFUNCTION("""COMPUTED_VALUE"""),"部分義歯があるが、現在は合っておらず使用していない。
退院後は新しく作成を希望されている。")</f>
        <v>部分義歯があるが、現在は合っておらず使用していない。
退院後は新しく作成を希望されている。</v>
      </c>
      <c r="FA9" s="4"/>
      <c r="FB9" s="4" t="str">
        <f ca="1">IFERROR(__xludf.DUMMYFUNCTION("""COMPUTED_VALUE"""),"入力")</f>
        <v>入力</v>
      </c>
      <c r="FC9" s="4" t="str">
        <f ca="1">IFERROR(__xludf.DUMMYFUNCTION("""COMPUTED_VALUE"""),"一部介助")</f>
        <v>一部介助</v>
      </c>
      <c r="FD9" s="4" t="str">
        <f ca="1">IFERROR(__xludf.DUMMYFUNCTION("""COMPUTED_VALUE"""),"シャワー浴")</f>
        <v>シャワー浴</v>
      </c>
      <c r="FE9" s="4" t="str">
        <f ca="1">IFERROR(__xludf.DUMMYFUNCTION("""COMPUTED_VALUE"""),"無")</f>
        <v>無</v>
      </c>
      <c r="FF9" s="4"/>
      <c r="FG9" s="4" t="str">
        <f ca="1">IFERROR(__xludf.DUMMYFUNCTION("""COMPUTED_VALUE"""),"見守り")</f>
        <v>見守り</v>
      </c>
      <c r="FH9" s="4" t="str">
        <f ca="1">IFERROR(__xludf.DUMMYFUNCTION("""COMPUTED_VALUE"""),"一部介助")</f>
        <v>一部介助</v>
      </c>
      <c r="FI9" s="4" t="str">
        <f ca="1">IFERROR(__xludf.DUMMYFUNCTION("""COMPUTED_VALUE"""),"現在入浴はシャワーのみとなっているが、退院後は湯舟に入れるなら入りたいと希望あり。
洗身動作や更衣は一部介助が必要。")</f>
        <v>現在入浴はシャワーのみとなっているが、退院後は湯舟に入れるなら入りたいと希望あり。
洗身動作や更衣は一部介助が必要。</v>
      </c>
      <c r="FJ9" s="4"/>
      <c r="FK9" s="4" t="str">
        <f ca="1">IFERROR(__xludf.DUMMYFUNCTION("""COMPUTED_VALUE"""),"入力")</f>
        <v>入力</v>
      </c>
      <c r="FL9" s="4" t="str">
        <f ca="1">IFERROR(__xludf.DUMMYFUNCTION("""COMPUTED_VALUE"""),"見守り")</f>
        <v>見守り</v>
      </c>
      <c r="FM9" s="4" t="str">
        <f ca="1">IFERROR(__xludf.DUMMYFUNCTION("""COMPUTED_VALUE"""),"有")</f>
        <v>有</v>
      </c>
      <c r="FN9" s="4" t="str">
        <f ca="1">IFERROR(__xludf.DUMMYFUNCTION("""COMPUTED_VALUE"""),"無")</f>
        <v>無</v>
      </c>
      <c r="FO9" s="4" t="str">
        <f ca="1">IFERROR(__xludf.DUMMYFUNCTION("""COMPUTED_VALUE"""),"有")</f>
        <v>有</v>
      </c>
      <c r="FP9" s="4" t="str">
        <f ca="1">IFERROR(__xludf.DUMMYFUNCTION("""COMPUTED_VALUE"""),"無")</f>
        <v>無</v>
      </c>
      <c r="FQ9" s="4" t="str">
        <f ca="1">IFERROR(__xludf.DUMMYFUNCTION("""COMPUTED_VALUE"""),"普通便")</f>
        <v>普通便</v>
      </c>
      <c r="FR9" s="4" t="str">
        <f ca="1">IFERROR(__xludf.DUMMYFUNCTION("""COMPUTED_VALUE"""),"トイレ")</f>
        <v>トイレ</v>
      </c>
      <c r="FS9" s="4" t="str">
        <f ca="1">IFERROR(__xludf.DUMMYFUNCTION("""COMPUTED_VALUE"""),"トイレ")</f>
        <v>トイレ</v>
      </c>
      <c r="FT9" s="4"/>
      <c r="FU9" s="4" t="str">
        <f ca="1">IFERROR(__xludf.DUMMYFUNCTION("""COMPUTED_VALUE"""),"失禁はないため布パンツを使用。
Nsコールをしっかり押すことができるため、病院では見守りで行っているものの、トイレ動作は自立されている。
毎日酸化マグネシウム錠を飲んでおり、便は3日以上でないことはない。")</f>
        <v>失禁はないため布パンツを使用。
Nsコールをしっかり押すことができるため、病院では見守りで行っているものの、トイレ動作は自立されている。
毎日酸化マグネシウム錠を飲んでおり、便は3日以上でないことはない。</v>
      </c>
      <c r="FV9" s="4"/>
      <c r="FW9" s="4"/>
      <c r="FX9" s="4" t="str">
        <f ca="1">IFERROR(__xludf.DUMMYFUNCTION("""COMPUTED_VALUE"""),"入力")</f>
        <v>入力</v>
      </c>
      <c r="FY9" s="4" t="str">
        <f ca="1">IFERROR(__xludf.DUMMYFUNCTION("""COMPUTED_VALUE"""),"全介助")</f>
        <v>全介助</v>
      </c>
      <c r="FZ9" s="4" t="str">
        <f ca="1">IFERROR(__xludf.DUMMYFUNCTION("""COMPUTED_VALUE"""),"全介助")</f>
        <v>全介助</v>
      </c>
      <c r="GA9" s="4" t="str">
        <f ca="1">IFERROR(__xludf.DUMMYFUNCTION("""COMPUTED_VALUE"""),"全介助")</f>
        <v>全介助</v>
      </c>
      <c r="GB9" s="4" t="str">
        <f ca="1">IFERROR(__xludf.DUMMYFUNCTION("""COMPUTED_VALUE"""),"全介助")</f>
        <v>全介助</v>
      </c>
      <c r="GC9" s="4" t="str">
        <f ca="1">IFERROR(__xludf.DUMMYFUNCTION("""COMPUTED_VALUE"""),"全介助")</f>
        <v>全介助</v>
      </c>
      <c r="GD9" s="4" t="str">
        <f ca="1">IFERROR(__xludf.DUMMYFUNCTION("""COMPUTED_VALUE"""),"IADLは全介助となっている。")</f>
        <v>IADLは全介助となっている。</v>
      </c>
      <c r="GE9" s="4"/>
      <c r="GF9" s="4"/>
      <c r="GG9" s="4" t="str">
        <f ca="1">IFERROR(__xludf.DUMMYFUNCTION("""COMPUTED_VALUE"""),"危険行動はなくリハビリで練習した動作の習得も可能。")</f>
        <v>危険行動はなくリハビリで練習した動作の習得も可能。</v>
      </c>
      <c r="GH9" s="4">
        <f ca="1">IFERROR(__xludf.DUMMYFUNCTION("""COMPUTED_VALUE"""),30)</f>
        <v>30</v>
      </c>
      <c r="GI9" s="4"/>
    </row>
    <row r="10" spans="1:191">
      <c r="A10" s="4"/>
      <c r="B10" s="4"/>
      <c r="C10" s="4" t="str">
        <f ca="1">IFERROR(__xludf.DUMMYFUNCTION("""COMPUTED_VALUE"""),"向井　郁恵")</f>
        <v>向井　郁恵</v>
      </c>
      <c r="D10" s="4" t="str">
        <f ca="1">IFERROR(__xludf.DUMMYFUNCTION("""COMPUTED_VALUE"""),"eb7b6514")</f>
        <v>eb7b6514</v>
      </c>
      <c r="E10" s="4"/>
      <c r="F10" s="4"/>
      <c r="G10" s="4"/>
      <c r="H10" s="4"/>
      <c r="I10" s="5">
        <f ca="1">IFERROR(__xludf.DUMMYFUNCTION("""COMPUTED_VALUE"""),45895)</f>
        <v>45895</v>
      </c>
      <c r="J10" s="4" t="str">
        <f ca="1">IFERROR(__xludf.DUMMYFUNCTION("""COMPUTED_VALUE"""),"山川　和輝")</f>
        <v>山川　和輝</v>
      </c>
      <c r="K10" s="4" t="str">
        <f ca="1">IFERROR(__xludf.DUMMYFUNCTION("""COMPUTED_VALUE"""),"情報提供")</f>
        <v>情報提供</v>
      </c>
      <c r="L10" s="4" t="str">
        <f ca="1">IFERROR(__xludf.DUMMYFUNCTION("""COMPUTED_VALUE"""),"居室")</f>
        <v>居室</v>
      </c>
      <c r="M10" s="4" t="str">
        <f ca="1">IFERROR(__xludf.DUMMYFUNCTION("""COMPUTED_VALUE"""),"夫婦2人暮らし。令和6年2月白内障の手術施行。令和6年3月11日に永井病院にて間質性肺炎と診断。その後三重中央医療センターへ入院し在宅酸素療法が開始となった。また令和6年の年始頃から生活リズムが変わり始め、これまでできていた家事をしなくなり記憶力低下が著明になったためおがわ脳神経外科にて令和6年3月5日アルツハイマー型認知症の診断を受け内服治療が始まった。
令和6年4月1日より介護保険サービスが利用開始となるが、同年5月に三重中央医療センターへ入院。在宅酸素療法が開始となった。
その後、デイサービスやリハ"&amp;"ビリを受け、旦那様の手助けもあり生活されていたが、令和7年5月頃より疲労感や息切れが著明となり通院が困難となってきたため、同年6月25日より丸の内クリニックによる往診と、訪問看護ステーションを利用することとなった。
そのころから、時折熱発を繰り返すようになり、徐々に身体面の低下がありデイサービスの利用も困難となってきたため、訪問入浴の支援を利用することとなった。")</f>
        <v>夫婦2人暮らし。令和6年2月白内障の手術施行。令和6年3月11日に永井病院にて間質性肺炎と診断。その後三重中央医療センターへ入院し在宅酸素療法が開始となった。また令和6年の年始頃から生活リズムが変わり始め、これまでできていた家事をしなくなり記憶力低下が著明になったためおがわ脳神経外科にて令和6年3月5日アルツハイマー型認知症の診断を受け内服治療が始まった。
令和6年4月1日より介護保険サービスが利用開始となるが、同年5月に三重中央医療センターへ入院。在宅酸素療法が開始となった。
その後、デイサービスやリハビリを受け、旦那様の手助けもあり生活されていたが、令和7年5月頃より疲労感や息切れが著明となり通院が困難となってきたため、同年6月25日より丸の内クリニックによる往診と、訪問看護ステーションを利用することとなった。
そのころから、時折熱発を繰り返すようになり、徐々に身体面の低下がありデイサービスの利用も困難となってきたため、訪問入浴の支援を利用することとなった。</v>
      </c>
      <c r="N10" s="4" t="str">
        <f ca="1">IFERROR(__xludf.DUMMYFUNCTION("""COMPUTED_VALUE"""),"家では一人になってしまうので、サービスを利用しながら在宅生活を継続していきたい。")</f>
        <v>家では一人になってしまうので、サービスを利用しながら在宅生活を継続していきたい。</v>
      </c>
      <c r="O10" s="4" t="str">
        <f ca="1">IFERROR(__xludf.DUMMYFUNCTION("""COMPUTED_VALUE"""),"自宅で最後までみたい。")</f>
        <v>自宅で最後までみたい。</v>
      </c>
      <c r="P10" s="4"/>
      <c r="Q10" s="4" t="str">
        <f ca="1">IFERROR(__xludf.DUMMYFUNCTION("""COMPUTED_VALUE"""),"入力")</f>
        <v>入力</v>
      </c>
      <c r="R10" s="4" t="str">
        <f ca="1">IFERROR(__xludf.DUMMYFUNCTION("""COMPUTED_VALUE"""),"要介護３")</f>
        <v>要介護３</v>
      </c>
      <c r="S10" s="4" t="str">
        <f ca="1">IFERROR(__xludf.DUMMYFUNCTION("""COMPUTED_VALUE"""),"令和7年6月5日")</f>
        <v>令和7年6月5日</v>
      </c>
      <c r="T10" s="4" t="str">
        <f ca="1">IFERROR(__xludf.DUMMYFUNCTION("""COMPUTED_VALUE"""),"令和7年5月1日")</f>
        <v>令和7年5月1日</v>
      </c>
      <c r="U10" s="4" t="str">
        <f ca="1">IFERROR(__xludf.DUMMYFUNCTION("""COMPUTED_VALUE"""),"令和8年4月30日")</f>
        <v>令和8年4月30日</v>
      </c>
      <c r="V10" s="4" t="str">
        <f ca="1">IFERROR(__xludf.DUMMYFUNCTION("""COMPUTED_VALUE"""),"１割負担")</f>
        <v>１割負担</v>
      </c>
      <c r="W10" s="4" t="str">
        <f ca="1">IFERROR(__xludf.DUMMYFUNCTION("""COMPUTED_VALUE"""),"後期高齢者医療保険")</f>
        <v>後期高齢者医療保険</v>
      </c>
      <c r="X10" s="4" t="str">
        <f ca="1">IFERROR(__xludf.DUMMYFUNCTION("""COMPUTED_VALUE"""),"無")</f>
        <v>無</v>
      </c>
      <c r="Y10" s="4"/>
      <c r="Z10" s="4" t="str">
        <f ca="1">IFERROR(__xludf.DUMMYFUNCTION("""COMPUTED_VALUE"""),"無")</f>
        <v>無</v>
      </c>
      <c r="AA10" s="4" t="str">
        <f ca="1">IFERROR(__xludf.DUMMYFUNCTION("""COMPUTED_VALUE"""),"無")</f>
        <v>無</v>
      </c>
      <c r="AB10" s="4" t="str">
        <f ca="1">IFERROR(__xludf.DUMMYFUNCTION("""COMPUTED_VALUE"""),"A2")</f>
        <v>A2</v>
      </c>
      <c r="AC10" s="4" t="str">
        <f ca="1">IFERROR(__xludf.DUMMYFUNCTION("""COMPUTED_VALUE"""),"Ⅱb")</f>
        <v>Ⅱb</v>
      </c>
      <c r="AD10" s="4"/>
      <c r="AE10" s="4" t="str">
        <f ca="1">IFERROR(__xludf.DUMMYFUNCTION("""COMPUTED_VALUE"""),"入力")</f>
        <v>入力</v>
      </c>
      <c r="AF10" s="4" t="str">
        <f ca="1">IFERROR(__xludf.DUMMYFUNCTION("""COMPUTED_VALUE"""),"向井　佳子")</f>
        <v>向井　佳子</v>
      </c>
      <c r="AG10" s="4" t="str">
        <f ca="1">IFERROR(__xludf.DUMMYFUNCTION("""COMPUTED_VALUE"""),"長女")</f>
        <v>長女</v>
      </c>
      <c r="AH10" s="4" t="str">
        <f ca="1">IFERROR(__xludf.DUMMYFUNCTION("""COMPUTED_VALUE"""),"津市半田2226-312")</f>
        <v>津市半田2226-312</v>
      </c>
      <c r="AI10" s="4" t="str">
        <f ca="1">IFERROR(__xludf.DUMMYFUNCTION("""COMPUTED_VALUE"""),"別居")</f>
        <v>別居</v>
      </c>
      <c r="AJ10" s="4" t="str">
        <f ca="1">IFERROR(__xludf.DUMMYFUNCTION("""COMPUTED_VALUE"""),"介護する")</f>
        <v>介護する</v>
      </c>
      <c r="AK10" s="4"/>
      <c r="AL10" s="4" t="str">
        <f ca="1">IFERROR(__xludf.DUMMYFUNCTION("""COMPUTED_VALUE"""),"080-6926-8072")</f>
        <v>080-6926-8072</v>
      </c>
      <c r="AM10" s="4" t="str">
        <f ca="1">IFERROR(__xludf.DUMMYFUNCTION("""COMPUTED_VALUE"""),"KP。近くに住まれている。")</f>
        <v>KP。近くに住まれている。</v>
      </c>
      <c r="AN10" s="4" t="str">
        <f ca="1">IFERROR(__xludf.DUMMYFUNCTION("""COMPUTED_VALUE"""),"向井　正明")</f>
        <v>向井　正明</v>
      </c>
      <c r="AO10" s="4" t="str">
        <f ca="1">IFERROR(__xludf.DUMMYFUNCTION("""COMPUTED_VALUE"""),"夫")</f>
        <v>夫</v>
      </c>
      <c r="AP10" s="4" t="str">
        <f ca="1">IFERROR(__xludf.DUMMYFUNCTION("""COMPUTED_VALUE"""),"津市半田2226-58")</f>
        <v>津市半田2226-58</v>
      </c>
      <c r="AQ10" s="4" t="str">
        <f ca="1">IFERROR(__xludf.DUMMYFUNCTION("""COMPUTED_VALUE"""),"同居")</f>
        <v>同居</v>
      </c>
      <c r="AR10" s="4" t="str">
        <f ca="1">IFERROR(__xludf.DUMMYFUNCTION("""COMPUTED_VALUE"""),"介護する")</f>
        <v>介護する</v>
      </c>
      <c r="AS10" s="4" t="str">
        <f ca="1">IFERROR(__xludf.DUMMYFUNCTION("""COMPUTED_VALUE"""),"無")</f>
        <v>無</v>
      </c>
      <c r="AT10" s="4" t="str">
        <f ca="1">IFERROR(__xludf.DUMMYFUNCTION("""COMPUTED_VALUE"""),"090-1470-1304")</f>
        <v>090-1470-1304</v>
      </c>
      <c r="AU10" s="4" t="str">
        <f ca="1">IFERROR(__xludf.DUMMYFUNCTION("""COMPUTED_VALUE"""),"家事全般を行う")</f>
        <v>家事全般を行う</v>
      </c>
      <c r="AV10" s="4"/>
      <c r="AW10" s="4" t="str">
        <f ca="1">IFERROR(__xludf.DUMMYFUNCTION("""COMPUTED_VALUE"""),"入力")</f>
        <v>入力</v>
      </c>
      <c r="AX10" s="4" t="str">
        <f ca="1">IFERROR(__xludf.DUMMYFUNCTION("""COMPUTED_VALUE"""),"家族同居")</f>
        <v>家族同居</v>
      </c>
      <c r="AY10" s="4" t="str">
        <f ca="1">IFERROR(__xludf.DUMMYFUNCTION("""COMPUTED_VALUE"""),"一戸建て")</f>
        <v>一戸建て</v>
      </c>
      <c r="AZ10" s="4"/>
      <c r="BA10" s="4" t="str">
        <f ca="1">IFERROR(__xludf.DUMMYFUNCTION("""COMPUTED_VALUE"""),"所有")</f>
        <v>所有</v>
      </c>
      <c r="BB10" s="4" t="str">
        <f ca="1">IFERROR(__xludf.DUMMYFUNCTION("""COMPUTED_VALUE"""),"有")</f>
        <v>有</v>
      </c>
      <c r="BC10" s="4" t="str">
        <f ca="1">IFERROR(__xludf.DUMMYFUNCTION("""COMPUTED_VALUE"""),"有")</f>
        <v>有</v>
      </c>
      <c r="BD10" s="4" t="str">
        <f ca="1">IFERROR(__xludf.DUMMYFUNCTION("""COMPUTED_VALUE"""),"洋式")</f>
        <v>洋式</v>
      </c>
      <c r="BE10" s="4" t="str">
        <f ca="1">IFERROR(__xludf.DUMMYFUNCTION("""COMPUTED_VALUE"""),"手すり有")</f>
        <v>手すり有</v>
      </c>
      <c r="BF10" s="4" t="str">
        <f ca="1">IFERROR(__xludf.DUMMYFUNCTION("""COMPUTED_VALUE"""),"段差有")</f>
        <v>段差有</v>
      </c>
      <c r="BG10" s="4" t="str">
        <f ca="1">IFERROR(__xludf.DUMMYFUNCTION("""COMPUTED_VALUE"""),"有")</f>
        <v>有</v>
      </c>
      <c r="BH10" s="4" t="str">
        <f ca="1">IFERROR(__xludf.DUMMYFUNCTION("""COMPUTED_VALUE"""),"手すり有")</f>
        <v>手すり有</v>
      </c>
      <c r="BI10" s="4" t="str">
        <f ca="1">IFERROR(__xludf.DUMMYFUNCTION("""COMPUTED_VALUE"""),"リクライニングベッド")</f>
        <v>リクライニングベッド</v>
      </c>
      <c r="BJ10" s="4" t="str">
        <f ca="1">IFERROR(__xludf.DUMMYFUNCTION("""COMPUTED_VALUE"""),"無")</f>
        <v>無</v>
      </c>
      <c r="BK10" s="4" t="str">
        <f ca="1">IFERROR(__xludf.DUMMYFUNCTION("""COMPUTED_VALUE"""),"有")</f>
        <v>有</v>
      </c>
      <c r="BL10" s="4" t="str">
        <f ca="1">IFERROR(__xludf.DUMMYFUNCTION("""COMPUTED_VALUE"""),"無")</f>
        <v>無</v>
      </c>
      <c r="BM10" s="4" t="str">
        <f ca="1">IFERROR(__xludf.DUMMYFUNCTION("""COMPUTED_VALUE"""),"無")</f>
        <v>無</v>
      </c>
      <c r="BN10" s="4"/>
      <c r="BO10" s="4" t="str">
        <f ca="1">IFERROR(__xludf.DUMMYFUNCTION("""COMPUTED_VALUE"""),"入力")</f>
        <v>入力</v>
      </c>
      <c r="BP10" s="4" t="str">
        <f ca="1">IFERROR(__xludf.DUMMYFUNCTION("""COMPUTED_VALUE"""),"訪問介護 , 訪問入浴 , 訪問看護 , 訪問リハ")</f>
        <v>訪問介護 , 訪問入浴 , 訪問看護 , 訪問リハ</v>
      </c>
      <c r="BQ10" s="4" t="str">
        <f ca="1">IFERROR(__xludf.DUMMYFUNCTION("""COMPUTED_VALUE"""),"車いす , 手すり")</f>
        <v>車いす , 手すり</v>
      </c>
      <c r="BR10" s="4" t="str">
        <f ca="1">IFERROR(__xludf.DUMMYFUNCTION("""COMPUTED_VALUE"""),"なし。")</f>
        <v>なし。</v>
      </c>
      <c r="BS10" s="4"/>
      <c r="BT10" s="4" t="str">
        <f ca="1">IFERROR(__xludf.DUMMYFUNCTION("""COMPUTED_VALUE"""),"デイサービスでは他の利用者様とも交流を行っていた。")</f>
        <v>デイサービスでは他の利用者様とも交流を行っていた。</v>
      </c>
      <c r="BU10" s="4"/>
      <c r="BV10" s="4"/>
      <c r="BW10" s="4" t="str">
        <f ca="1">IFERROR(__xludf.DUMMYFUNCTION("""COMPUTED_VALUE"""),"入力")</f>
        <v>入力</v>
      </c>
      <c r="BX10" s="4" t="str">
        <f ca="1">IFERROR(__xludf.DUMMYFUNCTION("""COMPUTED_VALUE"""),"間質性肺炎")</f>
        <v>間質性肺炎</v>
      </c>
      <c r="BY10" s="4" t="str">
        <f ca="1">IFERROR(__xludf.DUMMYFUNCTION("""COMPUTED_VALUE"""),"令和6年3月11日")</f>
        <v>令和6年3月11日</v>
      </c>
      <c r="BZ10" s="4" t="str">
        <f ca="1">IFERROR(__xludf.DUMMYFUNCTION("""COMPUTED_VALUE"""),"アルツハイマー型認知症")</f>
        <v>アルツハイマー型認知症</v>
      </c>
      <c r="CA10" s="4" t="str">
        <f ca="1">IFERROR(__xludf.DUMMYFUNCTION("""COMPUTED_VALUE"""),"令和6年3月5日")</f>
        <v>令和6年3月5日</v>
      </c>
      <c r="CB10" s="4" t="str">
        <f ca="1">IFERROR(__xludf.DUMMYFUNCTION("""COMPUTED_VALUE"""),"甲状腺機能障害")</f>
        <v>甲状腺機能障害</v>
      </c>
      <c r="CC10" s="4" t="str">
        <f ca="1">IFERROR(__xludf.DUMMYFUNCTION("""COMPUTED_VALUE"""),"令和6年3月頃")</f>
        <v>令和6年3月頃</v>
      </c>
      <c r="CD10" s="4" t="str">
        <f ca="1">IFERROR(__xludf.DUMMYFUNCTION("""COMPUTED_VALUE"""),"白内障（術後）")</f>
        <v>白内障（術後）</v>
      </c>
      <c r="CE10" s="4" t="str">
        <f ca="1">IFERROR(__xludf.DUMMYFUNCTION("""COMPUTED_VALUE"""),"令和6年2月")</f>
        <v>令和6年2月</v>
      </c>
      <c r="CF10" s="4"/>
      <c r="CG10" s="4"/>
      <c r="CH10" s="4"/>
      <c r="CI10" s="4"/>
      <c r="CJ10" s="4" t="str">
        <f ca="1">IFERROR(__xludf.DUMMYFUNCTION("""COMPUTED_VALUE"""),"令和7年6月25日より主治医はあらき内科クリニック→丸の内クリニックの往診に変更となっている。間質性肺炎で三重中央医療センターへ定期受診やその他、おがわ脳神経外科と今野眼科に受診を行っていたが、現在は丸の内クリニックで総括的に診て頂いている。")</f>
        <v>令和7年6月25日より主治医はあらき内科クリニック→丸の内クリニックの往診に変更となっている。間質性肺炎で三重中央医療センターへ定期受診やその他、おがわ脳神経外科と今野眼科に受診を行っていたが、現在は丸の内クリニックで総括的に診て頂いている。</v>
      </c>
      <c r="CK10" s="4"/>
      <c r="CL10" s="4"/>
      <c r="CM10" s="4" t="str">
        <f ca="1">IFERROR(__xludf.DUMMYFUNCTION("""COMPUTED_VALUE"""),"丸の内クリニック")</f>
        <v>丸の内クリニック</v>
      </c>
      <c r="CN10" s="4"/>
      <c r="CO10" s="4" t="str">
        <f ca="1">IFERROR(__xludf.DUMMYFUNCTION("""COMPUTED_VALUE"""),"三重中央医療センター")</f>
        <v>三重中央医療センター</v>
      </c>
      <c r="CP10" s="4"/>
      <c r="CQ10" s="4"/>
      <c r="CR10" s="4"/>
      <c r="CS10" s="4" t="str">
        <f ca="1">IFERROR(__xludf.DUMMYFUNCTION("""COMPUTED_VALUE"""),"現病歴に記載した通り")</f>
        <v>現病歴に記載した通り</v>
      </c>
      <c r="CT10" s="4" t="str">
        <f ca="1">IFERROR(__xludf.DUMMYFUNCTION("""COMPUTED_VALUE"""),"アリセプトD錠、チラージンS錠、フェブキソスタット錠、トラセミド錠等")</f>
        <v>アリセプトD錠、チラージンS錠、フェブキソスタット錠、トラセミド錠等</v>
      </c>
      <c r="CU10" s="4"/>
      <c r="CV10" s="4"/>
      <c r="CW10" s="4"/>
      <c r="CX10" s="4" t="str">
        <f ca="1">IFERROR(__xludf.DUMMYFUNCTION("""COMPUTED_VALUE"""),"入力")</f>
        <v>入力</v>
      </c>
      <c r="CY10" s="4" t="str">
        <f ca="1">IFERROR(__xludf.DUMMYFUNCTION("""COMPUTED_VALUE"""),"無")</f>
        <v>無</v>
      </c>
      <c r="CZ10" s="4" t="str">
        <f ca="1">IFERROR(__xludf.DUMMYFUNCTION("""COMPUTED_VALUE"""),"無")</f>
        <v>無</v>
      </c>
      <c r="DA10" s="4" t="str">
        <f ca="1">IFERROR(__xludf.DUMMYFUNCTION("""COMPUTED_VALUE"""),"酸素療法")</f>
        <v>酸素療法</v>
      </c>
      <c r="DB10" s="4" t="str">
        <f ca="1">IFERROR(__xludf.DUMMYFUNCTION("""COMPUTED_VALUE"""),"なし")</f>
        <v>なし</v>
      </c>
      <c r="DC10" s="4"/>
      <c r="DD10" s="4">
        <f ca="1">IFERROR(__xludf.DUMMYFUNCTION("""COMPUTED_VALUE"""),0)</f>
        <v>0</v>
      </c>
      <c r="DE10" s="4">
        <f ca="1">IFERROR(__xludf.DUMMYFUNCTION("""COMPUTED_VALUE"""),0)</f>
        <v>0</v>
      </c>
      <c r="DF10" s="4" t="str">
        <f ca="1">IFERROR(__xludf.DUMMYFUNCTION("""COMPUTED_VALUE"""),"正常")</f>
        <v>正常</v>
      </c>
      <c r="DG10" s="4" t="str">
        <f ca="1">IFERROR(__xludf.DUMMYFUNCTION("""COMPUTED_VALUE"""),"無")</f>
        <v>無</v>
      </c>
      <c r="DH10" s="4" t="str">
        <f ca="1">IFERROR(__xludf.DUMMYFUNCTION("""COMPUTED_VALUE"""),"大きい声は可")</f>
        <v>大きい声は可</v>
      </c>
      <c r="DI10" s="4" t="str">
        <f ca="1">IFERROR(__xludf.DUMMYFUNCTION("""COMPUTED_VALUE"""),"無")</f>
        <v>無</v>
      </c>
      <c r="DJ10" s="4" t="str">
        <f ca="1">IFERROR(__xludf.DUMMYFUNCTION("""COMPUTED_VALUE"""),"やや難聴があるもののコミュニケーションは可能。")</f>
        <v>やや難聴があるもののコミュニケーションは可能。</v>
      </c>
      <c r="DK10" s="4"/>
      <c r="DL10" s="4" t="str">
        <f ca="1">IFERROR(__xludf.DUMMYFUNCTION("""COMPUTED_VALUE"""),"入力")</f>
        <v>入力</v>
      </c>
      <c r="DM10" s="4" t="str">
        <f ca="1">IFERROR(__xludf.DUMMYFUNCTION("""COMPUTED_VALUE"""),"有")</f>
        <v>有</v>
      </c>
      <c r="DN10" s="4" t="str">
        <f ca="1">IFERROR(__xludf.DUMMYFUNCTION("""COMPUTED_VALUE"""),"軽度")</f>
        <v>軽度</v>
      </c>
      <c r="DO10" s="4" t="str">
        <f ca="1">IFERROR(__xludf.DUMMYFUNCTION("""COMPUTED_VALUE"""),"無")</f>
        <v>無</v>
      </c>
      <c r="DP10" s="4" t="str">
        <f ca="1">IFERROR(__xludf.DUMMYFUNCTION("""COMPUTED_VALUE"""),"可能")</f>
        <v>可能</v>
      </c>
      <c r="DQ10" s="4" t="str">
        <f ca="1">IFERROR(__xludf.DUMMYFUNCTION("""COMPUTED_VALUE"""),"可能")</f>
        <v>可能</v>
      </c>
      <c r="DR10" s="4" t="str">
        <f ca="1">IFERROR(__xludf.DUMMYFUNCTION("""COMPUTED_VALUE"""),"アルツハイマー型認知症の診断を受けており、やや認知機能の低下が見られている。")</f>
        <v>アルツハイマー型認知症の診断を受けており、やや認知機能の低下が見られている。</v>
      </c>
      <c r="DS10" s="4"/>
      <c r="DT10" s="4"/>
      <c r="DU10" s="4" t="str">
        <f ca="1">IFERROR(__xludf.DUMMYFUNCTION("""COMPUTED_VALUE"""),"入力")</f>
        <v>入力</v>
      </c>
      <c r="DV10" s="4" t="str">
        <f ca="1">IFERROR(__xludf.DUMMYFUNCTION("""COMPUTED_VALUE"""),"できない")</f>
        <v>できない</v>
      </c>
      <c r="DW10" s="4" t="str">
        <f ca="1">IFERROR(__xludf.DUMMYFUNCTION("""COMPUTED_VALUE"""),"できない")</f>
        <v>できない</v>
      </c>
      <c r="DX10" s="4" t="str">
        <f ca="1">IFERROR(__xludf.DUMMYFUNCTION("""COMPUTED_VALUE"""),"支えてもらえればできる")</f>
        <v>支えてもらえればできる</v>
      </c>
      <c r="DY10" s="4" t="str">
        <f ca="1">IFERROR(__xludf.DUMMYFUNCTION("""COMPUTED_VALUE"""),"できない")</f>
        <v>できない</v>
      </c>
      <c r="DZ10" s="4" t="str">
        <f ca="1">IFERROR(__xludf.DUMMYFUNCTION("""COMPUTED_VALUE"""),"できない")</f>
        <v>できない</v>
      </c>
      <c r="EA10" s="4" t="str">
        <f ca="1">IFERROR(__xludf.DUMMYFUNCTION("""COMPUTED_VALUE"""),"全介助")</f>
        <v>全介助</v>
      </c>
      <c r="EB10" s="4" t="str">
        <f ca="1">IFERROR(__xludf.DUMMYFUNCTION("""COMPUTED_VALUE"""),"全介助")</f>
        <v>全介助</v>
      </c>
      <c r="EC10" s="4" t="str">
        <f ca="1">IFERROR(__xludf.DUMMYFUNCTION("""COMPUTED_VALUE"""),"車椅子")</f>
        <v>車椅子</v>
      </c>
      <c r="ED10" s="4" t="str">
        <f ca="1">IFERROR(__xludf.DUMMYFUNCTION("""COMPUTED_VALUE"""),"全介助")</f>
        <v>全介助</v>
      </c>
      <c r="EE10" s="4" t="str">
        <f ca="1">IFERROR(__xludf.DUMMYFUNCTION("""COMPUTED_VALUE"""),"車椅子")</f>
        <v>車椅子</v>
      </c>
      <c r="EF10" s="4" t="str">
        <f ca="1">IFERROR(__xludf.DUMMYFUNCTION("""COMPUTED_VALUE"""),"もともと独歩でトイレや食堂まで行くことができていたが、現在は身体能力の低下から移動は車いすを使用。
旦那様の手伝いのもとベッドから車いすへ移っている。依存的でほぼ全介助を要す。")</f>
        <v>もともと独歩でトイレや食堂まで行くことができていたが、現在は身体能力の低下から移動は車いすを使用。
旦那様の手伝いのもとベッドから車いすへ移っている。依存的でほぼ全介助を要す。</v>
      </c>
      <c r="EG10" s="4"/>
      <c r="EH10" s="4" t="str">
        <f ca="1">IFERROR(__xludf.DUMMYFUNCTION("""COMPUTED_VALUE"""),"入力")</f>
        <v>入力</v>
      </c>
      <c r="EI10" s="4" t="str">
        <f ca="1">IFERROR(__xludf.DUMMYFUNCTION("""COMPUTED_VALUE"""),"入力")</f>
        <v>入力</v>
      </c>
      <c r="EJ10" s="4" t="str">
        <f ca="1">IFERROR(__xludf.DUMMYFUNCTION("""COMPUTED_VALUE"""),"経口摂取")</f>
        <v>経口摂取</v>
      </c>
      <c r="EK10" s="4" t="str">
        <f ca="1">IFERROR(__xludf.DUMMYFUNCTION("""COMPUTED_VALUE"""),"自立")</f>
        <v>自立</v>
      </c>
      <c r="EL10" s="4" t="str">
        <f ca="1">IFERROR(__xludf.DUMMYFUNCTION("""COMPUTED_VALUE"""),"できる")</f>
        <v>できる</v>
      </c>
      <c r="EM10" s="4" t="str">
        <f ca="1">IFERROR(__xludf.DUMMYFUNCTION("""COMPUTED_VALUE"""),"普通")</f>
        <v>普通</v>
      </c>
      <c r="EN10" s="4" t="str">
        <f ca="1">IFERROR(__xludf.DUMMYFUNCTION("""COMPUTED_VALUE"""),"普通")</f>
        <v>普通</v>
      </c>
      <c r="EO10" s="4" t="str">
        <f ca="1">IFERROR(__xludf.DUMMYFUNCTION("""COMPUTED_VALUE"""),"無")</f>
        <v>無</v>
      </c>
      <c r="EP10" s="4" t="str">
        <f ca="1">IFERROR(__xludf.DUMMYFUNCTION("""COMPUTED_VALUE"""),"無")</f>
        <v>無</v>
      </c>
      <c r="EQ10" s="4" t="str">
        <f ca="1">IFERROR(__xludf.DUMMYFUNCTION("""COMPUTED_VALUE"""),"箸 , スプーン")</f>
        <v>箸 , スプーン</v>
      </c>
      <c r="ER10" s="4" t="str">
        <f ca="1">IFERROR(__xludf.DUMMYFUNCTION("""COMPUTED_VALUE"""),"特になし。")</f>
        <v>特になし。</v>
      </c>
      <c r="ES10" s="4"/>
      <c r="ET10" s="4" t="str">
        <f ca="1">IFERROR(__xludf.DUMMYFUNCTION("""COMPUTED_VALUE"""),"入力")</f>
        <v>入力</v>
      </c>
      <c r="EU10" s="4" t="str">
        <f ca="1">IFERROR(__xludf.DUMMYFUNCTION("""COMPUTED_VALUE"""),"一部介助")</f>
        <v>一部介助</v>
      </c>
      <c r="EV10" s="4"/>
      <c r="EW10" s="4" t="str">
        <f ca="1">IFERROR(__xludf.DUMMYFUNCTION("""COMPUTED_VALUE"""),"無")</f>
        <v>無</v>
      </c>
      <c r="EX10" s="4"/>
      <c r="EY10" s="4"/>
      <c r="EZ10" s="4" t="str">
        <f ca="1">IFERROR(__xludf.DUMMYFUNCTION("""COMPUTED_VALUE"""),"元々、促しがあればご自身で行えていたものの現在どのように行っているかは今後確認が必要。")</f>
        <v>元々、促しがあればご自身で行えていたものの現在どのように行っているかは今後確認が必要。</v>
      </c>
      <c r="FA10" s="4"/>
      <c r="FB10" s="4" t="str">
        <f ca="1">IFERROR(__xludf.DUMMYFUNCTION("""COMPUTED_VALUE"""),"入力")</f>
        <v>入力</v>
      </c>
      <c r="FC10" s="4" t="str">
        <f ca="1">IFERROR(__xludf.DUMMYFUNCTION("""COMPUTED_VALUE"""),"全介助")</f>
        <v>全介助</v>
      </c>
      <c r="FD10" s="4" t="str">
        <f ca="1">IFERROR(__xludf.DUMMYFUNCTION("""COMPUTED_VALUE"""),"寝台浴")</f>
        <v>寝台浴</v>
      </c>
      <c r="FE10" s="4" t="str">
        <f ca="1">IFERROR(__xludf.DUMMYFUNCTION("""COMPUTED_VALUE"""),"無")</f>
        <v>無</v>
      </c>
      <c r="FF10" s="4"/>
      <c r="FG10" s="4" t="str">
        <f ca="1">IFERROR(__xludf.DUMMYFUNCTION("""COMPUTED_VALUE"""),"全介助")</f>
        <v>全介助</v>
      </c>
      <c r="FH10" s="4" t="str">
        <f ca="1">IFERROR(__xludf.DUMMYFUNCTION("""COMPUTED_VALUE"""),"全介助")</f>
        <v>全介助</v>
      </c>
      <c r="FI10" s="4" t="str">
        <f ca="1">IFERROR(__xludf.DUMMYFUNCTION("""COMPUTED_VALUE"""),"今まで入浴はデイサービスで行っていたが、デイサービスへの移動も身体的に大変になってきたため、今後は訪問入浴に切り替えることとなった。")</f>
        <v>今まで入浴はデイサービスで行っていたが、デイサービスへの移動も身体的に大変になってきたため、今後は訪問入浴に切り替えることとなった。</v>
      </c>
      <c r="FJ10" s="4"/>
      <c r="FK10" s="4" t="str">
        <f ca="1">IFERROR(__xludf.DUMMYFUNCTION("""COMPUTED_VALUE"""),"入力")</f>
        <v>入力</v>
      </c>
      <c r="FL10" s="4" t="str">
        <f ca="1">IFERROR(__xludf.DUMMYFUNCTION("""COMPUTED_VALUE"""),"全介助")</f>
        <v>全介助</v>
      </c>
      <c r="FM10" s="4" t="str">
        <f ca="1">IFERROR(__xludf.DUMMYFUNCTION("""COMPUTED_VALUE"""),"有")</f>
        <v>有</v>
      </c>
      <c r="FN10" s="4" t="str">
        <f ca="1">IFERROR(__xludf.DUMMYFUNCTION("""COMPUTED_VALUE"""),"有")</f>
        <v>有</v>
      </c>
      <c r="FO10" s="4" t="str">
        <f ca="1">IFERROR(__xludf.DUMMYFUNCTION("""COMPUTED_VALUE"""),"有")</f>
        <v>有</v>
      </c>
      <c r="FP10" s="4" t="str">
        <f ca="1">IFERROR(__xludf.DUMMYFUNCTION("""COMPUTED_VALUE"""),"有")</f>
        <v>有</v>
      </c>
      <c r="FQ10" s="4" t="str">
        <f ca="1">IFERROR(__xludf.DUMMYFUNCTION("""COMPUTED_VALUE"""),"普通便")</f>
        <v>普通便</v>
      </c>
      <c r="FR10" s="4" t="str">
        <f ca="1">IFERROR(__xludf.DUMMYFUNCTION("""COMPUTED_VALUE"""),"トイレ , オムツ")</f>
        <v>トイレ , オムツ</v>
      </c>
      <c r="FS10" s="4" t="str">
        <f ca="1">IFERROR(__xludf.DUMMYFUNCTION("""COMPUTED_VALUE"""),"トイレ , オムツ")</f>
        <v>トイレ , オムツ</v>
      </c>
      <c r="FT10" s="4" t="str">
        <f ca="1">IFERROR(__xludf.DUMMYFUNCTION("""COMPUTED_VALUE"""),"紙おむつ , 大パット")</f>
        <v>紙おむつ , 大パット</v>
      </c>
      <c r="FU10" s="4" t="str">
        <f ca="1">IFERROR(__xludf.DUMMYFUNCTION("""COMPUTED_VALUE"""),"基本的には紙おむつ、大パットを使用して訪問介護や旦那様が交換を行っている。ただ尿意もあり時折トイレに行きたいと希望があるためその際は旦那様がトイレへ連れていくこともある。")</f>
        <v>基本的には紙おむつ、大パットを使用して訪問介護や旦那様が交換を行っている。ただ尿意もあり時折トイレに行きたいと希望があるためその際は旦那様がトイレへ連れていくこともある。</v>
      </c>
      <c r="FV10" s="4"/>
      <c r="FW10" s="4"/>
      <c r="FX10" s="4" t="str">
        <f ca="1">IFERROR(__xludf.DUMMYFUNCTION("""COMPUTED_VALUE"""),"入力")</f>
        <v>入力</v>
      </c>
      <c r="FY10" s="4" t="str">
        <f ca="1">IFERROR(__xludf.DUMMYFUNCTION("""COMPUTED_VALUE"""),"全介助")</f>
        <v>全介助</v>
      </c>
      <c r="FZ10" s="4" t="str">
        <f ca="1">IFERROR(__xludf.DUMMYFUNCTION("""COMPUTED_VALUE"""),"全介助")</f>
        <v>全介助</v>
      </c>
      <c r="GA10" s="4" t="str">
        <f ca="1">IFERROR(__xludf.DUMMYFUNCTION("""COMPUTED_VALUE"""),"全介助")</f>
        <v>全介助</v>
      </c>
      <c r="GB10" s="4" t="str">
        <f ca="1">IFERROR(__xludf.DUMMYFUNCTION("""COMPUTED_VALUE"""),"全介助")</f>
        <v>全介助</v>
      </c>
      <c r="GC10" s="4" t="str">
        <f ca="1">IFERROR(__xludf.DUMMYFUNCTION("""COMPUTED_VALUE"""),"全介助")</f>
        <v>全介助</v>
      </c>
      <c r="GD10" s="4" t="str">
        <f ca="1">IFERROR(__xludf.DUMMYFUNCTION("""COMPUTED_VALUE"""),"旦那様や娘様が行っている。")</f>
        <v>旦那様や娘様が行っている。</v>
      </c>
      <c r="GE10" s="4"/>
      <c r="GF10" s="4"/>
      <c r="GG10" s="4" t="str">
        <f ca="1">IFERROR(__xludf.DUMMYFUNCTION("""COMPUTED_VALUE"""),"令和7年6月～8月にかけて体重が約10ｋｇ程度低下。熱発も時折繰り返し体調を崩される頻度が増えて来ている。
8/21にDrより現状と今後について軽く話があり、ご家族様としては、治療して治るのであれば入院など治療してほしいが、老衰で弱っていくのであれば自宅で最後まで自宅でみたい。と希望がある。")</f>
        <v>令和7年6月～8月にかけて体重が約10ｋｇ程度低下。熱発も時折繰り返し体調を崩される頻度が増えて来ている。
8/21にDrより現状と今後について軽く話があり、ご家族様としては、治療して治るのであれば入院など治療してほしいが、老衰で弱っていくのであれば自宅で最後まで自宅でみたい。と希望がある。</v>
      </c>
      <c r="GH10" s="4">
        <f ca="1">IFERROR(__xludf.DUMMYFUNCTION("""COMPUTED_VALUE"""),30)</f>
        <v>30</v>
      </c>
      <c r="GI10" s="4"/>
    </row>
    <row r="11" spans="1:191">
      <c r="A11" s="4"/>
      <c r="B11" s="4"/>
      <c r="C11" s="4" t="str">
        <f ca="1">IFERROR(__xludf.DUMMYFUNCTION("""COMPUTED_VALUE"""),"田端　彦三")</f>
        <v>田端　彦三</v>
      </c>
      <c r="D11" s="4" t="str">
        <f ca="1">IFERROR(__xludf.DUMMYFUNCTION("""COMPUTED_VALUE"""),"2f3af2b2")</f>
        <v>2f3af2b2</v>
      </c>
      <c r="E11" s="4"/>
      <c r="F11" s="4"/>
      <c r="G11" s="4"/>
      <c r="H11" s="4"/>
      <c r="I11" s="5">
        <f ca="1">IFERROR(__xludf.DUMMYFUNCTION("""COMPUTED_VALUE"""),45554)</f>
        <v>45554</v>
      </c>
      <c r="J11" s="4" t="str">
        <f ca="1">IFERROR(__xludf.DUMMYFUNCTION("""COMPUTED_VALUE"""),"山川　和輝")</f>
        <v>山川　和輝</v>
      </c>
      <c r="K11" s="4" t="str">
        <f ca="1">IFERROR(__xludf.DUMMYFUNCTION("""COMPUTED_VALUE"""),"ケアマネ変更")</f>
        <v>ケアマネ変更</v>
      </c>
      <c r="L11" s="4" t="str">
        <f ca="1">IFERROR(__xludf.DUMMYFUNCTION("""COMPUTED_VALUE"""),"本人の居室")</f>
        <v>本人の居室</v>
      </c>
      <c r="M11" s="4" t="str">
        <f ca="1">IFERROR(__xludf.DUMMYFUNCTION("""COMPUTED_VALUE"""),"定年まで県職員（学校事務）をしていた。25歳で結婚し2女を出生。子供が嫁いでからは夫婦で2人暮らし。H26.3にサ高住に夫婦で入居。かねてから長女の住む津市に移りたいと希望していた。妻が介護状態となったため夫婦で生活出来る安濃津ろまんにH27.8.6に妻と一緒に入居。")</f>
        <v>定年まで県職員（学校事務）をしていた。25歳で結婚し2女を出生。子供が嫁いでからは夫婦で2人暮らし。H26.3にサ高住に夫婦で入居。かねてから長女の住む津市に移りたいと希望していた。妻が介護状態となったため夫婦で生活出来る安濃津ろまんにH27.8.6に妻と一緒に入居。</v>
      </c>
      <c r="N11" s="4" t="str">
        <f ca="1">IFERROR(__xludf.DUMMYFUNCTION("""COMPUTED_VALUE"""),"痛みが強くて歩くことができなくなりました。この痛みがなくなればよいのですが。")</f>
        <v>痛みが強くて歩くことができなくなりました。この痛みがなくなればよいのですが。</v>
      </c>
      <c r="O11" s="4" t="str">
        <f ca="1">IFERROR(__xludf.DUMMYFUNCTION("""COMPUTED_VALUE"""),"物忘れがひどくなって来ているので、これ以上悪化しないようにしてほしい。")</f>
        <v>物忘れがひどくなって来ているので、これ以上悪化しないようにしてほしい。</v>
      </c>
      <c r="P11" s="4"/>
      <c r="Q11" s="4" t="str">
        <f ca="1">IFERROR(__xludf.DUMMYFUNCTION("""COMPUTED_VALUE"""),"入力")</f>
        <v>入力</v>
      </c>
      <c r="R11" s="4" t="str">
        <f ca="1">IFERROR(__xludf.DUMMYFUNCTION("""COMPUTED_VALUE"""),"要介護４")</f>
        <v>要介護４</v>
      </c>
      <c r="S11" s="4" t="str">
        <f ca="1">IFERROR(__xludf.DUMMYFUNCTION("""COMPUTED_VALUE"""),"令和6年4月4日")</f>
        <v>令和6年4月4日</v>
      </c>
      <c r="T11" s="4" t="str">
        <f ca="1">IFERROR(__xludf.DUMMYFUNCTION("""COMPUTED_VALUE"""),"令和6年3月1日")</f>
        <v>令和6年3月1日</v>
      </c>
      <c r="U11" s="4" t="str">
        <f ca="1">IFERROR(__xludf.DUMMYFUNCTION("""COMPUTED_VALUE"""),"令和8年2月28日")</f>
        <v>令和8年2月28日</v>
      </c>
      <c r="V11" s="4" t="str">
        <f ca="1">IFERROR(__xludf.DUMMYFUNCTION("""COMPUTED_VALUE"""),"１割負担")</f>
        <v>１割負担</v>
      </c>
      <c r="W11" s="4" t="str">
        <f ca="1">IFERROR(__xludf.DUMMYFUNCTION("""COMPUTED_VALUE"""),"後期高齢者医療保険")</f>
        <v>後期高齢者医療保険</v>
      </c>
      <c r="X11" s="4" t="str">
        <f ca="1">IFERROR(__xludf.DUMMYFUNCTION("""COMPUTED_VALUE"""),"無")</f>
        <v>無</v>
      </c>
      <c r="Y11" s="4"/>
      <c r="Z11" s="4" t="str">
        <f ca="1">IFERROR(__xludf.DUMMYFUNCTION("""COMPUTED_VALUE"""),"無")</f>
        <v>無</v>
      </c>
      <c r="AA11" s="4" t="str">
        <f ca="1">IFERROR(__xludf.DUMMYFUNCTION("""COMPUTED_VALUE"""),"無")</f>
        <v>無</v>
      </c>
      <c r="AB11" s="4"/>
      <c r="AC11" s="4"/>
      <c r="AD11" s="4"/>
      <c r="AE11" s="4" t="str">
        <f ca="1">IFERROR(__xludf.DUMMYFUNCTION("""COMPUTED_VALUE"""),"入力")</f>
        <v>入力</v>
      </c>
      <c r="AF11" s="4" t="str">
        <f ca="1">IFERROR(__xludf.DUMMYFUNCTION("""COMPUTED_VALUE"""),"上野　ひと美")</f>
        <v>上野　ひと美</v>
      </c>
      <c r="AG11" s="4" t="str">
        <f ca="1">IFERROR(__xludf.DUMMYFUNCTION("""COMPUTED_VALUE"""),"長女")</f>
        <v>長女</v>
      </c>
      <c r="AH11" s="4"/>
      <c r="AI11" s="4" t="str">
        <f ca="1">IFERROR(__xludf.DUMMYFUNCTION("""COMPUTED_VALUE"""),"別居")</f>
        <v>別居</v>
      </c>
      <c r="AJ11" s="4" t="str">
        <f ca="1">IFERROR(__xludf.DUMMYFUNCTION("""COMPUTED_VALUE"""),"介護する")</f>
        <v>介護する</v>
      </c>
      <c r="AK11" s="4" t="str">
        <f ca="1">IFERROR(__xludf.DUMMYFUNCTION("""COMPUTED_VALUE"""),"無")</f>
        <v>無</v>
      </c>
      <c r="AL11" s="4" t="str">
        <f ca="1">IFERROR(__xludf.DUMMYFUNCTION("""COMPUTED_VALUE"""),"080-4522-3418")</f>
        <v>080-4522-3418</v>
      </c>
      <c r="AM11" s="4" t="str">
        <f ca="1">IFERROR(__xludf.DUMMYFUNCTION("""COMPUTED_VALUE"""),"KP")</f>
        <v>KP</v>
      </c>
      <c r="AN11" s="4" t="str">
        <f ca="1">IFERROR(__xludf.DUMMYFUNCTION("""COMPUTED_VALUE"""),"中山　由美")</f>
        <v>中山　由美</v>
      </c>
      <c r="AO11" s="4" t="str">
        <f ca="1">IFERROR(__xludf.DUMMYFUNCTION("""COMPUTED_VALUE"""),"次女")</f>
        <v>次女</v>
      </c>
      <c r="AP11" s="4"/>
      <c r="AQ11" s="4" t="str">
        <f ca="1">IFERROR(__xludf.DUMMYFUNCTION("""COMPUTED_VALUE"""),"別居")</f>
        <v>別居</v>
      </c>
      <c r="AR11" s="4"/>
      <c r="AS11" s="4"/>
      <c r="AT11" s="4" t="str">
        <f ca="1">IFERROR(__xludf.DUMMYFUNCTION("""COMPUTED_VALUE"""),"090-9183-3054")</f>
        <v>090-9183-3054</v>
      </c>
      <c r="AU11" s="4"/>
      <c r="AV11" s="4"/>
      <c r="AW11" s="4" t="str">
        <f ca="1">IFERROR(__xludf.DUMMYFUNCTION("""COMPUTED_VALUE"""),"入力")</f>
        <v>入力</v>
      </c>
      <c r="AX11" s="4" t="str">
        <f ca="1">IFERROR(__xludf.DUMMYFUNCTION("""COMPUTED_VALUE"""),"一人暮らし")</f>
        <v>一人暮らし</v>
      </c>
      <c r="AY11" s="4" t="str">
        <f ca="1">IFERROR(__xludf.DUMMYFUNCTION("""COMPUTED_VALUE"""),"集合住宅")</f>
        <v>集合住宅</v>
      </c>
      <c r="AZ11" s="4" t="str">
        <f ca="1">IFERROR(__xludf.DUMMYFUNCTION("""COMPUTED_VALUE"""),"エレベーター有")</f>
        <v>エレベーター有</v>
      </c>
      <c r="BA11" s="4" t="str">
        <f ca="1">IFERROR(__xludf.DUMMYFUNCTION("""COMPUTED_VALUE"""),"賃貸")</f>
        <v>賃貸</v>
      </c>
      <c r="BB11" s="4" t="str">
        <f ca="1">IFERROR(__xludf.DUMMYFUNCTION("""COMPUTED_VALUE"""),"有")</f>
        <v>有</v>
      </c>
      <c r="BC11" s="4" t="str">
        <f ca="1">IFERROR(__xludf.DUMMYFUNCTION("""COMPUTED_VALUE"""),"有")</f>
        <v>有</v>
      </c>
      <c r="BD11" s="4" t="str">
        <f ca="1">IFERROR(__xludf.DUMMYFUNCTION("""COMPUTED_VALUE"""),"ウォシュレット")</f>
        <v>ウォシュレット</v>
      </c>
      <c r="BE11" s="4"/>
      <c r="BF11" s="4"/>
      <c r="BG11" s="4" t="str">
        <f ca="1">IFERROR(__xludf.DUMMYFUNCTION("""COMPUTED_VALUE"""),"有")</f>
        <v>有</v>
      </c>
      <c r="BH11" s="4" t="str">
        <f ca="1">IFERROR(__xludf.DUMMYFUNCTION("""COMPUTED_VALUE"""),"手すり有")</f>
        <v>手すり有</v>
      </c>
      <c r="BI11" s="4" t="str">
        <f ca="1">IFERROR(__xludf.DUMMYFUNCTION("""COMPUTED_VALUE"""),"リクライニングベッド")</f>
        <v>リクライニングベッド</v>
      </c>
      <c r="BJ11" s="4" t="str">
        <f ca="1">IFERROR(__xludf.DUMMYFUNCTION("""COMPUTED_VALUE"""),"無")</f>
        <v>無</v>
      </c>
      <c r="BK11" s="4" t="str">
        <f ca="1">IFERROR(__xludf.DUMMYFUNCTION("""COMPUTED_VALUE"""),"無")</f>
        <v>無</v>
      </c>
      <c r="BL11" s="4" t="str">
        <f ca="1">IFERROR(__xludf.DUMMYFUNCTION("""COMPUTED_VALUE"""),"無")</f>
        <v>無</v>
      </c>
      <c r="BM11" s="4"/>
      <c r="BN11" s="4"/>
      <c r="BO11" s="4" t="str">
        <f ca="1">IFERROR(__xludf.DUMMYFUNCTION("""COMPUTED_VALUE"""),"入力")</f>
        <v>入力</v>
      </c>
      <c r="BP11" s="4" t="str">
        <f ca="1">IFERROR(__xludf.DUMMYFUNCTION("""COMPUTED_VALUE"""),"訪問介護 , 訪問看護 , 訪問リハ , 通所介護")</f>
        <v>訪問介護 , 訪問看護 , 訪問リハ , 通所介護</v>
      </c>
      <c r="BQ11" s="4" t="str">
        <f ca="1">IFERROR(__xludf.DUMMYFUNCTION("""COMPUTED_VALUE"""),"特殊寝台 , 特殊寝台付属品 , 手すり , 歩行器")</f>
        <v>特殊寝台 , 特殊寝台付属品 , 手すり , 歩行器</v>
      </c>
      <c r="BR11" s="4"/>
      <c r="BS11" s="4" t="str">
        <f ca="1">IFERROR(__xludf.DUMMYFUNCTION("""COMPUTED_VALUE"""),"食事支援 , リネンリース , 洗濯 , 居室清掃")</f>
        <v>食事支援 , リネンリース , 洗濯 , 居室清掃</v>
      </c>
      <c r="BT11" s="4" t="str">
        <f ca="1">IFERROR(__xludf.DUMMYFUNCTION("""COMPUTED_VALUE"""),"デイサービスを利用され、他者との交流もある。")</f>
        <v>デイサービスを利用され、他者との交流もある。</v>
      </c>
      <c r="BU11" s="4"/>
      <c r="BV11" s="4"/>
      <c r="BW11" s="4" t="str">
        <f ca="1">IFERROR(__xludf.DUMMYFUNCTION("""COMPUTED_VALUE"""),"入力")</f>
        <v>入力</v>
      </c>
      <c r="BX11" s="4"/>
      <c r="BY11" s="4"/>
      <c r="BZ11" s="4"/>
      <c r="CA11" s="4"/>
      <c r="CB11" s="4"/>
      <c r="CC11" s="4"/>
      <c r="CD11" s="4"/>
      <c r="CE11" s="4"/>
      <c r="CF11" s="4"/>
      <c r="CG11" s="4"/>
      <c r="CH11" s="4"/>
      <c r="CI11" s="4"/>
      <c r="CJ11" s="4"/>
      <c r="CK11" s="4"/>
      <c r="CL11" s="4"/>
      <c r="CM11" s="4"/>
      <c r="CN11" s="4"/>
      <c r="CO11" s="4"/>
      <c r="CP11" s="4"/>
      <c r="CQ11" s="4"/>
      <c r="CR11" s="4"/>
      <c r="CS11" s="4"/>
      <c r="CT11" s="4"/>
      <c r="CU11" s="4"/>
      <c r="CV11" s="4"/>
      <c r="CW11" s="4"/>
      <c r="CX11" s="4" t="str">
        <f ca="1">IFERROR(__xludf.DUMMYFUNCTION("""COMPUTED_VALUE"""),"入力")</f>
        <v>入力</v>
      </c>
      <c r="CY11" s="4" t="str">
        <f ca="1">IFERROR(__xludf.DUMMYFUNCTION("""COMPUTED_VALUE"""),"無")</f>
        <v>無</v>
      </c>
      <c r="CZ11" s="4" t="str">
        <f ca="1">IFERROR(__xludf.DUMMYFUNCTION("""COMPUTED_VALUE"""),"無")</f>
        <v>無</v>
      </c>
      <c r="DA11" s="4" t="str">
        <f ca="1">IFERROR(__xludf.DUMMYFUNCTION("""COMPUTED_VALUE"""),"無")</f>
        <v>無</v>
      </c>
      <c r="DB11" s="4" t="str">
        <f ca="1">IFERROR(__xludf.DUMMYFUNCTION("""COMPUTED_VALUE"""),"なし")</f>
        <v>なし</v>
      </c>
      <c r="DC11" s="4" t="str">
        <f ca="1">IFERROR(__xludf.DUMMYFUNCTION("""COMPUTED_VALUE"""),"両下肢")</f>
        <v>両下肢</v>
      </c>
      <c r="DD11" s="4"/>
      <c r="DE11" s="4"/>
      <c r="DF11" s="4" t="str">
        <f ca="1">IFERROR(__xludf.DUMMYFUNCTION("""COMPUTED_VALUE"""),"大きい字は可")</f>
        <v>大きい字は可</v>
      </c>
      <c r="DG11" s="4" t="str">
        <f ca="1">IFERROR(__xludf.DUMMYFUNCTION("""COMPUTED_VALUE"""),"有")</f>
        <v>有</v>
      </c>
      <c r="DH11" s="4" t="str">
        <f ca="1">IFERROR(__xludf.DUMMYFUNCTION("""COMPUTED_VALUE"""),"正常")</f>
        <v>正常</v>
      </c>
      <c r="DI11" s="4" t="str">
        <f ca="1">IFERROR(__xludf.DUMMYFUNCTION("""COMPUTED_VALUE"""),"無")</f>
        <v>無</v>
      </c>
      <c r="DJ11" s="4" t="str">
        <f ca="1">IFERROR(__xludf.DUMMYFUNCTION("""COMPUTED_VALUE"""),"坐骨神経痛の影響により両下肢に痛みがある。改善と悪化を繰り返しているが、現在はひどかった時期と比較して痛みは少ない。")</f>
        <v>坐骨神経痛の影響により両下肢に痛みがある。改善と悪化を繰り返しているが、現在はひどかった時期と比較して痛みは少ない。</v>
      </c>
      <c r="DK11" s="4"/>
      <c r="DL11" s="4" t="str">
        <f ca="1">IFERROR(__xludf.DUMMYFUNCTION("""COMPUTED_VALUE"""),"入力")</f>
        <v>入力</v>
      </c>
      <c r="DM11" s="4" t="str">
        <f ca="1">IFERROR(__xludf.DUMMYFUNCTION("""COMPUTED_VALUE"""),"有")</f>
        <v>有</v>
      </c>
      <c r="DN11" s="4" t="str">
        <f ca="1">IFERROR(__xludf.DUMMYFUNCTION("""COMPUTED_VALUE"""),"中等度")</f>
        <v>中等度</v>
      </c>
      <c r="DO11" s="4" t="str">
        <f ca="1">IFERROR(__xludf.DUMMYFUNCTION("""COMPUTED_VALUE"""),"被害妄想 , 作話 , 感情の不安定 , ひどい物忘れ")</f>
        <v>被害妄想 , 作話 , 感情の不安定 , ひどい物忘れ</v>
      </c>
      <c r="DP11" s="4" t="str">
        <f ca="1">IFERROR(__xludf.DUMMYFUNCTION("""COMPUTED_VALUE"""),"不明瞭")</f>
        <v>不明瞭</v>
      </c>
      <c r="DQ11" s="4" t="str">
        <f ca="1">IFERROR(__xludf.DUMMYFUNCTION("""COMPUTED_VALUE"""),"可能")</f>
        <v>可能</v>
      </c>
      <c r="DR11" s="4" t="str">
        <f ca="1">IFERROR(__xludf.DUMMYFUNCTION("""COMPUTED_VALUE"""),"認知機能は中等度の低下があり、特に見当識が落ちている。精神症状として、物盗られ妄想や、作話がある。また髭剃りや部屋の鍵を置いた場所が分からなくなることが度々あり。物忘れは自覚しており、それにより感情が不安定になることもある。")</f>
        <v>認知機能は中等度の低下があり、特に見当識が落ちている。精神症状として、物盗られ妄想や、作話がある。また髭剃りや部屋の鍵を置いた場所が分からなくなることが度々あり。物忘れは自覚しており、それにより感情が不安定になることもある。</v>
      </c>
      <c r="DS11" s="4"/>
      <c r="DT11" s="4"/>
      <c r="DU11" s="4" t="str">
        <f ca="1">IFERROR(__xludf.DUMMYFUNCTION("""COMPUTED_VALUE"""),"入力")</f>
        <v>入力</v>
      </c>
      <c r="DV11" s="4" t="str">
        <f ca="1">IFERROR(__xludf.DUMMYFUNCTION("""COMPUTED_VALUE"""),"何かにつかまればできる")</f>
        <v>何かにつかまればできる</v>
      </c>
      <c r="DW11" s="4" t="str">
        <f ca="1">IFERROR(__xludf.DUMMYFUNCTION("""COMPUTED_VALUE"""),"何かにつかまればできる")</f>
        <v>何かにつかまればできる</v>
      </c>
      <c r="DX11" s="4" t="str">
        <f ca="1">IFERROR(__xludf.DUMMYFUNCTION("""COMPUTED_VALUE"""),"自分の手で支えればできる")</f>
        <v>自分の手で支えればできる</v>
      </c>
      <c r="DY11" s="4" t="str">
        <f ca="1">IFERROR(__xludf.DUMMYFUNCTION("""COMPUTED_VALUE"""),"何かにつかまればできる")</f>
        <v>何かにつかまればできる</v>
      </c>
      <c r="DZ11" s="4" t="str">
        <f ca="1">IFERROR(__xludf.DUMMYFUNCTION("""COMPUTED_VALUE"""),"何か支えがあればできる")</f>
        <v>何か支えがあればできる</v>
      </c>
      <c r="EA11" s="4" t="str">
        <f ca="1">IFERROR(__xludf.DUMMYFUNCTION("""COMPUTED_VALUE"""),"自立")</f>
        <v>自立</v>
      </c>
      <c r="EB11" s="4" t="str">
        <f ca="1">IFERROR(__xludf.DUMMYFUNCTION("""COMPUTED_VALUE"""),"自立")</f>
        <v>自立</v>
      </c>
      <c r="EC11" s="4" t="str">
        <f ca="1">IFERROR(__xludf.DUMMYFUNCTION("""COMPUTED_VALUE"""),"歩行器")</f>
        <v>歩行器</v>
      </c>
      <c r="ED11" s="4" t="str">
        <f ca="1">IFERROR(__xludf.DUMMYFUNCTION("""COMPUTED_VALUE"""),"全介助")</f>
        <v>全介助</v>
      </c>
      <c r="EE11" s="4" t="str">
        <f ca="1">IFERROR(__xludf.DUMMYFUNCTION("""COMPUTED_VALUE"""),"車椅子")</f>
        <v>車椅子</v>
      </c>
      <c r="EF11" s="4" t="str">
        <f ca="1">IFERROR(__xludf.DUMMYFUNCTION("""COMPUTED_VALUE"""),"起居動作は、手すり等を把持することでご自身で可能。移動も歩行器を使用することで比較的安全に移動できているものの、居室内で歩行器を使用せず伝い歩きで歩くこともあり、転倒も多く見られている。
また、坐骨神経痛の影響により、歩行器で移動ができなくなることがあり、その場合は車いすを使用されていた。")</f>
        <v>起居動作は、手すり等を把持することでご自身で可能。移動も歩行器を使用することで比較的安全に移動できているものの、居室内で歩行器を使用せず伝い歩きで歩くこともあり、転倒も多く見られている。
また、坐骨神経痛の影響により、歩行器で移動ができなくなることがあり、その場合は車いすを使用されていた。</v>
      </c>
      <c r="EG11" s="4"/>
      <c r="EH11" s="4" t="str">
        <f ca="1">IFERROR(__xludf.DUMMYFUNCTION("""COMPUTED_VALUE"""),"入力")</f>
        <v>入力</v>
      </c>
      <c r="EI11" s="4" t="str">
        <f ca="1">IFERROR(__xludf.DUMMYFUNCTION("""COMPUTED_VALUE"""),"入力")</f>
        <v>入力</v>
      </c>
      <c r="EJ11" s="4" t="str">
        <f ca="1">IFERROR(__xludf.DUMMYFUNCTION("""COMPUTED_VALUE"""),"経口摂取")</f>
        <v>経口摂取</v>
      </c>
      <c r="EK11" s="4" t="str">
        <f ca="1">IFERROR(__xludf.DUMMYFUNCTION("""COMPUTED_VALUE"""),"自立")</f>
        <v>自立</v>
      </c>
      <c r="EL11" s="4" t="str">
        <f ca="1">IFERROR(__xludf.DUMMYFUNCTION("""COMPUTED_VALUE"""),"できる")</f>
        <v>できる</v>
      </c>
      <c r="EM11" s="4" t="str">
        <f ca="1">IFERROR(__xludf.DUMMYFUNCTION("""COMPUTED_VALUE"""),"普通")</f>
        <v>普通</v>
      </c>
      <c r="EN11" s="4" t="str">
        <f ca="1">IFERROR(__xludf.DUMMYFUNCTION("""COMPUTED_VALUE"""),"普通")</f>
        <v>普通</v>
      </c>
      <c r="EO11" s="4" t="str">
        <f ca="1">IFERROR(__xludf.DUMMYFUNCTION("""COMPUTED_VALUE"""),"無")</f>
        <v>無</v>
      </c>
      <c r="EP11" s="4" t="str">
        <f ca="1">IFERROR(__xludf.DUMMYFUNCTION("""COMPUTED_VALUE"""),"無")</f>
        <v>無</v>
      </c>
      <c r="EQ11" s="4" t="str">
        <f ca="1">IFERROR(__xludf.DUMMYFUNCTION("""COMPUTED_VALUE"""),"箸 , スプーン")</f>
        <v>箸 , スプーン</v>
      </c>
      <c r="ER11" s="4" t="str">
        <f ca="1">IFERROR(__xludf.DUMMYFUNCTION("""COMPUTED_VALUE"""),"特になし。")</f>
        <v>特になし。</v>
      </c>
      <c r="ES11" s="4"/>
      <c r="ET11" s="4" t="str">
        <f ca="1">IFERROR(__xludf.DUMMYFUNCTION("""COMPUTED_VALUE"""),"入力")</f>
        <v>入力</v>
      </c>
      <c r="EU11" s="4" t="str">
        <f ca="1">IFERROR(__xludf.DUMMYFUNCTION("""COMPUTED_VALUE"""),"自立")</f>
        <v>自立</v>
      </c>
      <c r="EV11" s="4"/>
      <c r="EW11" s="4" t="str">
        <f ca="1">IFERROR(__xludf.DUMMYFUNCTION("""COMPUTED_VALUE"""),"有")</f>
        <v>有</v>
      </c>
      <c r="EX11" s="4" t="str">
        <f ca="1">IFERROR(__xludf.DUMMYFUNCTION("""COMPUTED_VALUE"""),"部分義歯")</f>
        <v>部分義歯</v>
      </c>
      <c r="EY11" s="4" t="str">
        <f ca="1">IFERROR(__xludf.DUMMYFUNCTION("""COMPUTED_VALUE"""),"上下")</f>
        <v>上下</v>
      </c>
      <c r="EZ11" s="4" t="str">
        <f ca="1">IFERROR(__xludf.DUMMYFUNCTION("""COMPUTED_VALUE"""),"義歯の洗浄は毎日は行われていないものの、ご自身で気になった際に行うことができている。")</f>
        <v>義歯の洗浄は毎日は行われていないものの、ご自身で気になった際に行うことができている。</v>
      </c>
      <c r="FA11" s="4"/>
      <c r="FB11" s="4" t="str">
        <f ca="1">IFERROR(__xludf.DUMMYFUNCTION("""COMPUTED_VALUE"""),"入力")</f>
        <v>入力</v>
      </c>
      <c r="FC11" s="4" t="str">
        <f ca="1">IFERROR(__xludf.DUMMYFUNCTION("""COMPUTED_VALUE"""),"自立")</f>
        <v>自立</v>
      </c>
      <c r="FD11" s="4" t="str">
        <f ca="1">IFERROR(__xludf.DUMMYFUNCTION("""COMPUTED_VALUE"""),"チェアー浴")</f>
        <v>チェアー浴</v>
      </c>
      <c r="FE11" s="4" t="str">
        <f ca="1">IFERROR(__xludf.DUMMYFUNCTION("""COMPUTED_VALUE"""),"無")</f>
        <v>無</v>
      </c>
      <c r="FF11" s="4"/>
      <c r="FG11" s="4" t="str">
        <f ca="1">IFERROR(__xludf.DUMMYFUNCTION("""COMPUTED_VALUE"""),"自立")</f>
        <v>自立</v>
      </c>
      <c r="FH11" s="4" t="str">
        <f ca="1">IFERROR(__xludf.DUMMYFUNCTION("""COMPUTED_VALUE"""),"自立")</f>
        <v>自立</v>
      </c>
      <c r="FI11" s="4" t="str">
        <f ca="1">IFERROR(__xludf.DUMMYFUNCTION("""COMPUTED_VALUE"""),"入浴はデイサービスを利用時に入浴されている。大浴場を利用。")</f>
        <v>入浴はデイサービスを利用時に入浴されている。大浴場を利用。</v>
      </c>
      <c r="FJ11" s="4"/>
      <c r="FK11" s="4" t="str">
        <f ca="1">IFERROR(__xludf.DUMMYFUNCTION("""COMPUTED_VALUE"""),"入力")</f>
        <v>入力</v>
      </c>
      <c r="FL11" s="4" t="str">
        <f ca="1">IFERROR(__xludf.DUMMYFUNCTION("""COMPUTED_VALUE"""),"自立")</f>
        <v>自立</v>
      </c>
      <c r="FM11" s="4" t="str">
        <f ca="1">IFERROR(__xludf.DUMMYFUNCTION("""COMPUTED_VALUE"""),"有")</f>
        <v>有</v>
      </c>
      <c r="FN11" s="4" t="str">
        <f ca="1">IFERROR(__xludf.DUMMYFUNCTION("""COMPUTED_VALUE"""),"有")</f>
        <v>有</v>
      </c>
      <c r="FO11" s="4" t="str">
        <f ca="1">IFERROR(__xludf.DUMMYFUNCTION("""COMPUTED_VALUE"""),"有")</f>
        <v>有</v>
      </c>
      <c r="FP11" s="4" t="str">
        <f ca="1">IFERROR(__xludf.DUMMYFUNCTION("""COMPUTED_VALUE"""),"無")</f>
        <v>無</v>
      </c>
      <c r="FQ11" s="4"/>
      <c r="FR11" s="4" t="str">
        <f ca="1">IFERROR(__xludf.DUMMYFUNCTION("""COMPUTED_VALUE"""),"トイレ")</f>
        <v>トイレ</v>
      </c>
      <c r="FS11" s="4" t="str">
        <f ca="1">IFERROR(__xludf.DUMMYFUNCTION("""COMPUTED_VALUE"""),"トイレ")</f>
        <v>トイレ</v>
      </c>
      <c r="FT11" s="4" t="str">
        <f ca="1">IFERROR(__xludf.DUMMYFUNCTION("""COMPUTED_VALUE"""),"リハビリパンツ")</f>
        <v>リハビリパンツ</v>
      </c>
      <c r="FU11" s="4" t="str">
        <f ca="1">IFERROR(__xludf.DUMMYFUNCTION("""COMPUTED_VALUE"""),"排泄はご自身で行っているものの、リハビリパンツ内に失禁が見られる。ご自身で交換は可能。")</f>
        <v>排泄はご自身で行っているものの、リハビリパンツ内に失禁が見られる。ご自身で交換は可能。</v>
      </c>
      <c r="FV11" s="4"/>
      <c r="FW11" s="4"/>
      <c r="FX11" s="4" t="str">
        <f ca="1">IFERROR(__xludf.DUMMYFUNCTION("""COMPUTED_VALUE"""),"入力")</f>
        <v>入力</v>
      </c>
      <c r="FY11" s="4" t="str">
        <f ca="1">IFERROR(__xludf.DUMMYFUNCTION("""COMPUTED_VALUE"""),"全介助")</f>
        <v>全介助</v>
      </c>
      <c r="FZ11" s="4" t="str">
        <f ca="1">IFERROR(__xludf.DUMMYFUNCTION("""COMPUTED_VALUE"""),"全介助")</f>
        <v>全介助</v>
      </c>
      <c r="GA11" s="4" t="str">
        <f ca="1">IFERROR(__xludf.DUMMYFUNCTION("""COMPUTED_VALUE"""),"全介助")</f>
        <v>全介助</v>
      </c>
      <c r="GB11" s="4" t="str">
        <f ca="1">IFERROR(__xludf.DUMMYFUNCTION("""COMPUTED_VALUE"""),"全介助")</f>
        <v>全介助</v>
      </c>
      <c r="GC11" s="4" t="str">
        <f ca="1">IFERROR(__xludf.DUMMYFUNCTION("""COMPUTED_VALUE"""),"全介助")</f>
        <v>全介助</v>
      </c>
      <c r="GD11" s="4" t="str">
        <f ca="1">IFERROR(__xludf.DUMMYFUNCTION("""COMPUTED_VALUE"""),"すべて介助が必要な状況。")</f>
        <v>すべて介助が必要な状況。</v>
      </c>
      <c r="GE11" s="4"/>
      <c r="GF11" s="4"/>
      <c r="GG11" s="4" t="str">
        <f ca="1">IFERROR(__xludf.DUMMYFUNCTION("""COMPUTED_VALUE"""),"徐々に認知機能の低下があり。何かに固執するとそれが離れなくなり、被害妄想や作話に繋がる。
施設内で実際にあった事は、財布や髭剃りを自分で置いた場所を忘れ、その後に居室清掃に入った際に、「その職員が持って行った。もう来ないでもらいたい。」等の発言あり。
また、物忘れが著明でケアマネが訪問したこともすぐ忘れ、入居してから一度も来てもらったことがない。ケアマネを変えてほしい。」等の発言も多い。")</f>
        <v>徐々に認知機能の低下があり。何かに固執するとそれが離れなくなり、被害妄想や作話に繋がる。
施設内で実際にあった事は、財布や髭剃りを自分で置いた場所を忘れ、その後に居室清掃に入った際に、「その職員が持って行った。もう来ないでもらいたい。」等の発言あり。
また、物忘れが著明でケアマネが訪問したこともすぐ忘れ、入居してから一度も来てもらったことがない。ケアマネを変えてほしい。」等の発言も多い。</v>
      </c>
      <c r="GH11" s="4">
        <f ca="1">IFERROR(__xludf.DUMMYFUNCTION("""COMPUTED_VALUE"""),30)</f>
        <v>30</v>
      </c>
      <c r="GI11" s="4"/>
    </row>
    <row r="12" spans="1:191">
      <c r="A12" s="4"/>
      <c r="B12" s="4"/>
      <c r="C12" s="4" t="str">
        <f ca="1">IFERROR(__xludf.DUMMYFUNCTION("""COMPUTED_VALUE"""),"嶋方　照子")</f>
        <v>嶋方　照子</v>
      </c>
      <c r="D12" s="4" t="str">
        <f ca="1">IFERROR(__xludf.DUMMYFUNCTION("""COMPUTED_VALUE"""),"3789cda7")</f>
        <v>3789cda7</v>
      </c>
      <c r="E12" s="4"/>
      <c r="F12" s="4"/>
      <c r="G12" s="4"/>
      <c r="H12" s="4"/>
      <c r="I12" s="5">
        <f ca="1">IFERROR(__xludf.DUMMYFUNCTION("""COMPUTED_VALUE"""),45575)</f>
        <v>45575</v>
      </c>
      <c r="J12" s="4" t="str">
        <f ca="1">IFERROR(__xludf.DUMMYFUNCTION("""COMPUTED_VALUE"""),"山川　和輝")</f>
        <v>山川　和輝</v>
      </c>
      <c r="K12" s="4" t="str">
        <f ca="1">IFERROR(__xludf.DUMMYFUNCTION("""COMPUTED_VALUE"""),"退院")</f>
        <v>退院</v>
      </c>
      <c r="L12" s="4" t="str">
        <f ca="1">IFERROR(__xludf.DUMMYFUNCTION("""COMPUTED_VALUE"""),"入院先の病院")</f>
        <v>入院先の病院</v>
      </c>
      <c r="M12" s="4" t="str">
        <f ca="1">IFERROR(__xludf.DUMMYFUNCTION("""COMPUTED_VALUE"""),"・令和5年3月2日｜介護予防サービス利用開始
・令和5年10月｜アルツハイマー型認知症と診断
・令和5年11月1日｜介護保険被保険者証の有効期間満了に伴う更新
・令和5年11月22日｜介護認定更新の結果、要支援1→要介護1
・令和6年8月1日｜みどり津デイサービス週1回→週2回へ変更
・令和6年8月2日｜自宅で転倒し右大腿骨頸部骨折と診断
・令和6年8月13日｜人口骨頭置換術を施行")</f>
        <v>・令和5年3月2日｜介護予防サービス利用開始
・令和5年10月｜アルツハイマー型認知症と診断
・令和5年11月1日｜介護保険被保険者証の有効期間満了に伴う更新
・令和5年11月22日｜介護認定更新の結果、要支援1→要介護1
・令和6年8月1日｜みどり津デイサービス週1回→週2回へ変更
・令和6年8月2日｜自宅で転倒し右大腿骨頸部骨折と診断
・令和6年8月13日｜人口骨頭置換術を施行</v>
      </c>
      <c r="N12" s="4" t="str">
        <f ca="1">IFERROR(__xludf.DUMMYFUNCTION("""COMPUTED_VALUE"""),"出来るだけ頑張って生活していきたい。")</f>
        <v>出来るだけ頑張って生活していきたい。</v>
      </c>
      <c r="O12" s="4" t="str">
        <f ca="1">IFERROR(__xludf.DUMMYFUNCTION("""COMPUTED_VALUE"""),"退院後の生活に不安を感じています。サービスを利用して今まで通りの生活を送ってもらいたいと思っています。")</f>
        <v>退院後の生活に不安を感じています。サービスを利用して今まで通りの生活を送ってもらいたいと思っています。</v>
      </c>
      <c r="P12" s="4"/>
      <c r="Q12" s="4" t="str">
        <f ca="1">IFERROR(__xludf.DUMMYFUNCTION("""COMPUTED_VALUE"""),"入力")</f>
        <v>入力</v>
      </c>
      <c r="R12" s="4" t="str">
        <f ca="1">IFERROR(__xludf.DUMMYFUNCTION("""COMPUTED_VALUE"""),"要介護１ , 区分変更")</f>
        <v>要介護１ , 区分変更</v>
      </c>
      <c r="S12" s="4"/>
      <c r="T12" s="4"/>
      <c r="U12" s="4"/>
      <c r="V12" s="4" t="str">
        <f ca="1">IFERROR(__xludf.DUMMYFUNCTION("""COMPUTED_VALUE"""),"１割負担")</f>
        <v>１割負担</v>
      </c>
      <c r="W12" s="4" t="str">
        <f ca="1">IFERROR(__xludf.DUMMYFUNCTION("""COMPUTED_VALUE"""),"後期高齢者医療保険")</f>
        <v>後期高齢者医療保険</v>
      </c>
      <c r="X12" s="4" t="str">
        <f ca="1">IFERROR(__xludf.DUMMYFUNCTION("""COMPUTED_VALUE"""),"無")</f>
        <v>無</v>
      </c>
      <c r="Y12" s="4"/>
      <c r="Z12" s="4" t="str">
        <f ca="1">IFERROR(__xludf.DUMMYFUNCTION("""COMPUTED_VALUE"""),"無")</f>
        <v>無</v>
      </c>
      <c r="AA12" s="4" t="str">
        <f ca="1">IFERROR(__xludf.DUMMYFUNCTION("""COMPUTED_VALUE"""),"無")</f>
        <v>無</v>
      </c>
      <c r="AB12" s="4"/>
      <c r="AC12" s="4"/>
      <c r="AD12" s="4"/>
      <c r="AE12" s="4" t="str">
        <f ca="1">IFERROR(__xludf.DUMMYFUNCTION("""COMPUTED_VALUE"""),"入力")</f>
        <v>入力</v>
      </c>
      <c r="AF12" s="4" t="str">
        <f ca="1">IFERROR(__xludf.DUMMYFUNCTION("""COMPUTED_VALUE"""),"薄田　勝美様")</f>
        <v>薄田　勝美様</v>
      </c>
      <c r="AG12" s="4" t="str">
        <f ca="1">IFERROR(__xludf.DUMMYFUNCTION("""COMPUTED_VALUE"""),"長女")</f>
        <v>長女</v>
      </c>
      <c r="AH12" s="4"/>
      <c r="AI12" s="4" t="str">
        <f ca="1">IFERROR(__xludf.DUMMYFUNCTION("""COMPUTED_VALUE"""),"同居")</f>
        <v>同居</v>
      </c>
      <c r="AJ12" s="4" t="str">
        <f ca="1">IFERROR(__xludf.DUMMYFUNCTION("""COMPUTED_VALUE"""),"介護する")</f>
        <v>介護する</v>
      </c>
      <c r="AK12" s="4" t="str">
        <f ca="1">IFERROR(__xludf.DUMMYFUNCTION("""COMPUTED_VALUE"""),"無")</f>
        <v>無</v>
      </c>
      <c r="AL12" s="4" t="str">
        <f ca="1">IFERROR(__xludf.DUMMYFUNCTION("""COMPUTED_VALUE"""),"090-4238-2620")</f>
        <v>090-4238-2620</v>
      </c>
      <c r="AM12" s="4" t="str">
        <f ca="1">IFERROR(__xludf.DUMMYFUNCTION("""COMPUTED_VALUE"""),"KP")</f>
        <v>KP</v>
      </c>
      <c r="AN12" s="4" t="str">
        <f ca="1">IFERROR(__xludf.DUMMYFUNCTION("""COMPUTED_VALUE"""),"薄田　健二様")</f>
        <v>薄田　健二様</v>
      </c>
      <c r="AO12" s="4" t="str">
        <f ca="1">IFERROR(__xludf.DUMMYFUNCTION("""COMPUTED_VALUE"""),"長女の夫")</f>
        <v>長女の夫</v>
      </c>
      <c r="AP12" s="4"/>
      <c r="AQ12" s="4" t="str">
        <f ca="1">IFERROR(__xludf.DUMMYFUNCTION("""COMPUTED_VALUE"""),"同居")</f>
        <v>同居</v>
      </c>
      <c r="AR12" s="4" t="str">
        <f ca="1">IFERROR(__xludf.DUMMYFUNCTION("""COMPUTED_VALUE"""),"介護しない")</f>
        <v>介護しない</v>
      </c>
      <c r="AS12" s="4"/>
      <c r="AT12" s="4" t="str">
        <f ca="1">IFERROR(__xludf.DUMMYFUNCTION("""COMPUTED_VALUE"""),"090-4238-2620")</f>
        <v>090-4238-2620</v>
      </c>
      <c r="AU12" s="4"/>
      <c r="AV12" s="4"/>
      <c r="AW12" s="4" t="str">
        <f ca="1">IFERROR(__xludf.DUMMYFUNCTION("""COMPUTED_VALUE"""),"入力")</f>
        <v>入力</v>
      </c>
      <c r="AX12" s="4" t="str">
        <f ca="1">IFERROR(__xludf.DUMMYFUNCTION("""COMPUTED_VALUE"""),"家族同居")</f>
        <v>家族同居</v>
      </c>
      <c r="AY12" s="4" t="str">
        <f ca="1">IFERROR(__xludf.DUMMYFUNCTION("""COMPUTED_VALUE"""),"一戸建て")</f>
        <v>一戸建て</v>
      </c>
      <c r="AZ12" s="4"/>
      <c r="BA12" s="4" t="str">
        <f ca="1">IFERROR(__xludf.DUMMYFUNCTION("""COMPUTED_VALUE"""),"所有")</f>
        <v>所有</v>
      </c>
      <c r="BB12" s="4" t="str">
        <f ca="1">IFERROR(__xludf.DUMMYFUNCTION("""COMPUTED_VALUE"""),"有")</f>
        <v>有</v>
      </c>
      <c r="BC12" s="4" t="str">
        <f ca="1">IFERROR(__xludf.DUMMYFUNCTION("""COMPUTED_VALUE"""),"有")</f>
        <v>有</v>
      </c>
      <c r="BD12" s="4" t="str">
        <f ca="1">IFERROR(__xludf.DUMMYFUNCTION("""COMPUTED_VALUE"""),"洋式")</f>
        <v>洋式</v>
      </c>
      <c r="BE12" s="4"/>
      <c r="BF12" s="4"/>
      <c r="BG12" s="4" t="str">
        <f ca="1">IFERROR(__xludf.DUMMYFUNCTION("""COMPUTED_VALUE"""),"有")</f>
        <v>有</v>
      </c>
      <c r="BH12" s="4" t="str">
        <f ca="1">IFERROR(__xludf.DUMMYFUNCTION("""COMPUTED_VALUE"""),"手すり無")</f>
        <v>手すり無</v>
      </c>
      <c r="BI12" s="4" t="str">
        <f ca="1">IFERROR(__xludf.DUMMYFUNCTION("""COMPUTED_VALUE"""),"畳・床")</f>
        <v>畳・床</v>
      </c>
      <c r="BJ12" s="4" t="str">
        <f ca="1">IFERROR(__xludf.DUMMYFUNCTION("""COMPUTED_VALUE"""),"無")</f>
        <v>無</v>
      </c>
      <c r="BK12" s="4" t="str">
        <f ca="1">IFERROR(__xludf.DUMMYFUNCTION("""COMPUTED_VALUE"""),"無")</f>
        <v>無</v>
      </c>
      <c r="BL12" s="4" t="str">
        <f ca="1">IFERROR(__xludf.DUMMYFUNCTION("""COMPUTED_VALUE"""),"無")</f>
        <v>無</v>
      </c>
      <c r="BM12" s="4"/>
      <c r="BN12" s="4"/>
      <c r="BO12" s="4" t="str">
        <f ca="1">IFERROR(__xludf.DUMMYFUNCTION("""COMPUTED_VALUE"""),"入力")</f>
        <v>入力</v>
      </c>
      <c r="BP12" s="4" t="str">
        <f ca="1">IFERROR(__xludf.DUMMYFUNCTION("""COMPUTED_VALUE"""),"通所介護")</f>
        <v>通所介護</v>
      </c>
      <c r="BQ12" s="4" t="str">
        <f ca="1">IFERROR(__xludf.DUMMYFUNCTION("""COMPUTED_VALUE"""),"歩行補助つえ")</f>
        <v>歩行補助つえ</v>
      </c>
      <c r="BR12" s="4" t="str">
        <f ca="1">IFERROR(__xludf.DUMMYFUNCTION("""COMPUTED_VALUE"""),"特になし")</f>
        <v>特になし</v>
      </c>
      <c r="BS12" s="4"/>
      <c r="BT12" s="4" t="str">
        <f ca="1">IFERROR(__xludf.DUMMYFUNCTION("""COMPUTED_VALUE"""),"デイサービスを利用して他の方と交流はできているものの、本人は三重県になじめないと言われている。")</f>
        <v>デイサービスを利用して他の方と交流はできているものの、本人は三重県になじめないと言われている。</v>
      </c>
      <c r="BU12" s="4"/>
      <c r="BV12" s="4"/>
      <c r="BW12" s="4" t="str">
        <f ca="1">IFERROR(__xludf.DUMMYFUNCTION("""COMPUTED_VALUE"""),"入力")</f>
        <v>入力</v>
      </c>
      <c r="BX12" s="4" t="str">
        <f ca="1">IFERROR(__xludf.DUMMYFUNCTION("""COMPUTED_VALUE"""),"右大腿骨頸部骨折（8/13人工骨頭置換術施行）")</f>
        <v>右大腿骨頸部骨折（8/13人工骨頭置換術施行）</v>
      </c>
      <c r="BY12" s="4" t="str">
        <f ca="1">IFERROR(__xludf.DUMMYFUNCTION("""COMPUTED_VALUE"""),"令和6年8月2日")</f>
        <v>令和6年8月2日</v>
      </c>
      <c r="BZ12" s="4"/>
      <c r="CA12" s="4"/>
      <c r="CB12" s="4"/>
      <c r="CC12" s="4"/>
      <c r="CD12" s="4"/>
      <c r="CE12" s="4"/>
      <c r="CF12" s="4"/>
      <c r="CG12" s="4"/>
      <c r="CH12" s="4"/>
      <c r="CI12" s="4"/>
      <c r="CJ12" s="4"/>
      <c r="CK12" s="4"/>
      <c r="CL12" s="4"/>
      <c r="CM12" s="4"/>
      <c r="CN12" s="4"/>
      <c r="CO12" s="4"/>
      <c r="CP12" s="4"/>
      <c r="CQ12" s="4"/>
      <c r="CR12" s="4"/>
      <c r="CS12" s="4"/>
      <c r="CT12" s="4"/>
      <c r="CU12" s="4"/>
      <c r="CV12" s="4"/>
      <c r="CW12" s="4"/>
      <c r="CX12" s="4" t="str">
        <f ca="1">IFERROR(__xludf.DUMMYFUNCTION("""COMPUTED_VALUE"""),"入力")</f>
        <v>入力</v>
      </c>
      <c r="CY12" s="4" t="str">
        <f ca="1">IFERROR(__xludf.DUMMYFUNCTION("""COMPUTED_VALUE"""),"無")</f>
        <v>無</v>
      </c>
      <c r="CZ12" s="4" t="str">
        <f ca="1">IFERROR(__xludf.DUMMYFUNCTION("""COMPUTED_VALUE"""),"無")</f>
        <v>無</v>
      </c>
      <c r="DA12" s="4" t="str">
        <f ca="1">IFERROR(__xludf.DUMMYFUNCTION("""COMPUTED_VALUE"""),"無")</f>
        <v>無</v>
      </c>
      <c r="DB12" s="4" t="str">
        <f ca="1">IFERROR(__xludf.DUMMYFUNCTION("""COMPUTED_VALUE"""),"特になし")</f>
        <v>特になし</v>
      </c>
      <c r="DC12" s="4" t="str">
        <f ca="1">IFERROR(__xludf.DUMMYFUNCTION("""COMPUTED_VALUE"""),"右足軽度痛みあり")</f>
        <v>右足軽度痛みあり</v>
      </c>
      <c r="DD12" s="4">
        <f ca="1">IFERROR(__xludf.DUMMYFUNCTION("""COMPUTED_VALUE"""),0)</f>
        <v>0</v>
      </c>
      <c r="DE12" s="4">
        <f ca="1">IFERROR(__xludf.DUMMYFUNCTION("""COMPUTED_VALUE"""),0)</f>
        <v>0</v>
      </c>
      <c r="DF12" s="4" t="str">
        <f ca="1">IFERROR(__xludf.DUMMYFUNCTION("""COMPUTED_VALUE"""),"大きい字は可")</f>
        <v>大きい字は可</v>
      </c>
      <c r="DG12" s="4" t="str">
        <f ca="1">IFERROR(__xludf.DUMMYFUNCTION("""COMPUTED_VALUE"""),"無")</f>
        <v>無</v>
      </c>
      <c r="DH12" s="4" t="str">
        <f ca="1">IFERROR(__xludf.DUMMYFUNCTION("""COMPUTED_VALUE"""),"大きい声は可")</f>
        <v>大きい声は可</v>
      </c>
      <c r="DI12" s="4" t="str">
        <f ca="1">IFERROR(__xludf.DUMMYFUNCTION("""COMPUTED_VALUE"""),"有")</f>
        <v>有</v>
      </c>
      <c r="DJ12" s="4" t="str">
        <f ca="1">IFERROR(__xludf.DUMMYFUNCTION("""COMPUTED_VALUE"""),"術後、痛みは継続しているものの、徐々に落ち着いてきている。")</f>
        <v>術後、痛みは継続しているものの、徐々に落ち着いてきている。</v>
      </c>
      <c r="DK12" s="4"/>
      <c r="DL12" s="4" t="str">
        <f ca="1">IFERROR(__xludf.DUMMYFUNCTION("""COMPUTED_VALUE"""),"入力")</f>
        <v>入力</v>
      </c>
      <c r="DM12" s="4" t="str">
        <f ca="1">IFERROR(__xludf.DUMMYFUNCTION("""COMPUTED_VALUE"""),"有")</f>
        <v>有</v>
      </c>
      <c r="DN12" s="4" t="str">
        <f ca="1">IFERROR(__xludf.DUMMYFUNCTION("""COMPUTED_VALUE"""),"中等度")</f>
        <v>中等度</v>
      </c>
      <c r="DO12" s="4" t="str">
        <f ca="1">IFERROR(__xludf.DUMMYFUNCTION("""COMPUTED_VALUE"""),"無")</f>
        <v>無</v>
      </c>
      <c r="DP12" s="4" t="str">
        <f ca="1">IFERROR(__xludf.DUMMYFUNCTION("""COMPUTED_VALUE"""),"可能")</f>
        <v>可能</v>
      </c>
      <c r="DQ12" s="4" t="str">
        <f ca="1">IFERROR(__xludf.DUMMYFUNCTION("""COMPUTED_VALUE"""),"その場のみ可")</f>
        <v>その場のみ可</v>
      </c>
      <c r="DR12" s="4" t="str">
        <f ca="1">IFERROR(__xludf.DUMMYFUNCTION("""COMPUTED_VALUE"""),"認知機能の低下はあるものの、入院中に大きな変化は見られない。")</f>
        <v>認知機能の低下はあるものの、入院中に大きな変化は見られない。</v>
      </c>
      <c r="DS12" s="4"/>
      <c r="DT12" s="4"/>
      <c r="DU12" s="4" t="str">
        <f ca="1">IFERROR(__xludf.DUMMYFUNCTION("""COMPUTED_VALUE"""),"入力")</f>
        <v>入力</v>
      </c>
      <c r="DV12" s="4" t="str">
        <f ca="1">IFERROR(__xludf.DUMMYFUNCTION("""COMPUTED_VALUE"""),"できない")</f>
        <v>できない</v>
      </c>
      <c r="DW12" s="4" t="str">
        <f ca="1">IFERROR(__xludf.DUMMYFUNCTION("""COMPUTED_VALUE"""),"できない")</f>
        <v>できない</v>
      </c>
      <c r="DX12" s="4" t="str">
        <f ca="1">IFERROR(__xludf.DUMMYFUNCTION("""COMPUTED_VALUE"""),"支えてもらえればできる")</f>
        <v>支えてもらえればできる</v>
      </c>
      <c r="DY12" s="4" t="str">
        <f ca="1">IFERROR(__xludf.DUMMYFUNCTION("""COMPUTED_VALUE"""),"できない")</f>
        <v>できない</v>
      </c>
      <c r="DZ12" s="4" t="str">
        <f ca="1">IFERROR(__xludf.DUMMYFUNCTION("""COMPUTED_VALUE"""),"何か支えがあればできる")</f>
        <v>何か支えがあればできる</v>
      </c>
      <c r="EA12" s="4" t="str">
        <f ca="1">IFERROR(__xludf.DUMMYFUNCTION("""COMPUTED_VALUE"""),"一部介助")</f>
        <v>一部介助</v>
      </c>
      <c r="EB12" s="4" t="str">
        <f ca="1">IFERROR(__xludf.DUMMYFUNCTION("""COMPUTED_VALUE"""),"一部介助")</f>
        <v>一部介助</v>
      </c>
      <c r="EC12" s="4" t="str">
        <f ca="1">IFERROR(__xludf.DUMMYFUNCTION("""COMPUTED_VALUE"""),"歩行器")</f>
        <v>歩行器</v>
      </c>
      <c r="ED12" s="4" t="str">
        <f ca="1">IFERROR(__xludf.DUMMYFUNCTION("""COMPUTED_VALUE"""),"全介助")</f>
        <v>全介助</v>
      </c>
      <c r="EE12" s="4" t="str">
        <f ca="1">IFERROR(__xludf.DUMMYFUNCTION("""COMPUTED_VALUE"""),"車椅子")</f>
        <v>車椅子</v>
      </c>
      <c r="EF12" s="4" t="str">
        <f ca="1">IFERROR(__xludf.DUMMYFUNCTION("""COMPUTED_VALUE"""),"全身の筋力低下があり、起居動作は軽介助が必要。起き上がりの際はギャッジアップを活用。移動は前腕支持型の歩行器を使用することで、見守り～一部介助で歩行可能だが、後方重心で後方への転倒リスクが高いため方向転換や着座時は介助が必要。認知機能の低下から危険認識力が少なく、ご自身でベッドから降りようとされたり突発的な危険行動も多い。")</f>
        <v>全身の筋力低下があり、起居動作は軽介助が必要。起き上がりの際はギャッジアップを活用。移動は前腕支持型の歩行器を使用することで、見守り～一部介助で歩行可能だが、後方重心で後方への転倒リスクが高いため方向転換や着座時は介助が必要。認知機能の低下から危険認識力が少なく、ご自身でベッドから降りようとされたり突発的な危険行動も多い。</v>
      </c>
      <c r="EG12" s="4"/>
      <c r="EH12" s="4" t="str">
        <f ca="1">IFERROR(__xludf.DUMMYFUNCTION("""COMPUTED_VALUE"""),"入力")</f>
        <v>入力</v>
      </c>
      <c r="EI12" s="4" t="str">
        <f ca="1">IFERROR(__xludf.DUMMYFUNCTION("""COMPUTED_VALUE"""),"入力")</f>
        <v>入力</v>
      </c>
      <c r="EJ12" s="4" t="str">
        <f ca="1">IFERROR(__xludf.DUMMYFUNCTION("""COMPUTED_VALUE"""),"経口摂取")</f>
        <v>経口摂取</v>
      </c>
      <c r="EK12" s="4" t="str">
        <f ca="1">IFERROR(__xludf.DUMMYFUNCTION("""COMPUTED_VALUE"""),"自立")</f>
        <v>自立</v>
      </c>
      <c r="EL12" s="4" t="str">
        <f ca="1">IFERROR(__xludf.DUMMYFUNCTION("""COMPUTED_VALUE"""),"できる")</f>
        <v>できる</v>
      </c>
      <c r="EM12" s="4" t="str">
        <f ca="1">IFERROR(__xludf.DUMMYFUNCTION("""COMPUTED_VALUE"""),"普通")</f>
        <v>普通</v>
      </c>
      <c r="EN12" s="4" t="str">
        <f ca="1">IFERROR(__xludf.DUMMYFUNCTION("""COMPUTED_VALUE"""),"普通")</f>
        <v>普通</v>
      </c>
      <c r="EO12" s="4" t="str">
        <f ca="1">IFERROR(__xludf.DUMMYFUNCTION("""COMPUTED_VALUE"""),"無")</f>
        <v>無</v>
      </c>
      <c r="EP12" s="4" t="str">
        <f ca="1">IFERROR(__xludf.DUMMYFUNCTION("""COMPUTED_VALUE"""),"有")</f>
        <v>有</v>
      </c>
      <c r="EQ12" s="4" t="str">
        <f ca="1">IFERROR(__xludf.DUMMYFUNCTION("""COMPUTED_VALUE"""),"箸 , スプーン")</f>
        <v>箸 , スプーン</v>
      </c>
      <c r="ER12" s="4" t="str">
        <f ca="1">IFERROR(__xludf.DUMMYFUNCTION("""COMPUTED_VALUE"""),"食事は減塩食を食べられているが、嚥下や食事動作は問題なし。脱水傾向にあるため水分の摂取を進めていく必要がある。")</f>
        <v>食事は減塩食を食べられているが、嚥下や食事動作は問題なし。脱水傾向にあるため水分の摂取を進めていく必要がある。</v>
      </c>
      <c r="ES12" s="4"/>
      <c r="ET12" s="4" t="str">
        <f ca="1">IFERROR(__xludf.DUMMYFUNCTION("""COMPUTED_VALUE"""),"入力")</f>
        <v>入力</v>
      </c>
      <c r="EU12" s="4" t="str">
        <f ca="1">IFERROR(__xludf.DUMMYFUNCTION("""COMPUTED_VALUE"""),"全介助")</f>
        <v>全介助</v>
      </c>
      <c r="EV12" s="4"/>
      <c r="EW12" s="4" t="str">
        <f ca="1">IFERROR(__xludf.DUMMYFUNCTION("""COMPUTED_VALUE"""),"有")</f>
        <v>有</v>
      </c>
      <c r="EX12" s="4"/>
      <c r="EY12" s="4"/>
      <c r="EZ12" s="4" t="str">
        <f ca="1">IFERROR(__xludf.DUMMYFUNCTION("""COMPUTED_VALUE"""),"義歯の洗浄は今迄通りご家族様で対応する必要がある。")</f>
        <v>義歯の洗浄は今迄通りご家族様で対応する必要がある。</v>
      </c>
      <c r="FA12" s="4"/>
      <c r="FB12" s="4" t="str">
        <f ca="1">IFERROR(__xludf.DUMMYFUNCTION("""COMPUTED_VALUE"""),"入力")</f>
        <v>入力</v>
      </c>
      <c r="FC12" s="4" t="str">
        <f ca="1">IFERROR(__xludf.DUMMYFUNCTION("""COMPUTED_VALUE"""),"全介助")</f>
        <v>全介助</v>
      </c>
      <c r="FD12" s="4" t="str">
        <f ca="1">IFERROR(__xludf.DUMMYFUNCTION("""COMPUTED_VALUE"""),"シャワー浴")</f>
        <v>シャワー浴</v>
      </c>
      <c r="FE12" s="4" t="str">
        <f ca="1">IFERROR(__xludf.DUMMYFUNCTION("""COMPUTED_VALUE"""),"無")</f>
        <v>無</v>
      </c>
      <c r="FF12" s="4"/>
      <c r="FG12" s="4" t="str">
        <f ca="1">IFERROR(__xludf.DUMMYFUNCTION("""COMPUTED_VALUE"""),"一部介助")</f>
        <v>一部介助</v>
      </c>
      <c r="FH12" s="4" t="str">
        <f ca="1">IFERROR(__xludf.DUMMYFUNCTION("""COMPUTED_VALUE"""),"全介助")</f>
        <v>全介助</v>
      </c>
      <c r="FI12" s="4" t="str">
        <f ca="1">IFERROR(__xludf.DUMMYFUNCTION("""COMPUTED_VALUE"""),"浴槽を跨ぐことで転倒リスクが高く、自宅での入浴は控えたほうがよいとリハビリスタッフから助言有。ただご自宅での入浴も行いたいと希望があることから今後利用予定の訪問リハビリの支援の中で自宅で入浴できるかを判断して頂く。またみどり津デイを週2回→週3回に変更し入浴回数の確保を行う。")</f>
        <v>浴槽を跨ぐことで転倒リスクが高く、自宅での入浴は控えたほうがよいとリハビリスタッフから助言有。ただご自宅での入浴も行いたいと希望があることから今後利用予定の訪問リハビリの支援の中で自宅で入浴できるかを判断して頂く。またみどり津デイを週2回→週3回に変更し入浴回数の確保を行う。</v>
      </c>
      <c r="FJ12" s="4"/>
      <c r="FK12" s="4" t="str">
        <f ca="1">IFERROR(__xludf.DUMMYFUNCTION("""COMPUTED_VALUE"""),"入力")</f>
        <v>入力</v>
      </c>
      <c r="FL12" s="4" t="str">
        <f ca="1">IFERROR(__xludf.DUMMYFUNCTION("""COMPUTED_VALUE"""),"一部介助")</f>
        <v>一部介助</v>
      </c>
      <c r="FM12" s="4" t="str">
        <f ca="1">IFERROR(__xludf.DUMMYFUNCTION("""COMPUTED_VALUE"""),"有")</f>
        <v>有</v>
      </c>
      <c r="FN12" s="4" t="str">
        <f ca="1">IFERROR(__xludf.DUMMYFUNCTION("""COMPUTED_VALUE"""),"有")</f>
        <v>有</v>
      </c>
      <c r="FO12" s="4" t="str">
        <f ca="1">IFERROR(__xludf.DUMMYFUNCTION("""COMPUTED_VALUE"""),"有")</f>
        <v>有</v>
      </c>
      <c r="FP12" s="4" t="str">
        <f ca="1">IFERROR(__xludf.DUMMYFUNCTION("""COMPUTED_VALUE"""),"無")</f>
        <v>無</v>
      </c>
      <c r="FQ12" s="4"/>
      <c r="FR12" s="4" t="str">
        <f ca="1">IFERROR(__xludf.DUMMYFUNCTION("""COMPUTED_VALUE"""),"トイレ")</f>
        <v>トイレ</v>
      </c>
      <c r="FS12" s="4" t="str">
        <f ca="1">IFERROR(__xludf.DUMMYFUNCTION("""COMPUTED_VALUE"""),"トイレ")</f>
        <v>トイレ</v>
      </c>
      <c r="FT12" s="4" t="str">
        <f ca="1">IFERROR(__xludf.DUMMYFUNCTION("""COMPUTED_VALUE"""),"リハビリパンツ , 小パット")</f>
        <v>リハビリパンツ , 小パット</v>
      </c>
      <c r="FU12" s="4" t="str">
        <f ca="1">IFERROR(__xludf.DUMMYFUNCTION("""COMPUTED_VALUE"""),"立位保持は可能なものの、ズボンやリハパンの上げ下ろしに介助を要す。夜間は紙おむつの着用が望ましい。またリハビリの先生から自宅ではPトイレの使用が望ましいと提案があった。ご家族様にもPトイレを提案するが、「なるべくならトイレでしてほしい。」と希望あり。")</f>
        <v>立位保持は可能なものの、ズボンやリハパンの上げ下ろしに介助を要す。夜間は紙おむつの着用が望ましい。またリハビリの先生から自宅ではPトイレの使用が望ましいと提案があった。ご家族様にもPトイレを提案するが、「なるべくならトイレでしてほしい。」と希望あり。</v>
      </c>
      <c r="FV12" s="4"/>
      <c r="FW12" s="4"/>
      <c r="FX12" s="4" t="str">
        <f ca="1">IFERROR(__xludf.DUMMYFUNCTION("""COMPUTED_VALUE"""),"入力")</f>
        <v>入力</v>
      </c>
      <c r="FY12" s="4" t="str">
        <f ca="1">IFERROR(__xludf.DUMMYFUNCTION("""COMPUTED_VALUE"""),"全介助")</f>
        <v>全介助</v>
      </c>
      <c r="FZ12" s="4" t="str">
        <f ca="1">IFERROR(__xludf.DUMMYFUNCTION("""COMPUTED_VALUE"""),"全介助")</f>
        <v>全介助</v>
      </c>
      <c r="GA12" s="4" t="str">
        <f ca="1">IFERROR(__xludf.DUMMYFUNCTION("""COMPUTED_VALUE"""),"全介助")</f>
        <v>全介助</v>
      </c>
      <c r="GB12" s="4" t="str">
        <f ca="1">IFERROR(__xludf.DUMMYFUNCTION("""COMPUTED_VALUE"""),"全介助")</f>
        <v>全介助</v>
      </c>
      <c r="GC12" s="4" t="str">
        <f ca="1">IFERROR(__xludf.DUMMYFUNCTION("""COMPUTED_VALUE"""),"全介助")</f>
        <v>全介助</v>
      </c>
      <c r="GD12" s="4" t="str">
        <f ca="1">IFERROR(__xludf.DUMMYFUNCTION("""COMPUTED_VALUE"""),"ご家族様で対応して頂く。")</f>
        <v>ご家族様で対応して頂く。</v>
      </c>
      <c r="GE12" s="4"/>
      <c r="GF12" s="4"/>
      <c r="GG12" s="4" t="str">
        <f ca="1">IFERROR(__xludf.DUMMYFUNCTION("""COMPUTED_VALUE"""),"現在要介護1のため退院後に区分変更申請を行う。また自宅に退院するに当たり自宅の環境調整が必須。現在ふとんでの生活となっているが、介護ベッドの導入やトイレまでの手すり、またはPトイレの導入等検討していく必要がある。ご家族様はPトイレよりトイレへ行って排泄してほしいと希望あり。")</f>
        <v>現在要介護1のため退院後に区分変更申請を行う。また自宅に退院するに当たり自宅の環境調整が必須。現在ふとんでの生活となっているが、介護ベッドの導入やトイレまでの手すり、またはPトイレの導入等検討していく必要がある。ご家族様はPトイレよりトイレへ行って排泄してほしいと希望あり。</v>
      </c>
      <c r="GH12" s="4">
        <f ca="1">IFERROR(__xludf.DUMMYFUNCTION("""COMPUTED_VALUE"""),30)</f>
        <v>30</v>
      </c>
      <c r="GI12" s="4"/>
    </row>
    <row r="13" spans="1:191">
      <c r="A13" s="4"/>
      <c r="B13" s="4"/>
      <c r="C13" s="4" t="str">
        <f ca="1">IFERROR(__xludf.DUMMYFUNCTION("""COMPUTED_VALUE"""),"井ノ口　俊明")</f>
        <v>井ノ口　俊明</v>
      </c>
      <c r="D13" s="4" t="str">
        <f ca="1">IFERROR(__xludf.DUMMYFUNCTION("""COMPUTED_VALUE"""),"a4dc121b")</f>
        <v>a4dc121b</v>
      </c>
      <c r="E13" s="4"/>
      <c r="F13" s="4"/>
      <c r="G13" s="4"/>
      <c r="H13" s="4"/>
      <c r="I13" s="5">
        <f ca="1">IFERROR(__xludf.DUMMYFUNCTION("""COMPUTED_VALUE"""),45568)</f>
        <v>45568</v>
      </c>
      <c r="J13" s="4" t="str">
        <f ca="1">IFERROR(__xludf.DUMMYFUNCTION("""COMPUTED_VALUE"""),"山川　和輝")</f>
        <v>山川　和輝</v>
      </c>
      <c r="K13" s="4" t="str">
        <f ca="1">IFERROR(__xludf.DUMMYFUNCTION("""COMPUTED_VALUE"""),"新規")</f>
        <v>新規</v>
      </c>
      <c r="L13" s="4" t="str">
        <f ca="1">IFERROR(__xludf.DUMMYFUNCTION("""COMPUTED_VALUE"""),"本人のご自宅")</f>
        <v>本人のご自宅</v>
      </c>
      <c r="M13" s="4" t="str">
        <f ca="1">IFERROR(__xludf.DUMMYFUNCTION("""COMPUTED_VALUE"""),"2年前より徐々に足腰が弱りはじめ、介護保険を申請し要介護2となった。最近では物忘れも多く、デイサービスを多く利用し生活されているが、妻の介助では介助負担も多く、自宅での生活が難しくなってきたため安濃津ろまんへ申込を行った。")</f>
        <v>2年前より徐々に足腰が弱りはじめ、介護保険を申請し要介護2となった。最近では物忘れも多く、デイサービスを多く利用し生活されているが、妻の介助では介助負担も多く、自宅での生活が難しくなってきたため安濃津ろまんへ申込を行った。</v>
      </c>
      <c r="N13" s="4" t="str">
        <f ca="1">IFERROR(__xludf.DUMMYFUNCTION("""COMPUTED_VALUE"""),"なにも悪い所はないので、このまま家で生活し続けたい。")</f>
        <v>なにも悪い所はないので、このまま家で生活し続けたい。</v>
      </c>
      <c r="O13" s="4" t="str">
        <f ca="1">IFERROR(__xludf.DUMMYFUNCTION("""COMPUTED_VALUE"""),"家で介護するのもつかれたため、施設に入居して安心して生活を送ってもらいたい。")</f>
        <v>家で介護するのもつかれたため、施設に入居して安心して生活を送ってもらいたい。</v>
      </c>
      <c r="P13" s="4"/>
      <c r="Q13" s="4"/>
      <c r="R13" s="4"/>
      <c r="S13" s="4"/>
      <c r="T13" s="4"/>
      <c r="U13" s="4"/>
      <c r="V13" s="4"/>
      <c r="W13" s="4"/>
      <c r="X13" s="4"/>
      <c r="Y13" s="4"/>
      <c r="Z13" s="4"/>
      <c r="AA13" s="4"/>
      <c r="AB13" s="4"/>
      <c r="AC13" s="4"/>
      <c r="AD13" s="4"/>
      <c r="AE13" s="4" t="str">
        <f ca="1">IFERROR(__xludf.DUMMYFUNCTION("""COMPUTED_VALUE"""),"入力")</f>
        <v>入力</v>
      </c>
      <c r="AF13" s="4" t="str">
        <f ca="1">IFERROR(__xludf.DUMMYFUNCTION("""COMPUTED_VALUE"""),"井ノ口　美枝子様")</f>
        <v>井ノ口　美枝子様</v>
      </c>
      <c r="AG13" s="4" t="str">
        <f ca="1">IFERROR(__xludf.DUMMYFUNCTION("""COMPUTED_VALUE"""),"妻")</f>
        <v>妻</v>
      </c>
      <c r="AH13" s="4"/>
      <c r="AI13" s="4" t="str">
        <f ca="1">IFERROR(__xludf.DUMMYFUNCTION("""COMPUTED_VALUE"""),"同居")</f>
        <v>同居</v>
      </c>
      <c r="AJ13" s="4" t="str">
        <f ca="1">IFERROR(__xludf.DUMMYFUNCTION("""COMPUTED_VALUE"""),"介護する")</f>
        <v>介護する</v>
      </c>
      <c r="AK13" s="4" t="str">
        <f ca="1">IFERROR(__xludf.DUMMYFUNCTION("""COMPUTED_VALUE"""),"無")</f>
        <v>無</v>
      </c>
      <c r="AL13" s="4" t="str">
        <f ca="1">IFERROR(__xludf.DUMMYFUNCTION("""COMPUTED_VALUE"""),"090-5862-6986")</f>
        <v>090-5862-6986</v>
      </c>
      <c r="AM13" s="4" t="str">
        <f ca="1">IFERROR(__xludf.DUMMYFUNCTION("""COMPUTED_VALUE"""),"KP")</f>
        <v>KP</v>
      </c>
      <c r="AN13" s="4"/>
      <c r="AO13" s="4"/>
      <c r="AP13" s="4"/>
      <c r="AQ13" s="4"/>
      <c r="AR13" s="4"/>
      <c r="AS13" s="4"/>
      <c r="AT13" s="4"/>
      <c r="AU13" s="4"/>
      <c r="AV13" s="4"/>
      <c r="AW13" s="4" t="str">
        <f ca="1">IFERROR(__xludf.DUMMYFUNCTION("""COMPUTED_VALUE"""),"入力")</f>
        <v>入力</v>
      </c>
      <c r="AX13" s="4" t="str">
        <f ca="1">IFERROR(__xludf.DUMMYFUNCTION("""COMPUTED_VALUE"""),"高齢所帯")</f>
        <v>高齢所帯</v>
      </c>
      <c r="AY13" s="4" t="str">
        <f ca="1">IFERROR(__xludf.DUMMYFUNCTION("""COMPUTED_VALUE"""),"一戸建て")</f>
        <v>一戸建て</v>
      </c>
      <c r="AZ13" s="4"/>
      <c r="BA13" s="4" t="str">
        <f ca="1">IFERROR(__xludf.DUMMYFUNCTION("""COMPUTED_VALUE"""),"所有")</f>
        <v>所有</v>
      </c>
      <c r="BB13" s="4" t="str">
        <f ca="1">IFERROR(__xludf.DUMMYFUNCTION("""COMPUTED_VALUE"""),"有")</f>
        <v>有</v>
      </c>
      <c r="BC13" s="4" t="str">
        <f ca="1">IFERROR(__xludf.DUMMYFUNCTION("""COMPUTED_VALUE"""),"有")</f>
        <v>有</v>
      </c>
      <c r="BD13" s="4" t="str">
        <f ca="1">IFERROR(__xludf.DUMMYFUNCTION("""COMPUTED_VALUE"""),"洋式")</f>
        <v>洋式</v>
      </c>
      <c r="BE13" s="4"/>
      <c r="BF13" s="4"/>
      <c r="BG13" s="4" t="str">
        <f ca="1">IFERROR(__xludf.DUMMYFUNCTION("""COMPUTED_VALUE"""),"有")</f>
        <v>有</v>
      </c>
      <c r="BH13" s="4" t="str">
        <f ca="1">IFERROR(__xludf.DUMMYFUNCTION("""COMPUTED_VALUE"""),"手すり無")</f>
        <v>手すり無</v>
      </c>
      <c r="BI13" s="4" t="str">
        <f ca="1">IFERROR(__xludf.DUMMYFUNCTION("""COMPUTED_VALUE"""),"畳・床")</f>
        <v>畳・床</v>
      </c>
      <c r="BJ13" s="4" t="str">
        <f ca="1">IFERROR(__xludf.DUMMYFUNCTION("""COMPUTED_VALUE"""),"有")</f>
        <v>有</v>
      </c>
      <c r="BK13" s="4" t="str">
        <f ca="1">IFERROR(__xludf.DUMMYFUNCTION("""COMPUTED_VALUE"""),"無")</f>
        <v>無</v>
      </c>
      <c r="BL13" s="4" t="str">
        <f ca="1">IFERROR(__xludf.DUMMYFUNCTION("""COMPUTED_VALUE"""),"無")</f>
        <v>無</v>
      </c>
      <c r="BM13" s="4"/>
      <c r="BN13" s="4"/>
      <c r="BO13" s="4"/>
      <c r="BP13" s="4"/>
      <c r="BQ13" s="4"/>
      <c r="BR13" s="4"/>
      <c r="BS13" s="4"/>
      <c r="BT13" s="4"/>
      <c r="BU13" s="4"/>
      <c r="BV13" s="4"/>
      <c r="BW13" s="4" t="str">
        <f ca="1">IFERROR(__xludf.DUMMYFUNCTION("""COMPUTED_VALUE"""),"入力")</f>
        <v>入力</v>
      </c>
      <c r="BX13" s="4" t="str">
        <f ca="1">IFERROR(__xludf.DUMMYFUNCTION("""COMPUTED_VALUE"""),"前立腺肥大")</f>
        <v>前立腺肥大</v>
      </c>
      <c r="BY13" s="4" t="str">
        <f ca="1">IFERROR(__xludf.DUMMYFUNCTION("""COMPUTED_VALUE"""),"不詳")</f>
        <v>不詳</v>
      </c>
      <c r="BZ13" s="4" t="str">
        <f ca="1">IFERROR(__xludf.DUMMYFUNCTION("""COMPUTED_VALUE"""),"高血圧症")</f>
        <v>高血圧症</v>
      </c>
      <c r="CA13" s="4" t="str">
        <f ca="1">IFERROR(__xludf.DUMMYFUNCTION("""COMPUTED_VALUE"""),"平成6年")</f>
        <v>平成6年</v>
      </c>
      <c r="CB13" s="4" t="str">
        <f ca="1">IFERROR(__xludf.DUMMYFUNCTION("""COMPUTED_VALUE"""),"糖尿病")</f>
        <v>糖尿病</v>
      </c>
      <c r="CC13" s="4" t="str">
        <f ca="1">IFERROR(__xludf.DUMMYFUNCTION("""COMPUTED_VALUE"""),"平成6年")</f>
        <v>平成6年</v>
      </c>
      <c r="CD13" s="4" t="str">
        <f ca="1">IFERROR(__xludf.DUMMYFUNCTION("""COMPUTED_VALUE"""),"高脂血症")</f>
        <v>高脂血症</v>
      </c>
      <c r="CE13" s="4" t="str">
        <f ca="1">IFERROR(__xludf.DUMMYFUNCTION("""COMPUTED_VALUE"""),"平成6年")</f>
        <v>平成6年</v>
      </c>
      <c r="CF13" s="4"/>
      <c r="CG13" s="4"/>
      <c r="CH13" s="4"/>
      <c r="CI13" s="4"/>
      <c r="CJ13" s="4" t="str">
        <f ca="1">IFERROR(__xludf.DUMMYFUNCTION("""COMPUTED_VALUE"""),"現在は月２回前立腺肥大で武内病院を受診している。また糖尿病や高脂血症、高血圧症にて高野尾クリニックに定期的に受診しており処方を受けている。入居後は加藤医院に変更となる。")</f>
        <v>現在は月２回前立腺肥大で武内病院を受診している。また糖尿病や高脂血症、高血圧症にて高野尾クリニックに定期的に受診しており処方を受けている。入居後は加藤医院に変更となる。</v>
      </c>
      <c r="CK13" s="4"/>
      <c r="CL13" s="4"/>
      <c r="CM13" s="4"/>
      <c r="CN13" s="4"/>
      <c r="CO13" s="4"/>
      <c r="CP13" s="4"/>
      <c r="CQ13" s="4"/>
      <c r="CR13" s="4"/>
      <c r="CS13" s="4" t="str">
        <f ca="1">IFERROR(__xludf.DUMMYFUNCTION("""COMPUTED_VALUE"""),"平成22年に脊柱管狭窄症となっており、それ以降下肢のしびれや筋力低下、脱力等の症状がある。")</f>
        <v>平成22年に脊柱管狭窄症となっており、それ以降下肢のしびれや筋力低下、脱力等の症状がある。</v>
      </c>
      <c r="CT13" s="4" t="str">
        <f ca="1">IFERROR(__xludf.DUMMYFUNCTION("""COMPUTED_VALUE"""),"奥様が袋を開封し手に薬を出して飲んで頂いている。")</f>
        <v>奥様が袋を開封し手に薬を出して飲んで頂いている。</v>
      </c>
      <c r="CU13" s="4"/>
      <c r="CV13" s="4"/>
      <c r="CW13" s="4"/>
      <c r="CX13" s="4" t="str">
        <f ca="1">IFERROR(__xludf.DUMMYFUNCTION("""COMPUTED_VALUE"""),"入力")</f>
        <v>入力</v>
      </c>
      <c r="CY13" s="4" t="str">
        <f ca="1">IFERROR(__xludf.DUMMYFUNCTION("""COMPUTED_VALUE"""),"無")</f>
        <v>無</v>
      </c>
      <c r="CZ13" s="4" t="str">
        <f ca="1">IFERROR(__xludf.DUMMYFUNCTION("""COMPUTED_VALUE"""),"無")</f>
        <v>無</v>
      </c>
      <c r="DA13" s="4" t="str">
        <f ca="1">IFERROR(__xludf.DUMMYFUNCTION("""COMPUTED_VALUE"""),"無")</f>
        <v>無</v>
      </c>
      <c r="DB13" s="4" t="str">
        <f ca="1">IFERROR(__xludf.DUMMYFUNCTION("""COMPUTED_VALUE"""),"特になし")</f>
        <v>特になし</v>
      </c>
      <c r="DC13" s="4" t="str">
        <f ca="1">IFERROR(__xludf.DUMMYFUNCTION("""COMPUTED_VALUE"""),"特になし")</f>
        <v>特になし</v>
      </c>
      <c r="DD13" s="4"/>
      <c r="DE13" s="4"/>
      <c r="DF13" s="4" t="str">
        <f ca="1">IFERROR(__xludf.DUMMYFUNCTION("""COMPUTED_VALUE"""),"正常")</f>
        <v>正常</v>
      </c>
      <c r="DG13" s="4" t="str">
        <f ca="1">IFERROR(__xludf.DUMMYFUNCTION("""COMPUTED_VALUE"""),"無")</f>
        <v>無</v>
      </c>
      <c r="DH13" s="4" t="str">
        <f ca="1">IFERROR(__xludf.DUMMYFUNCTION("""COMPUTED_VALUE"""),"正常")</f>
        <v>正常</v>
      </c>
      <c r="DI13" s="4" t="str">
        <f ca="1">IFERROR(__xludf.DUMMYFUNCTION("""COMPUTED_VALUE"""),"無")</f>
        <v>無</v>
      </c>
      <c r="DJ13" s="4" t="str">
        <f ca="1">IFERROR(__xludf.DUMMYFUNCTION("""COMPUTED_VALUE"""),"大きな病気はなく健康状態は比較的良好だが、前立腺肥大の服薬の副作用によるものが尿が多量となっている。
病名はついていないが、手の震えもある。")</f>
        <v>大きな病気はなく健康状態は比較的良好だが、前立腺肥大の服薬の副作用によるものが尿が多量となっている。
病名はついていないが、手の震えもある。</v>
      </c>
      <c r="DK13" s="4"/>
      <c r="DL13" s="4" t="str">
        <f ca="1">IFERROR(__xludf.DUMMYFUNCTION("""COMPUTED_VALUE"""),"入力")</f>
        <v>入力</v>
      </c>
      <c r="DM13" s="4" t="str">
        <f ca="1">IFERROR(__xludf.DUMMYFUNCTION("""COMPUTED_VALUE"""),"有")</f>
        <v>有</v>
      </c>
      <c r="DN13" s="4" t="str">
        <f ca="1">IFERROR(__xludf.DUMMYFUNCTION("""COMPUTED_VALUE"""),"中等度")</f>
        <v>中等度</v>
      </c>
      <c r="DO13" s="4" t="str">
        <f ca="1">IFERROR(__xludf.DUMMYFUNCTION("""COMPUTED_VALUE"""),"大声・奇声")</f>
        <v>大声・奇声</v>
      </c>
      <c r="DP13" s="4" t="str">
        <f ca="1">IFERROR(__xludf.DUMMYFUNCTION("""COMPUTED_VALUE"""),"可能")</f>
        <v>可能</v>
      </c>
      <c r="DQ13" s="4" t="str">
        <f ca="1">IFERROR(__xludf.DUMMYFUNCTION("""COMPUTED_VALUE"""),"その場のみ可")</f>
        <v>その場のみ可</v>
      </c>
      <c r="DR13" s="4" t="str">
        <f ca="1">IFERROR(__xludf.DUMMYFUNCTION("""COMPUTED_VALUE"""),"認知機能は低下が見られ、特に見当識が著明。食事を食べた直後でも食べた食事内容を忘れたり、食べていないということもある。
自分の気に入らないことがあると大声で怒ったりする。介護抵抗はないものの、デイサービスや入浴時に拒否的な発言が見られる。
危険認識力の低下により、自分のことは自分でできると言動がある。")</f>
        <v>認知機能は低下が見られ、特に見当識が著明。食事を食べた直後でも食べた食事内容を忘れたり、食べていないということもある。
自分の気に入らないことがあると大声で怒ったりする。介護抵抗はないものの、デイサービスや入浴時に拒否的な発言が見られる。
危険認識力の低下により、自分のことは自分でできると言動がある。</v>
      </c>
      <c r="DS13" s="4"/>
      <c r="DT13" s="4"/>
      <c r="DU13" s="4" t="str">
        <f ca="1">IFERROR(__xludf.DUMMYFUNCTION("""COMPUTED_VALUE"""),"入力")</f>
        <v>入力</v>
      </c>
      <c r="DV13" s="4" t="str">
        <f ca="1">IFERROR(__xludf.DUMMYFUNCTION("""COMPUTED_VALUE"""),"何かにつかまればできる")</f>
        <v>何かにつかまればできる</v>
      </c>
      <c r="DW13" s="4" t="str">
        <f ca="1">IFERROR(__xludf.DUMMYFUNCTION("""COMPUTED_VALUE"""),"何かにつかまればできる")</f>
        <v>何かにつかまればできる</v>
      </c>
      <c r="DX13" s="4" t="str">
        <f ca="1">IFERROR(__xludf.DUMMYFUNCTION("""COMPUTED_VALUE"""),"支えてもらえればできる")</f>
        <v>支えてもらえればできる</v>
      </c>
      <c r="DY13" s="4" t="str">
        <f ca="1">IFERROR(__xludf.DUMMYFUNCTION("""COMPUTED_VALUE"""),"何かにつかまればできる")</f>
        <v>何かにつかまればできる</v>
      </c>
      <c r="DZ13" s="4" t="str">
        <f ca="1">IFERROR(__xludf.DUMMYFUNCTION("""COMPUTED_VALUE"""),"何か支えがあればできる")</f>
        <v>何か支えがあればできる</v>
      </c>
      <c r="EA13" s="4" t="str">
        <f ca="1">IFERROR(__xludf.DUMMYFUNCTION("""COMPUTED_VALUE"""),"一部介助")</f>
        <v>一部介助</v>
      </c>
      <c r="EB13" s="4" t="str">
        <f ca="1">IFERROR(__xludf.DUMMYFUNCTION("""COMPUTED_VALUE"""),"一部介助")</f>
        <v>一部介助</v>
      </c>
      <c r="EC13" s="4" t="str">
        <f ca="1">IFERROR(__xludf.DUMMYFUNCTION("""COMPUTED_VALUE"""),"独歩")</f>
        <v>独歩</v>
      </c>
      <c r="ED13" s="4" t="str">
        <f ca="1">IFERROR(__xludf.DUMMYFUNCTION("""COMPUTED_VALUE"""),"一部介助")</f>
        <v>一部介助</v>
      </c>
      <c r="EE13" s="4" t="str">
        <f ca="1">IFERROR(__xludf.DUMMYFUNCTION("""COMPUTED_VALUE"""),"独歩")</f>
        <v>独歩</v>
      </c>
      <c r="EF13" s="4" t="str">
        <f ca="1">IFERROR(__xludf.DUMMYFUNCTION("""COMPUTED_VALUE"""),"現在床で寝られており、起き上がりや起立に介助が必要。椅子からの起立は低いと立ち上がりにくさはあったがご自身で可能。移動は現在は常に奥様が付き添って介助を行う。ご自身で歩かれる様子も見られる。
手すりを使用することでお一人でも移動が可能。入居後は歩行器を提案。")</f>
        <v>現在床で寝られており、起き上がりや起立に介助が必要。椅子からの起立は低いと立ち上がりにくさはあったがご自身で可能。移動は現在は常に奥様が付き添って介助を行う。ご自身で歩かれる様子も見られる。
手すりを使用することでお一人でも移動が可能。入居後は歩行器を提案。</v>
      </c>
      <c r="EG13" s="4"/>
      <c r="EH13" s="4" t="str">
        <f ca="1">IFERROR(__xludf.DUMMYFUNCTION("""COMPUTED_VALUE"""),"入力")</f>
        <v>入力</v>
      </c>
      <c r="EI13" s="4" t="str">
        <f ca="1">IFERROR(__xludf.DUMMYFUNCTION("""COMPUTED_VALUE"""),"入力")</f>
        <v>入力</v>
      </c>
      <c r="EJ13" s="4" t="str">
        <f ca="1">IFERROR(__xludf.DUMMYFUNCTION("""COMPUTED_VALUE"""),"経口摂取")</f>
        <v>経口摂取</v>
      </c>
      <c r="EK13" s="4" t="str">
        <f ca="1">IFERROR(__xludf.DUMMYFUNCTION("""COMPUTED_VALUE"""),"自立")</f>
        <v>自立</v>
      </c>
      <c r="EL13" s="4" t="str">
        <f ca="1">IFERROR(__xludf.DUMMYFUNCTION("""COMPUTED_VALUE"""),"できる")</f>
        <v>できる</v>
      </c>
      <c r="EM13" s="4" t="str">
        <f ca="1">IFERROR(__xludf.DUMMYFUNCTION("""COMPUTED_VALUE"""),"普通")</f>
        <v>普通</v>
      </c>
      <c r="EN13" s="4" t="str">
        <f ca="1">IFERROR(__xludf.DUMMYFUNCTION("""COMPUTED_VALUE"""),"普通")</f>
        <v>普通</v>
      </c>
      <c r="EO13" s="4" t="str">
        <f ca="1">IFERROR(__xludf.DUMMYFUNCTION("""COMPUTED_VALUE"""),"無")</f>
        <v>無</v>
      </c>
      <c r="EP13" s="4" t="str">
        <f ca="1">IFERROR(__xludf.DUMMYFUNCTION("""COMPUTED_VALUE"""),"無")</f>
        <v>無</v>
      </c>
      <c r="EQ13" s="4" t="str">
        <f ca="1">IFERROR(__xludf.DUMMYFUNCTION("""COMPUTED_VALUE"""),"箸 , スプーン")</f>
        <v>箸 , スプーン</v>
      </c>
      <c r="ER13" s="4" t="str">
        <f ca="1">IFERROR(__xludf.DUMMYFUNCTION("""COMPUTED_VALUE"""),"手の震えがあり、食べこぼしが多いもののご自身で食べることができる。")</f>
        <v>手の震えがあり、食べこぼしが多いもののご自身で食べることができる。</v>
      </c>
      <c r="ES13" s="4"/>
      <c r="ET13" s="4" t="str">
        <f ca="1">IFERROR(__xludf.DUMMYFUNCTION("""COMPUTED_VALUE"""),"入力")</f>
        <v>入力</v>
      </c>
      <c r="EU13" s="4" t="str">
        <f ca="1">IFERROR(__xludf.DUMMYFUNCTION("""COMPUTED_VALUE"""),"見守り")</f>
        <v>見守り</v>
      </c>
      <c r="EV13" s="4"/>
      <c r="EW13" s="4" t="str">
        <f ca="1">IFERROR(__xludf.DUMMYFUNCTION("""COMPUTED_VALUE"""),"無")</f>
        <v>無</v>
      </c>
      <c r="EX13" s="4"/>
      <c r="EY13" s="4"/>
      <c r="EZ13" s="4" t="str">
        <f ca="1">IFERROR(__xludf.DUMMYFUNCTION("""COMPUTED_VALUE"""),"歯みがきは促しやセッティングは必要なものの、手渡しするとご自身で行えている。義歯はなく、すべて自分の歯となっている。")</f>
        <v>歯みがきは促しやセッティングは必要なものの、手渡しするとご自身で行えている。義歯はなく、すべて自分の歯となっている。</v>
      </c>
      <c r="FA13" s="4"/>
      <c r="FB13" s="4" t="str">
        <f ca="1">IFERROR(__xludf.DUMMYFUNCTION("""COMPUTED_VALUE"""),"入力")</f>
        <v>入力</v>
      </c>
      <c r="FC13" s="4" t="str">
        <f ca="1">IFERROR(__xludf.DUMMYFUNCTION("""COMPUTED_VALUE"""),"一部介助")</f>
        <v>一部介助</v>
      </c>
      <c r="FD13" s="4" t="str">
        <f ca="1">IFERROR(__xludf.DUMMYFUNCTION("""COMPUTED_VALUE"""),"シャワー浴")</f>
        <v>シャワー浴</v>
      </c>
      <c r="FE13" s="4" t="str">
        <f ca="1">IFERROR(__xludf.DUMMYFUNCTION("""COMPUTED_VALUE"""),"無")</f>
        <v>無</v>
      </c>
      <c r="FF13" s="4"/>
      <c r="FG13" s="4" t="str">
        <f ca="1">IFERROR(__xludf.DUMMYFUNCTION("""COMPUTED_VALUE"""),"一部介助")</f>
        <v>一部介助</v>
      </c>
      <c r="FH13" s="4" t="str">
        <f ca="1">IFERROR(__xludf.DUMMYFUNCTION("""COMPUTED_VALUE"""),"全介助")</f>
        <v>全介助</v>
      </c>
      <c r="FI13" s="4" t="str">
        <f ca="1">IFERROR(__xludf.DUMMYFUNCTION("""COMPUTED_VALUE"""),"現在入浴は、花紬デイサービスで週４回入浴しており、デイサービスがない日は奥様が自宅のお風呂に介助で入れている。着替えも協力動作はあるものの介助が必要な状況。")</f>
        <v>現在入浴は、花紬デイサービスで週４回入浴しており、デイサービスがない日は奥様が自宅のお風呂に介助で入れている。着替えも協力動作はあるものの介助が必要な状況。</v>
      </c>
      <c r="FJ13" s="4"/>
      <c r="FK13" s="4" t="str">
        <f ca="1">IFERROR(__xludf.DUMMYFUNCTION("""COMPUTED_VALUE"""),"入力")</f>
        <v>入力</v>
      </c>
      <c r="FL13" s="4" t="str">
        <f ca="1">IFERROR(__xludf.DUMMYFUNCTION("""COMPUTED_VALUE"""),"一部介助")</f>
        <v>一部介助</v>
      </c>
      <c r="FM13" s="4" t="str">
        <f ca="1">IFERROR(__xludf.DUMMYFUNCTION("""COMPUTED_VALUE"""),"有")</f>
        <v>有</v>
      </c>
      <c r="FN13" s="4" t="str">
        <f ca="1">IFERROR(__xludf.DUMMYFUNCTION("""COMPUTED_VALUE"""),"有")</f>
        <v>有</v>
      </c>
      <c r="FO13" s="4" t="str">
        <f ca="1">IFERROR(__xludf.DUMMYFUNCTION("""COMPUTED_VALUE"""),"有")</f>
        <v>有</v>
      </c>
      <c r="FP13" s="4" t="str">
        <f ca="1">IFERROR(__xludf.DUMMYFUNCTION("""COMPUTED_VALUE"""),"有")</f>
        <v>有</v>
      </c>
      <c r="FQ13" s="4"/>
      <c r="FR13" s="4" t="str">
        <f ca="1">IFERROR(__xludf.DUMMYFUNCTION("""COMPUTED_VALUE"""),"トイレ")</f>
        <v>トイレ</v>
      </c>
      <c r="FS13" s="4" t="str">
        <f ca="1">IFERROR(__xludf.DUMMYFUNCTION("""COMPUTED_VALUE"""),"トイレ")</f>
        <v>トイレ</v>
      </c>
      <c r="FT13" s="4" t="str">
        <f ca="1">IFERROR(__xludf.DUMMYFUNCTION("""COMPUTED_VALUE"""),"リハビリパンツ , 大パット")</f>
        <v>リハビリパンツ , 大パット</v>
      </c>
      <c r="FU13" s="4" t="str">
        <f ca="1">IFERROR(__xludf.DUMMYFUNCTION("""COMPUTED_VALUE"""),"尿意便意はあるものの曖昧。前立腺肥大の服薬の副作用か、尿量が多量でちょろちょろ出ていることに気づかれておらず毎日失禁が見られる。
ご自身でトイレに行かれる姿はあるものの、すでにリハビリパンツ内に出ていることがほとんど。リハビリパンツの交換は奥様が介助で行っている。夜間やリハビリパンツに大パットを使用している。")</f>
        <v>尿意便意はあるものの曖昧。前立腺肥大の服薬の副作用か、尿量が多量でちょろちょろ出ていることに気づかれておらず毎日失禁が見られる。
ご自身でトイレに行かれる姿はあるものの、すでにリハビリパンツ内に出ていることがほとんど。リハビリパンツの交換は奥様が介助で行っている。夜間やリハビリパンツに大パットを使用している。</v>
      </c>
      <c r="FV13" s="4"/>
      <c r="FW13" s="4"/>
      <c r="FX13" s="4" t="str">
        <f ca="1">IFERROR(__xludf.DUMMYFUNCTION("""COMPUTED_VALUE"""),"入力")</f>
        <v>入力</v>
      </c>
      <c r="FY13" s="4" t="str">
        <f ca="1">IFERROR(__xludf.DUMMYFUNCTION("""COMPUTED_VALUE"""),"全介助")</f>
        <v>全介助</v>
      </c>
      <c r="FZ13" s="4" t="str">
        <f ca="1">IFERROR(__xludf.DUMMYFUNCTION("""COMPUTED_VALUE"""),"全介助")</f>
        <v>全介助</v>
      </c>
      <c r="GA13" s="4" t="str">
        <f ca="1">IFERROR(__xludf.DUMMYFUNCTION("""COMPUTED_VALUE"""),"全介助")</f>
        <v>全介助</v>
      </c>
      <c r="GB13" s="4" t="str">
        <f ca="1">IFERROR(__xludf.DUMMYFUNCTION("""COMPUTED_VALUE"""),"全介助")</f>
        <v>全介助</v>
      </c>
      <c r="GC13" s="4" t="str">
        <f ca="1">IFERROR(__xludf.DUMMYFUNCTION("""COMPUTED_VALUE"""),"全介助")</f>
        <v>全介助</v>
      </c>
      <c r="GD13" s="4" t="str">
        <f ca="1">IFERROR(__xludf.DUMMYFUNCTION("""COMPUTED_VALUE"""),"すべて奥様の介助で行っている。")</f>
        <v>すべて奥様の介助で行っている。</v>
      </c>
      <c r="GE13" s="4"/>
      <c r="GF13" s="4"/>
      <c r="GG13" s="4" t="str">
        <f ca="1">IFERROR(__xludf.DUMMYFUNCTION("""COMPUTED_VALUE"""),"本人は頑固な性格のため、怒り出してしまうことも度々見られると考えられる。また危険認識力の低下により転倒のリスクもかなり高いためリスク同意書の説明を行う。")</f>
        <v>本人は頑固な性格のため、怒り出してしまうことも度々見られると考えられる。また危険認識力の低下により転倒のリスクもかなり高いためリスク同意書の説明を行う。</v>
      </c>
      <c r="GH13" s="4">
        <f ca="1">IFERROR(__xludf.DUMMYFUNCTION("""COMPUTED_VALUE"""),30)</f>
        <v>30</v>
      </c>
      <c r="GI13" s="4"/>
    </row>
    <row r="14" spans="1:191">
      <c r="A14" s="4"/>
      <c r="B14" s="4"/>
      <c r="C14" s="4" t="str">
        <f ca="1">IFERROR(__xludf.DUMMYFUNCTION("""COMPUTED_VALUE"""),"近澤　秋男")</f>
        <v>近澤　秋男</v>
      </c>
      <c r="D14" s="4" t="str">
        <f ca="1">IFERROR(__xludf.DUMMYFUNCTION("""COMPUTED_VALUE"""),"5dee2753")</f>
        <v>5dee2753</v>
      </c>
      <c r="E14" s="4"/>
      <c r="F14" s="4"/>
      <c r="G14" s="4"/>
      <c r="H14" s="4"/>
      <c r="I14" s="5">
        <f ca="1">IFERROR(__xludf.DUMMYFUNCTION("""COMPUTED_VALUE"""),45572)</f>
        <v>45572</v>
      </c>
      <c r="J14" s="4" t="str">
        <f ca="1">IFERROR(__xludf.DUMMYFUNCTION("""COMPUTED_VALUE"""),"山川　和輝")</f>
        <v>山川　和輝</v>
      </c>
      <c r="K14" s="4"/>
      <c r="L14" s="4" t="str">
        <f ca="1">IFERROR(__xludf.DUMMYFUNCTION("""COMPUTED_VALUE"""),"本人の居室")</f>
        <v>本人の居室</v>
      </c>
      <c r="M14" s="4" t="str">
        <f ca="1">IFERROR(__xludf.DUMMYFUNCTION("""COMPUTED_VALUE"""),"もともと長男夫婦、奥様と同居していたが、奥様の認知症が悪化し平成28年に妻は施設入所。平成30年2月にご逝去されている。本人も物忘れ等がみられるが介護サービスを受けず生活されていた。令和1年8月21日に自転車運転中に車と接触事故を起こし左足2ヵ所骨折、亀山医療センター入院となる。令和1年8月22日、接合術施行。歩行が出来る程回復したが認知症を発症し自宅で生活が出来なくなり、老健施設に入所となった。
退所後、自宅生活が難しいことから令和3年9月11日に安濃津ろまんへ入居となった。")</f>
        <v>もともと長男夫婦、奥様と同居していたが、奥様の認知症が悪化し平成28年に妻は施設入所。平成30年2月にご逝去されている。本人も物忘れ等がみられるが介護サービスを受けず生活されていた。令和1年8月21日に自転車運転中に車と接触事故を起こし左足2ヵ所骨折、亀山医療センター入院となる。令和1年8月22日、接合術施行。歩行が出来る程回復したが認知症を発症し自宅で生活が出来なくなり、老健施設に入所となった。
退所後、自宅生活が難しいことから令和3年9月11日に安濃津ろまんへ入居となった。</v>
      </c>
      <c r="N14" s="4" t="str">
        <f ca="1">IFERROR(__xludf.DUMMYFUNCTION("""COMPUTED_VALUE"""),"色々と厄介になりますが、よろしくお願いします。")</f>
        <v>色々と厄介になりますが、よろしくお願いします。</v>
      </c>
      <c r="O14" s="4" t="str">
        <f ca="1">IFERROR(__xludf.DUMMYFUNCTION("""COMPUTED_VALUE"""),"今の健康状態を維持した生活が送れるようにしたいと思っています。")</f>
        <v>今の健康状態を維持した生活が送れるようにしたいと思っています。</v>
      </c>
      <c r="P14" s="4"/>
      <c r="Q14" s="4" t="str">
        <f ca="1">IFERROR(__xludf.DUMMYFUNCTION("""COMPUTED_VALUE"""),"入力")</f>
        <v>入力</v>
      </c>
      <c r="R14" s="4" t="str">
        <f ca="1">IFERROR(__xludf.DUMMYFUNCTION("""COMPUTED_VALUE"""),"要介護２")</f>
        <v>要介護２</v>
      </c>
      <c r="S14" s="4" t="str">
        <f ca="1">IFERROR(__xludf.DUMMYFUNCTION("""COMPUTED_VALUE"""),"令和6年8月30日")</f>
        <v>令和6年8月30日</v>
      </c>
      <c r="T14" s="4" t="str">
        <f ca="1">IFERROR(__xludf.DUMMYFUNCTION("""COMPUTED_VALUE"""),"令和6年9月1日")</f>
        <v>令和6年9月1日</v>
      </c>
      <c r="U14" s="4" t="str">
        <f ca="1">IFERROR(__xludf.DUMMYFUNCTION("""COMPUTED_VALUE"""),"令和9年8月31日")</f>
        <v>令和9年8月31日</v>
      </c>
      <c r="V14" s="4" t="str">
        <f ca="1">IFERROR(__xludf.DUMMYFUNCTION("""COMPUTED_VALUE"""),"２割負担")</f>
        <v>２割負担</v>
      </c>
      <c r="W14" s="4" t="str">
        <f ca="1">IFERROR(__xludf.DUMMYFUNCTION("""COMPUTED_VALUE"""),"後期高齢者医療保険")</f>
        <v>後期高齢者医療保険</v>
      </c>
      <c r="X14" s="4" t="str">
        <f ca="1">IFERROR(__xludf.DUMMYFUNCTION("""COMPUTED_VALUE"""),"無")</f>
        <v>無</v>
      </c>
      <c r="Y14" s="4"/>
      <c r="Z14" s="4" t="str">
        <f ca="1">IFERROR(__xludf.DUMMYFUNCTION("""COMPUTED_VALUE"""),"無")</f>
        <v>無</v>
      </c>
      <c r="AA14" s="4" t="str">
        <f ca="1">IFERROR(__xludf.DUMMYFUNCTION("""COMPUTED_VALUE"""),"無")</f>
        <v>無</v>
      </c>
      <c r="AB14" s="4"/>
      <c r="AC14" s="4"/>
      <c r="AD14" s="4"/>
      <c r="AE14" s="4" t="str">
        <f ca="1">IFERROR(__xludf.DUMMYFUNCTION("""COMPUTED_VALUE"""),"入力")</f>
        <v>入力</v>
      </c>
      <c r="AF14" s="4" t="str">
        <f ca="1">IFERROR(__xludf.DUMMYFUNCTION("""COMPUTED_VALUE"""),"近澤　勝則様")</f>
        <v>近澤　勝則様</v>
      </c>
      <c r="AG14" s="4" t="str">
        <f ca="1">IFERROR(__xludf.DUMMYFUNCTION("""COMPUTED_VALUE"""),"長男")</f>
        <v>長男</v>
      </c>
      <c r="AH14" s="4"/>
      <c r="AI14" s="4" t="str">
        <f ca="1">IFERROR(__xludf.DUMMYFUNCTION("""COMPUTED_VALUE"""),"別居")</f>
        <v>別居</v>
      </c>
      <c r="AJ14" s="4" t="str">
        <f ca="1">IFERROR(__xludf.DUMMYFUNCTION("""COMPUTED_VALUE"""),"介護する")</f>
        <v>介護する</v>
      </c>
      <c r="AK14" s="4" t="str">
        <f ca="1">IFERROR(__xludf.DUMMYFUNCTION("""COMPUTED_VALUE"""),"有")</f>
        <v>有</v>
      </c>
      <c r="AL14" s="4" t="str">
        <f ca="1">IFERROR(__xludf.DUMMYFUNCTION("""COMPUTED_VALUE"""),"090-7679-0111")</f>
        <v>090-7679-0111</v>
      </c>
      <c r="AM14" s="4" t="str">
        <f ca="1">IFERROR(__xludf.DUMMYFUNCTION("""COMPUTED_VALUE"""),"KP　自宅：0595-82-4405")</f>
        <v>KP　自宅：0595-82-4405</v>
      </c>
      <c r="AN14" s="4" t="str">
        <f ca="1">IFERROR(__xludf.DUMMYFUNCTION("""COMPUTED_VALUE"""),"近澤　正代様")</f>
        <v>近澤　正代様</v>
      </c>
      <c r="AO14" s="4" t="str">
        <f ca="1">IFERROR(__xludf.DUMMYFUNCTION("""COMPUTED_VALUE"""),"長男の妻")</f>
        <v>長男の妻</v>
      </c>
      <c r="AP14" s="4"/>
      <c r="AQ14" s="4" t="str">
        <f ca="1">IFERROR(__xludf.DUMMYFUNCTION("""COMPUTED_VALUE"""),"別居")</f>
        <v>別居</v>
      </c>
      <c r="AR14" s="4" t="str">
        <f ca="1">IFERROR(__xludf.DUMMYFUNCTION("""COMPUTED_VALUE"""),"介護しない")</f>
        <v>介護しない</v>
      </c>
      <c r="AS14" s="4"/>
      <c r="AT14" s="4" t="str">
        <f ca="1">IFERROR(__xludf.DUMMYFUNCTION("""COMPUTED_VALUE"""),"090-5032-6663")</f>
        <v>090-5032-6663</v>
      </c>
      <c r="AU14" s="4"/>
      <c r="AV14" s="4"/>
      <c r="AW14" s="4" t="str">
        <f ca="1">IFERROR(__xludf.DUMMYFUNCTION("""COMPUTED_VALUE"""),"入力")</f>
        <v>入力</v>
      </c>
      <c r="AX14" s="4" t="str">
        <f ca="1">IFERROR(__xludf.DUMMYFUNCTION("""COMPUTED_VALUE"""),"一人暮らし")</f>
        <v>一人暮らし</v>
      </c>
      <c r="AY14" s="4" t="str">
        <f ca="1">IFERROR(__xludf.DUMMYFUNCTION("""COMPUTED_VALUE"""),"集合住宅")</f>
        <v>集合住宅</v>
      </c>
      <c r="AZ14" s="4" t="str">
        <f ca="1">IFERROR(__xludf.DUMMYFUNCTION("""COMPUTED_VALUE"""),"エレベーター有")</f>
        <v>エレベーター有</v>
      </c>
      <c r="BA14" s="4" t="str">
        <f ca="1">IFERROR(__xludf.DUMMYFUNCTION("""COMPUTED_VALUE"""),"賃貸")</f>
        <v>賃貸</v>
      </c>
      <c r="BB14" s="4" t="str">
        <f ca="1">IFERROR(__xludf.DUMMYFUNCTION("""COMPUTED_VALUE"""),"有")</f>
        <v>有</v>
      </c>
      <c r="BC14" s="4" t="str">
        <f ca="1">IFERROR(__xludf.DUMMYFUNCTION("""COMPUTED_VALUE"""),"有")</f>
        <v>有</v>
      </c>
      <c r="BD14" s="4" t="str">
        <f ca="1">IFERROR(__xludf.DUMMYFUNCTION("""COMPUTED_VALUE"""),"ウォシュレット")</f>
        <v>ウォシュレット</v>
      </c>
      <c r="BE14" s="4"/>
      <c r="BF14" s="4"/>
      <c r="BG14" s="4" t="str">
        <f ca="1">IFERROR(__xludf.DUMMYFUNCTION("""COMPUTED_VALUE"""),"有")</f>
        <v>有</v>
      </c>
      <c r="BH14" s="4" t="str">
        <f ca="1">IFERROR(__xludf.DUMMYFUNCTION("""COMPUTED_VALUE"""),"手すり有")</f>
        <v>手すり有</v>
      </c>
      <c r="BI14" s="4" t="str">
        <f ca="1">IFERROR(__xludf.DUMMYFUNCTION("""COMPUTED_VALUE"""),"リクライニングベッド")</f>
        <v>リクライニングベッド</v>
      </c>
      <c r="BJ14" s="4" t="str">
        <f ca="1">IFERROR(__xludf.DUMMYFUNCTION("""COMPUTED_VALUE"""),"無")</f>
        <v>無</v>
      </c>
      <c r="BK14" s="4" t="str">
        <f ca="1">IFERROR(__xludf.DUMMYFUNCTION("""COMPUTED_VALUE"""),"無")</f>
        <v>無</v>
      </c>
      <c r="BL14" s="4" t="str">
        <f ca="1">IFERROR(__xludf.DUMMYFUNCTION("""COMPUTED_VALUE"""),"無")</f>
        <v>無</v>
      </c>
      <c r="BM14" s="4"/>
      <c r="BN14" s="4"/>
      <c r="BO14" s="4" t="str">
        <f ca="1">IFERROR(__xludf.DUMMYFUNCTION("""COMPUTED_VALUE"""),"入力")</f>
        <v>入力</v>
      </c>
      <c r="BP14" s="4" t="str">
        <f ca="1">IFERROR(__xludf.DUMMYFUNCTION("""COMPUTED_VALUE"""),"訪問介護 , 訪問看護 , 通所介護")</f>
        <v>訪問介護 , 訪問看護 , 通所介護</v>
      </c>
      <c r="BQ14" s="4" t="str">
        <f ca="1">IFERROR(__xludf.DUMMYFUNCTION("""COMPUTED_VALUE"""),"特殊寝台 , 特殊寝台付属品 , 歩行器")</f>
        <v>特殊寝台 , 特殊寝台付属品 , 歩行器</v>
      </c>
      <c r="BR14" s="4"/>
      <c r="BS14" s="4" t="str">
        <f ca="1">IFERROR(__xludf.DUMMYFUNCTION("""COMPUTED_VALUE"""),"食事支援 , 排泄支援 , リネンリース , 洗濯")</f>
        <v>食事支援 , 排泄支援 , リネンリース , 洗濯</v>
      </c>
      <c r="BT14" s="4" t="str">
        <f ca="1">IFERROR(__xludf.DUMMYFUNCTION("""COMPUTED_VALUE"""),"他の利用者様とのトラブルは見られないが、コミュニケーションを取ることもない。")</f>
        <v>他の利用者様とのトラブルは見られないが、コミュニケーションを取ることもない。</v>
      </c>
      <c r="BU14" s="4"/>
      <c r="BV14" s="4"/>
      <c r="BW14" s="4" t="str">
        <f ca="1">IFERROR(__xludf.DUMMYFUNCTION("""COMPUTED_VALUE"""),"入力")</f>
        <v>入力</v>
      </c>
      <c r="BX14" s="4" t="str">
        <f ca="1">IFERROR(__xludf.DUMMYFUNCTION("""COMPUTED_VALUE"""),"認知症")</f>
        <v>認知症</v>
      </c>
      <c r="BY14" s="4"/>
      <c r="BZ14" s="4" t="str">
        <f ca="1">IFERROR(__xludf.DUMMYFUNCTION("""COMPUTED_VALUE"""),"左大腿骨骨折")</f>
        <v>左大腿骨骨折</v>
      </c>
      <c r="CA14" s="4" t="str">
        <f ca="1">IFERROR(__xludf.DUMMYFUNCTION("""COMPUTED_VALUE"""),"令和1年8月21日")</f>
        <v>令和1年8月21日</v>
      </c>
      <c r="CB14" s="4" t="str">
        <f ca="1">IFERROR(__xludf.DUMMYFUNCTION("""COMPUTED_VALUE"""),"大動脈解離")</f>
        <v>大動脈解離</v>
      </c>
      <c r="CC14" s="4" t="str">
        <f ca="1">IFERROR(__xludf.DUMMYFUNCTION("""COMPUTED_VALUE"""),"不詳")</f>
        <v>不詳</v>
      </c>
      <c r="CD14" s="4" t="str">
        <f ca="1">IFERROR(__xludf.DUMMYFUNCTION("""COMPUTED_VALUE"""),"腎臓片側摘出")</f>
        <v>腎臓片側摘出</v>
      </c>
      <c r="CE14" s="4" t="str">
        <f ca="1">IFERROR(__xludf.DUMMYFUNCTION("""COMPUTED_VALUE"""),"不詳")</f>
        <v>不詳</v>
      </c>
      <c r="CF14" s="4"/>
      <c r="CG14" s="4"/>
      <c r="CH14" s="4"/>
      <c r="CI14" s="4"/>
      <c r="CJ14" s="4" t="str">
        <f ca="1">IFERROR(__xludf.DUMMYFUNCTION("""COMPUTED_VALUE"""),"現在通院は行っていない。")</f>
        <v>現在通院は行っていない。</v>
      </c>
      <c r="CK14" s="4"/>
      <c r="CL14" s="4"/>
      <c r="CM14" s="4"/>
      <c r="CN14" s="4"/>
      <c r="CO14" s="4"/>
      <c r="CP14" s="4"/>
      <c r="CQ14" s="4"/>
      <c r="CR14" s="4"/>
      <c r="CS14" s="4" t="str">
        <f ca="1">IFERROR(__xludf.DUMMYFUNCTION("""COMPUTED_VALUE"""),"現在、鼠経ヘルニアがあるものの、痛みや違和感もなく主治医より経過観察の指示がある。")</f>
        <v>現在、鼠経ヘルニアがあるものの、痛みや違和感もなく主治医より経過観察の指示がある。</v>
      </c>
      <c r="CT14" s="4" t="str">
        <f ca="1">IFERROR(__xludf.DUMMYFUNCTION("""COMPUTED_VALUE"""),"服薬は看護師管理で、袋を開封して手渡ししている。")</f>
        <v>服薬は看護師管理で、袋を開封して手渡ししている。</v>
      </c>
      <c r="CU14" s="4"/>
      <c r="CV14" s="4"/>
      <c r="CW14" s="4"/>
      <c r="CX14" s="4" t="str">
        <f ca="1">IFERROR(__xludf.DUMMYFUNCTION("""COMPUTED_VALUE"""),"入力")</f>
        <v>入力</v>
      </c>
      <c r="CY14" s="4" t="str">
        <f ca="1">IFERROR(__xludf.DUMMYFUNCTION("""COMPUTED_VALUE"""),"無")</f>
        <v>無</v>
      </c>
      <c r="CZ14" s="4" t="str">
        <f ca="1">IFERROR(__xludf.DUMMYFUNCTION("""COMPUTED_VALUE"""),"無")</f>
        <v>無</v>
      </c>
      <c r="DA14" s="4" t="str">
        <f ca="1">IFERROR(__xludf.DUMMYFUNCTION("""COMPUTED_VALUE"""),"無")</f>
        <v>無</v>
      </c>
      <c r="DB14" s="4" t="str">
        <f ca="1">IFERROR(__xludf.DUMMYFUNCTION("""COMPUTED_VALUE"""),"特になし")</f>
        <v>特になし</v>
      </c>
      <c r="DC14" s="4" t="str">
        <f ca="1">IFERROR(__xludf.DUMMYFUNCTION("""COMPUTED_VALUE"""),"特になし")</f>
        <v>特になし</v>
      </c>
      <c r="DD14" s="4"/>
      <c r="DE14" s="4"/>
      <c r="DF14" s="4" t="str">
        <f ca="1">IFERROR(__xludf.DUMMYFUNCTION("""COMPUTED_VALUE"""),"大きい字は可")</f>
        <v>大きい字は可</v>
      </c>
      <c r="DG14" s="4" t="str">
        <f ca="1">IFERROR(__xludf.DUMMYFUNCTION("""COMPUTED_VALUE"""),"無")</f>
        <v>無</v>
      </c>
      <c r="DH14" s="4" t="str">
        <f ca="1">IFERROR(__xludf.DUMMYFUNCTION("""COMPUTED_VALUE"""),"大きい声は可")</f>
        <v>大きい声は可</v>
      </c>
      <c r="DI14" s="4" t="str">
        <f ca="1">IFERROR(__xludf.DUMMYFUNCTION("""COMPUTED_VALUE"""),"無")</f>
        <v>無</v>
      </c>
      <c r="DJ14" s="4" t="str">
        <f ca="1">IFERROR(__xludf.DUMMYFUNCTION("""COMPUTED_VALUE"""),"現在、鼠経ヘルニアがあるものの、痛みや違和感もなく主治医より経過観察の指示がある。痛みや違和感が生じるようなら、手術も適応となるが、ご家族様より今の精神状況が回復しない限り手術は控えたい。と希望あり。")</f>
        <v>現在、鼠経ヘルニアがあるものの、痛みや違和感もなく主治医より経過観察の指示がある。痛みや違和感が生じるようなら、手術も適応となるが、ご家族様より今の精神状況が回復しない限り手術は控えたい。と希望あり。</v>
      </c>
      <c r="DK14" s="4"/>
      <c r="DL14" s="4" t="str">
        <f ca="1">IFERROR(__xludf.DUMMYFUNCTION("""COMPUTED_VALUE"""),"入力")</f>
        <v>入力</v>
      </c>
      <c r="DM14" s="4" t="str">
        <f ca="1">IFERROR(__xludf.DUMMYFUNCTION("""COMPUTED_VALUE"""),"有")</f>
        <v>有</v>
      </c>
      <c r="DN14" s="4" t="str">
        <f ca="1">IFERROR(__xludf.DUMMYFUNCTION("""COMPUTED_VALUE"""),"中等度")</f>
        <v>中等度</v>
      </c>
      <c r="DO14" s="4" t="str">
        <f ca="1">IFERROR(__xludf.DUMMYFUNCTION("""COMPUTED_VALUE"""),"大声・奇声 , 暴力 , 暴言 , 介護抵抗 , 徘徊 , 不穏")</f>
        <v>大声・奇声 , 暴力 , 暴言 , 介護抵抗 , 徘徊 , 不穏</v>
      </c>
      <c r="DP14" s="4" t="str">
        <f ca="1">IFERROR(__xludf.DUMMYFUNCTION("""COMPUTED_VALUE"""),"不明瞭")</f>
        <v>不明瞭</v>
      </c>
      <c r="DQ14" s="4" t="str">
        <f ca="1">IFERROR(__xludf.DUMMYFUNCTION("""COMPUTED_VALUE"""),"その場のみ可")</f>
        <v>その場のみ可</v>
      </c>
      <c r="DR14" s="4" t="str">
        <f ca="1">IFERROR(__xludf.DUMMYFUNCTION("""COMPUTED_VALUE"""),"介護拒否が多く、気にくわないことがあると、大声を出されたり、暴力行為、唾を吐きかける行為等もある。特に入浴の際にはそのような行動が多発する。")</f>
        <v>介護拒否が多く、気にくわないことがあると、大声を出されたり、暴力行為、唾を吐きかける行為等もある。特に入浴の際にはそのような行動が多発する。</v>
      </c>
      <c r="DS14" s="4"/>
      <c r="DT14" s="4"/>
      <c r="DU14" s="4" t="str">
        <f ca="1">IFERROR(__xludf.DUMMYFUNCTION("""COMPUTED_VALUE"""),"入力")</f>
        <v>入力</v>
      </c>
      <c r="DV14" s="4" t="str">
        <f ca="1">IFERROR(__xludf.DUMMYFUNCTION("""COMPUTED_VALUE"""),"何かにつかまればできる")</f>
        <v>何かにつかまればできる</v>
      </c>
      <c r="DW14" s="4" t="str">
        <f ca="1">IFERROR(__xludf.DUMMYFUNCTION("""COMPUTED_VALUE"""),"何かにつかまればできる")</f>
        <v>何かにつかまればできる</v>
      </c>
      <c r="DX14" s="4" t="str">
        <f ca="1">IFERROR(__xludf.DUMMYFUNCTION("""COMPUTED_VALUE"""),"自分の手で支えればできる")</f>
        <v>自分の手で支えればできる</v>
      </c>
      <c r="DY14" s="4" t="str">
        <f ca="1">IFERROR(__xludf.DUMMYFUNCTION("""COMPUTED_VALUE"""),"何かにつかまればできる")</f>
        <v>何かにつかまればできる</v>
      </c>
      <c r="DZ14" s="4" t="str">
        <f ca="1">IFERROR(__xludf.DUMMYFUNCTION("""COMPUTED_VALUE"""),"何か支えがあればできる")</f>
        <v>何か支えがあればできる</v>
      </c>
      <c r="EA14" s="4" t="str">
        <f ca="1">IFERROR(__xludf.DUMMYFUNCTION("""COMPUTED_VALUE"""),"自立")</f>
        <v>自立</v>
      </c>
      <c r="EB14" s="4" t="str">
        <f ca="1">IFERROR(__xludf.DUMMYFUNCTION("""COMPUTED_VALUE"""),"自立")</f>
        <v>自立</v>
      </c>
      <c r="EC14" s="4" t="str">
        <f ca="1">IFERROR(__xludf.DUMMYFUNCTION("""COMPUTED_VALUE"""),"歩行器")</f>
        <v>歩行器</v>
      </c>
      <c r="ED14" s="4" t="str">
        <f ca="1">IFERROR(__xludf.DUMMYFUNCTION("""COMPUTED_VALUE"""),"全介助")</f>
        <v>全介助</v>
      </c>
      <c r="EE14" s="4" t="str">
        <f ca="1">IFERROR(__xludf.DUMMYFUNCTION("""COMPUTED_VALUE"""),"車椅子")</f>
        <v>車椅子</v>
      </c>
      <c r="EF14" s="4" t="str">
        <f ca="1">IFERROR(__xludf.DUMMYFUNCTION("""COMPUTED_VALUE"""),"起居動作や移動はご自身で行えている。")</f>
        <v>起居動作や移動はご自身で行えている。</v>
      </c>
      <c r="EG14" s="4"/>
      <c r="EH14" s="4" t="str">
        <f ca="1">IFERROR(__xludf.DUMMYFUNCTION("""COMPUTED_VALUE"""),"入力")</f>
        <v>入力</v>
      </c>
      <c r="EI14" s="4" t="str">
        <f ca="1">IFERROR(__xludf.DUMMYFUNCTION("""COMPUTED_VALUE"""),"入力")</f>
        <v>入力</v>
      </c>
      <c r="EJ14" s="4" t="str">
        <f ca="1">IFERROR(__xludf.DUMMYFUNCTION("""COMPUTED_VALUE"""),"経口摂取")</f>
        <v>経口摂取</v>
      </c>
      <c r="EK14" s="4" t="str">
        <f ca="1">IFERROR(__xludf.DUMMYFUNCTION("""COMPUTED_VALUE"""),"自立")</f>
        <v>自立</v>
      </c>
      <c r="EL14" s="4" t="str">
        <f ca="1">IFERROR(__xludf.DUMMYFUNCTION("""COMPUTED_VALUE"""),"できる")</f>
        <v>できる</v>
      </c>
      <c r="EM14" s="4" t="str">
        <f ca="1">IFERROR(__xludf.DUMMYFUNCTION("""COMPUTED_VALUE"""),"普通")</f>
        <v>普通</v>
      </c>
      <c r="EN14" s="4" t="str">
        <f ca="1">IFERROR(__xludf.DUMMYFUNCTION("""COMPUTED_VALUE"""),"普通")</f>
        <v>普通</v>
      </c>
      <c r="EO14" s="4" t="str">
        <f ca="1">IFERROR(__xludf.DUMMYFUNCTION("""COMPUTED_VALUE"""),"無")</f>
        <v>無</v>
      </c>
      <c r="EP14" s="4" t="str">
        <f ca="1">IFERROR(__xludf.DUMMYFUNCTION("""COMPUTED_VALUE"""),"有")</f>
        <v>有</v>
      </c>
      <c r="EQ14" s="4" t="str">
        <f ca="1">IFERROR(__xludf.DUMMYFUNCTION("""COMPUTED_VALUE"""),"箸 , スプーン")</f>
        <v>箸 , スプーン</v>
      </c>
      <c r="ER14" s="4" t="str">
        <f ca="1">IFERROR(__xludf.DUMMYFUNCTION("""COMPUTED_VALUE"""),"食事は塩分制限食を摂取されている。また主食は大盛で対応。ご自身で食事摂取は可能。")</f>
        <v>食事は塩分制限食を摂取されている。また主食は大盛で対応。ご自身で食事摂取は可能。</v>
      </c>
      <c r="ES14" s="4"/>
      <c r="ET14" s="4" t="str">
        <f ca="1">IFERROR(__xludf.DUMMYFUNCTION("""COMPUTED_VALUE"""),"入力")</f>
        <v>入力</v>
      </c>
      <c r="EU14" s="4" t="str">
        <f ca="1">IFERROR(__xludf.DUMMYFUNCTION("""COMPUTED_VALUE"""),"自立")</f>
        <v>自立</v>
      </c>
      <c r="EV14" s="4"/>
      <c r="EW14" s="4" t="str">
        <f ca="1">IFERROR(__xludf.DUMMYFUNCTION("""COMPUTED_VALUE"""),"無")</f>
        <v>無</v>
      </c>
      <c r="EX14" s="4"/>
      <c r="EY14" s="4"/>
      <c r="EZ14" s="4" t="str">
        <f ca="1">IFERROR(__xludf.DUMMYFUNCTION("""COMPUTED_VALUE"""),"口腔ケアはご自身で可能なものの、促しがないと行うことができない。介助を拒むため支援に入ることはできず、ご自身でも磨けていない状況。")</f>
        <v>口腔ケアはご自身で可能なものの、促しがないと行うことができない。介助を拒むため支援に入ることはできず、ご自身でも磨けていない状況。</v>
      </c>
      <c r="FA14" s="4"/>
      <c r="FB14" s="4" t="str">
        <f ca="1">IFERROR(__xludf.DUMMYFUNCTION("""COMPUTED_VALUE"""),"入力")</f>
        <v>入力</v>
      </c>
      <c r="FC14" s="4" t="str">
        <f ca="1">IFERROR(__xludf.DUMMYFUNCTION("""COMPUTED_VALUE"""),"一部介助")</f>
        <v>一部介助</v>
      </c>
      <c r="FD14" s="4" t="str">
        <f ca="1">IFERROR(__xludf.DUMMYFUNCTION("""COMPUTED_VALUE"""),"チェアー浴")</f>
        <v>チェアー浴</v>
      </c>
      <c r="FE14" s="4" t="str">
        <f ca="1">IFERROR(__xludf.DUMMYFUNCTION("""COMPUTED_VALUE"""),"無")</f>
        <v>無</v>
      </c>
      <c r="FF14" s="4"/>
      <c r="FG14" s="4" t="str">
        <f ca="1">IFERROR(__xludf.DUMMYFUNCTION("""COMPUTED_VALUE"""),"見守り")</f>
        <v>見守り</v>
      </c>
      <c r="FH14" s="4" t="str">
        <f ca="1">IFERROR(__xludf.DUMMYFUNCTION("""COMPUTED_VALUE"""),"見守り")</f>
        <v>見守り</v>
      </c>
      <c r="FI14" s="4" t="str">
        <f ca="1">IFERROR(__xludf.DUMMYFUNCTION("""COMPUTED_VALUE"""),"入浴の拒否が多く、突然怒り出し暴力行為や暴言、唾を吐きかける行動も多い。自分のペースを乱されることを嫌うため、介助はせずご自身で洗身や更衣を行う。")</f>
        <v>入浴の拒否が多く、突然怒り出し暴力行為や暴言、唾を吐きかける行動も多い。自分のペースを乱されることを嫌うため、介助はせずご自身で洗身や更衣を行う。</v>
      </c>
      <c r="FJ14" s="4"/>
      <c r="FK14" s="4" t="str">
        <f ca="1">IFERROR(__xludf.DUMMYFUNCTION("""COMPUTED_VALUE"""),"入力")</f>
        <v>入力</v>
      </c>
      <c r="FL14" s="4" t="str">
        <f ca="1">IFERROR(__xludf.DUMMYFUNCTION("""COMPUTED_VALUE"""),"自立")</f>
        <v>自立</v>
      </c>
      <c r="FM14" s="4" t="str">
        <f ca="1">IFERROR(__xludf.DUMMYFUNCTION("""COMPUTED_VALUE"""),"有")</f>
        <v>有</v>
      </c>
      <c r="FN14" s="4" t="str">
        <f ca="1">IFERROR(__xludf.DUMMYFUNCTION("""COMPUTED_VALUE"""),"有")</f>
        <v>有</v>
      </c>
      <c r="FO14" s="4" t="str">
        <f ca="1">IFERROR(__xludf.DUMMYFUNCTION("""COMPUTED_VALUE"""),"有")</f>
        <v>有</v>
      </c>
      <c r="FP14" s="4" t="str">
        <f ca="1">IFERROR(__xludf.DUMMYFUNCTION("""COMPUTED_VALUE"""),"無")</f>
        <v>無</v>
      </c>
      <c r="FQ14" s="4"/>
      <c r="FR14" s="4" t="str">
        <f ca="1">IFERROR(__xludf.DUMMYFUNCTION("""COMPUTED_VALUE"""),"トイレ")</f>
        <v>トイレ</v>
      </c>
      <c r="FS14" s="4" t="str">
        <f ca="1">IFERROR(__xludf.DUMMYFUNCTION("""COMPUTED_VALUE"""),"トイレ")</f>
        <v>トイレ</v>
      </c>
      <c r="FT14" s="4" t="str">
        <f ca="1">IFERROR(__xludf.DUMMYFUNCTION("""COMPUTED_VALUE"""),"リハビリパンツ")</f>
        <v>リハビリパンツ</v>
      </c>
      <c r="FU14" s="4" t="str">
        <f ca="1">IFERROR(__xludf.DUMMYFUNCTION("""COMPUTED_VALUE"""),"排泄はトイレで行うものの、常に失禁状態が続いている。リハビリ交換も介助することで怒り出すため支援を入れられていない状況。")</f>
        <v>排泄はトイレで行うものの、常に失禁状態が続いている。リハビリ交換も介助することで怒り出すため支援を入れられていない状況。</v>
      </c>
      <c r="FV14" s="4"/>
      <c r="FW14" s="4"/>
      <c r="FX14" s="4" t="str">
        <f ca="1">IFERROR(__xludf.DUMMYFUNCTION("""COMPUTED_VALUE"""),"入力")</f>
        <v>入力</v>
      </c>
      <c r="FY14" s="4" t="str">
        <f ca="1">IFERROR(__xludf.DUMMYFUNCTION("""COMPUTED_VALUE"""),"全介助")</f>
        <v>全介助</v>
      </c>
      <c r="FZ14" s="4" t="str">
        <f ca="1">IFERROR(__xludf.DUMMYFUNCTION("""COMPUTED_VALUE"""),"全介助")</f>
        <v>全介助</v>
      </c>
      <c r="GA14" s="4" t="str">
        <f ca="1">IFERROR(__xludf.DUMMYFUNCTION("""COMPUTED_VALUE"""),"全介助")</f>
        <v>全介助</v>
      </c>
      <c r="GB14" s="4" t="str">
        <f ca="1">IFERROR(__xludf.DUMMYFUNCTION("""COMPUTED_VALUE"""),"全介助")</f>
        <v>全介助</v>
      </c>
      <c r="GC14" s="4" t="str">
        <f ca="1">IFERROR(__xludf.DUMMYFUNCTION("""COMPUTED_VALUE"""),"全介助")</f>
        <v>全介助</v>
      </c>
      <c r="GD14" s="4" t="str">
        <f ca="1">IFERROR(__xludf.DUMMYFUNCTION("""COMPUTED_VALUE"""),"施設サービスを利用")</f>
        <v>施設サービスを利用</v>
      </c>
      <c r="GE14" s="4"/>
      <c r="GF14" s="4"/>
      <c r="GG14" s="4" t="str">
        <f ca="1">IFERROR(__xludf.DUMMYFUNCTION("""COMPUTED_VALUE"""),"特になし。")</f>
        <v>特になし。</v>
      </c>
      <c r="GH14" s="4">
        <f ca="1">IFERROR(__xludf.DUMMYFUNCTION("""COMPUTED_VALUE"""),30)</f>
        <v>30</v>
      </c>
      <c r="GI14" s="4"/>
    </row>
    <row r="15" spans="1:191">
      <c r="A15" s="4"/>
      <c r="B15" s="4"/>
      <c r="C15" s="4" t="str">
        <f ca="1">IFERROR(__xludf.DUMMYFUNCTION("""COMPUTED_VALUE"""),"谷村　紀美子")</f>
        <v>谷村　紀美子</v>
      </c>
      <c r="D15" s="4" t="str">
        <f ca="1">IFERROR(__xludf.DUMMYFUNCTION("""COMPUTED_VALUE"""),"028bec9c")</f>
        <v>028bec9c</v>
      </c>
      <c r="E15" s="4"/>
      <c r="F15" s="4"/>
      <c r="G15" s="4"/>
      <c r="H15" s="4"/>
      <c r="I15" s="5">
        <f ca="1">IFERROR(__xludf.DUMMYFUNCTION("""COMPUTED_VALUE"""),45582)</f>
        <v>45582</v>
      </c>
      <c r="J15" s="4" t="str">
        <f ca="1">IFERROR(__xludf.DUMMYFUNCTION("""COMPUTED_VALUE"""),"山川　和輝")</f>
        <v>山川　和輝</v>
      </c>
      <c r="K15" s="4" t="str">
        <f ca="1">IFERROR(__xludf.DUMMYFUNCTION("""COMPUTED_VALUE"""),"更新")</f>
        <v>更新</v>
      </c>
      <c r="L15" s="4" t="str">
        <f ca="1">IFERROR(__xludf.DUMMYFUNCTION("""COMPUTED_VALUE"""),"本人の居室")</f>
        <v>本人の居室</v>
      </c>
      <c r="M15" s="4" t="str">
        <f ca="1">IFERROR(__xludf.DUMMYFUNCTION("""COMPUTED_VALUE"""),"自宅でご夫婦で生活されていたが、夫のアルツハイマー型認知症とご自身のパーキンソン病の悪化により老健鈴の丘を経て安濃津ろまんに入居された。パーキンソン病は40代に発症し平成28年頃より悪化していた。介護サービスを利用しながら生活されていたが、令和1年12月にご主人はご逝去された。その後引き続き安濃津ろまんにご入居されている。身障手帳をお持ちで2種3級、変形性股関節症で平成22年5月に交付されている。医療保険によるサービス利用も行っている。")</f>
        <v>自宅でご夫婦で生活されていたが、夫のアルツハイマー型認知症とご自身のパーキンソン病の悪化により老健鈴の丘を経て安濃津ろまんに入居された。パーキンソン病は40代に発症し平成28年頃より悪化していた。介護サービスを利用しながら生活されていたが、令和1年12月にご主人はご逝去された。その後引き続き安濃津ろまんにご入居されている。身障手帳をお持ちで2種3級、変形性股関節症で平成22年5月に交付されている。医療保険によるサービス利用も行っている。</v>
      </c>
      <c r="N15" s="4" t="str">
        <f ca="1">IFERROR(__xludf.DUMMYFUNCTION("""COMPUTED_VALUE"""),"このまま施設で不自由なく安心して生活したいです。")</f>
        <v>このまま施設で不自由なく安心して生活したいです。</v>
      </c>
      <c r="O15" s="4" t="str">
        <f ca="1">IFERROR(__xludf.DUMMYFUNCTION("""COMPUTED_VALUE"""),"安濃津ろまんで生活が難しくなってきたら特養への転居も考えています。ただ本人がデイサービスを好んでいるため、しばらくはお世話になります。")</f>
        <v>安濃津ろまんで生活が難しくなってきたら特養への転居も考えています。ただ本人がデイサービスを好んでいるため、しばらくはお世話になります。</v>
      </c>
      <c r="P15" s="4"/>
      <c r="Q15" s="4" t="str">
        <f ca="1">IFERROR(__xludf.DUMMYFUNCTION("""COMPUTED_VALUE"""),"入力")</f>
        <v>入力</v>
      </c>
      <c r="R15" s="4" t="str">
        <f ca="1">IFERROR(__xludf.DUMMYFUNCTION("""COMPUTED_VALUE"""),"要介護５")</f>
        <v>要介護５</v>
      </c>
      <c r="S15" s="4" t="str">
        <f ca="1">IFERROR(__xludf.DUMMYFUNCTION("""COMPUTED_VALUE"""),"令和6年12月1日")</f>
        <v>令和6年12月1日</v>
      </c>
      <c r="T15" s="4" t="str">
        <f ca="1">IFERROR(__xludf.DUMMYFUNCTION("""COMPUTED_VALUE"""),"令和5年11月1日")</f>
        <v>令和5年11月1日</v>
      </c>
      <c r="U15" s="4" t="str">
        <f ca="1">IFERROR(__xludf.DUMMYFUNCTION("""COMPUTED_VALUE"""),"令和7年10月31日")</f>
        <v>令和7年10月31日</v>
      </c>
      <c r="V15" s="4" t="str">
        <f ca="1">IFERROR(__xludf.DUMMYFUNCTION("""COMPUTED_VALUE"""),"１割負担")</f>
        <v>１割負担</v>
      </c>
      <c r="W15" s="4" t="str">
        <f ca="1">IFERROR(__xludf.DUMMYFUNCTION("""COMPUTED_VALUE"""),"後期高齢者医療保険")</f>
        <v>後期高齢者医療保険</v>
      </c>
      <c r="X15" s="4" t="str">
        <f ca="1">IFERROR(__xludf.DUMMYFUNCTION("""COMPUTED_VALUE"""),"有")</f>
        <v>有</v>
      </c>
      <c r="Y15" s="4" t="str">
        <f ca="1">IFERROR(__xludf.DUMMYFUNCTION("""COMPUTED_VALUE"""),"3級2種")</f>
        <v>3級2種</v>
      </c>
      <c r="Z15" s="4" t="str">
        <f ca="1">IFERROR(__xludf.DUMMYFUNCTION("""COMPUTED_VALUE"""),"有")</f>
        <v>有</v>
      </c>
      <c r="AA15" s="4" t="str">
        <f ca="1">IFERROR(__xludf.DUMMYFUNCTION("""COMPUTED_VALUE"""),"無")</f>
        <v>無</v>
      </c>
      <c r="AB15" s="4" t="str">
        <f ca="1">IFERROR(__xludf.DUMMYFUNCTION("""COMPUTED_VALUE"""),"B1")</f>
        <v>B1</v>
      </c>
      <c r="AC15" s="4" t="str">
        <f ca="1">IFERROR(__xludf.DUMMYFUNCTION("""COMPUTED_VALUE"""),"Ⅰ")</f>
        <v>Ⅰ</v>
      </c>
      <c r="AD15" s="4"/>
      <c r="AE15" s="4" t="str">
        <f ca="1">IFERROR(__xludf.DUMMYFUNCTION("""COMPUTED_VALUE"""),"入力")</f>
        <v>入力</v>
      </c>
      <c r="AF15" s="4" t="str">
        <f ca="1">IFERROR(__xludf.DUMMYFUNCTION("""COMPUTED_VALUE"""),"谷村　宗義")</f>
        <v>谷村　宗義</v>
      </c>
      <c r="AG15" s="4" t="str">
        <f ca="1">IFERROR(__xludf.DUMMYFUNCTION("""COMPUTED_VALUE"""),"長男")</f>
        <v>長男</v>
      </c>
      <c r="AH15" s="4"/>
      <c r="AI15" s="4" t="str">
        <f ca="1">IFERROR(__xludf.DUMMYFUNCTION("""COMPUTED_VALUE"""),"別居")</f>
        <v>別居</v>
      </c>
      <c r="AJ15" s="4" t="str">
        <f ca="1">IFERROR(__xludf.DUMMYFUNCTION("""COMPUTED_VALUE"""),"介護しない")</f>
        <v>介護しない</v>
      </c>
      <c r="AK15" s="4" t="str">
        <f ca="1">IFERROR(__xludf.DUMMYFUNCTION("""COMPUTED_VALUE"""),"有")</f>
        <v>有</v>
      </c>
      <c r="AL15" s="4" t="str">
        <f ca="1">IFERROR(__xludf.DUMMYFUNCTION("""COMPUTED_VALUE"""),"090-1635-0929")</f>
        <v>090-1635-0929</v>
      </c>
      <c r="AM15" s="4" t="str">
        <f ca="1">IFERROR(__xludf.DUMMYFUNCTION("""COMPUTED_VALUE"""),"KP。循環器Dr")</f>
        <v>KP。循環器Dr</v>
      </c>
      <c r="AN15" s="4" t="str">
        <f ca="1">IFERROR(__xludf.DUMMYFUNCTION("""COMPUTED_VALUE"""),"谷村　夏子")</f>
        <v>谷村　夏子</v>
      </c>
      <c r="AO15" s="4" t="str">
        <f ca="1">IFERROR(__xludf.DUMMYFUNCTION("""COMPUTED_VALUE"""),"長男の妻")</f>
        <v>長男の妻</v>
      </c>
      <c r="AP15" s="4"/>
      <c r="AQ15" s="4" t="str">
        <f ca="1">IFERROR(__xludf.DUMMYFUNCTION("""COMPUTED_VALUE"""),"別居")</f>
        <v>別居</v>
      </c>
      <c r="AR15" s="4" t="str">
        <f ca="1">IFERROR(__xludf.DUMMYFUNCTION("""COMPUTED_VALUE"""),"介護しない")</f>
        <v>介護しない</v>
      </c>
      <c r="AS15" s="4" t="str">
        <f ca="1">IFERROR(__xludf.DUMMYFUNCTION("""COMPUTED_VALUE"""),"無")</f>
        <v>無</v>
      </c>
      <c r="AT15" s="4" t="str">
        <f ca="1">IFERROR(__xludf.DUMMYFUNCTION("""COMPUTED_VALUE"""),"090-2923-3932")</f>
        <v>090-2923-3932</v>
      </c>
      <c r="AU15" s="4"/>
      <c r="AV15" s="4"/>
      <c r="AW15" s="4" t="str">
        <f ca="1">IFERROR(__xludf.DUMMYFUNCTION("""COMPUTED_VALUE"""),"入力")</f>
        <v>入力</v>
      </c>
      <c r="AX15" s="4" t="str">
        <f ca="1">IFERROR(__xludf.DUMMYFUNCTION("""COMPUTED_VALUE"""),"一人暮らし")</f>
        <v>一人暮らし</v>
      </c>
      <c r="AY15" s="4" t="str">
        <f ca="1">IFERROR(__xludf.DUMMYFUNCTION("""COMPUTED_VALUE"""),"集合住宅")</f>
        <v>集合住宅</v>
      </c>
      <c r="AZ15" s="4" t="str">
        <f ca="1">IFERROR(__xludf.DUMMYFUNCTION("""COMPUTED_VALUE"""),"エレベーター有")</f>
        <v>エレベーター有</v>
      </c>
      <c r="BA15" s="4" t="str">
        <f ca="1">IFERROR(__xludf.DUMMYFUNCTION("""COMPUTED_VALUE"""),"賃貸")</f>
        <v>賃貸</v>
      </c>
      <c r="BB15" s="4" t="str">
        <f ca="1">IFERROR(__xludf.DUMMYFUNCTION("""COMPUTED_VALUE"""),"有")</f>
        <v>有</v>
      </c>
      <c r="BC15" s="4" t="str">
        <f ca="1">IFERROR(__xludf.DUMMYFUNCTION("""COMPUTED_VALUE"""),"有")</f>
        <v>有</v>
      </c>
      <c r="BD15" s="4" t="str">
        <f ca="1">IFERROR(__xludf.DUMMYFUNCTION("""COMPUTED_VALUE"""),"洋式")</f>
        <v>洋式</v>
      </c>
      <c r="BE15" s="4"/>
      <c r="BF15" s="4"/>
      <c r="BG15" s="4" t="str">
        <f ca="1">IFERROR(__xludf.DUMMYFUNCTION("""COMPUTED_VALUE"""),"有")</f>
        <v>有</v>
      </c>
      <c r="BH15" s="4" t="str">
        <f ca="1">IFERROR(__xludf.DUMMYFUNCTION("""COMPUTED_VALUE"""),"手すり有")</f>
        <v>手すり有</v>
      </c>
      <c r="BI15" s="4" t="str">
        <f ca="1">IFERROR(__xludf.DUMMYFUNCTION("""COMPUTED_VALUE"""),"リクライニングベッド")</f>
        <v>リクライニングベッド</v>
      </c>
      <c r="BJ15" s="4" t="str">
        <f ca="1">IFERROR(__xludf.DUMMYFUNCTION("""COMPUTED_VALUE"""),"無")</f>
        <v>無</v>
      </c>
      <c r="BK15" s="4" t="str">
        <f ca="1">IFERROR(__xludf.DUMMYFUNCTION("""COMPUTED_VALUE"""),"無")</f>
        <v>無</v>
      </c>
      <c r="BL15" s="4" t="str">
        <f ca="1">IFERROR(__xludf.DUMMYFUNCTION("""COMPUTED_VALUE"""),"無")</f>
        <v>無</v>
      </c>
      <c r="BM15" s="4"/>
      <c r="BN15" s="4"/>
      <c r="BO15" s="4" t="str">
        <f ca="1">IFERROR(__xludf.DUMMYFUNCTION("""COMPUTED_VALUE"""),"入力")</f>
        <v>入力</v>
      </c>
      <c r="BP15" s="4" t="str">
        <f ca="1">IFERROR(__xludf.DUMMYFUNCTION("""COMPUTED_VALUE"""),"訪問介護 , 訪問リハ , 通所介護")</f>
        <v>訪問介護 , 訪問リハ , 通所介護</v>
      </c>
      <c r="BQ15" s="4" t="str">
        <f ca="1">IFERROR(__xludf.DUMMYFUNCTION("""COMPUTED_VALUE"""),"車いす , 特殊寝台 , 特殊寝台付属品 , 手すり")</f>
        <v>車いす , 特殊寝台 , 特殊寝台付属品 , 手すり</v>
      </c>
      <c r="BR15" s="4"/>
      <c r="BS15" s="4" t="str">
        <f ca="1">IFERROR(__xludf.DUMMYFUNCTION("""COMPUTED_VALUE"""),"食事支援 , 排泄支援 , リネンリース , 洗濯 , 居室清掃")</f>
        <v>食事支援 , 排泄支援 , リネンリース , 洗濯 , 居室清掃</v>
      </c>
      <c r="BT15" s="4" t="str">
        <f ca="1">IFERROR(__xludf.DUMMYFUNCTION("""COMPUTED_VALUE"""),"デイサービスを利用し他者と交流が図れている。")</f>
        <v>デイサービスを利用し他者と交流が図れている。</v>
      </c>
      <c r="BU15" s="4"/>
      <c r="BV15" s="4"/>
      <c r="BW15" s="4" t="str">
        <f ca="1">IFERROR(__xludf.DUMMYFUNCTION("""COMPUTED_VALUE"""),"入力")</f>
        <v>入力</v>
      </c>
      <c r="BX15" s="4" t="str">
        <f ca="1">IFERROR(__xludf.DUMMYFUNCTION("""COMPUTED_VALUE"""),"パーキンソン病")</f>
        <v>パーキンソン病</v>
      </c>
      <c r="BY15" s="4" t="str">
        <f ca="1">IFERROR(__xludf.DUMMYFUNCTION("""COMPUTED_VALUE"""),"平成4年1月1日")</f>
        <v>平成4年1月1日</v>
      </c>
      <c r="BZ15" s="4"/>
      <c r="CA15" s="4"/>
      <c r="CB15" s="4"/>
      <c r="CC15" s="4"/>
      <c r="CD15" s="4"/>
      <c r="CE15" s="4"/>
      <c r="CF15" s="4"/>
      <c r="CG15" s="4"/>
      <c r="CH15" s="4"/>
      <c r="CI15" s="4"/>
      <c r="CJ15" s="4" t="str">
        <f ca="1">IFERROR(__xludf.DUMMYFUNCTION("""COMPUTED_VALUE"""),"主治医は永井病院で定期的に通院を行っている。")</f>
        <v>主治医は永井病院で定期的に通院を行っている。</v>
      </c>
      <c r="CK15" s="4"/>
      <c r="CL15" s="4"/>
      <c r="CM15" s="4"/>
      <c r="CN15" s="4"/>
      <c r="CO15" s="4"/>
      <c r="CP15" s="4"/>
      <c r="CQ15" s="4"/>
      <c r="CR15" s="4"/>
      <c r="CS15" s="4" t="str">
        <f ca="1">IFERROR(__xludf.DUMMYFUNCTION("""COMPUTED_VALUE"""),"平成22年に右大腿骨頸部骨折により人口骨頭置換術を施行。また変形性膝関節症も既往にある。")</f>
        <v>平成22年に右大腿骨頸部骨折により人口骨頭置換術を施行。また変形性膝関節症も既往にある。</v>
      </c>
      <c r="CT15" s="4" t="str">
        <f ca="1">IFERROR(__xludf.DUMMYFUNCTION("""COMPUTED_VALUE"""),"薬局や看護師による管理を行い、服薬はヘルパーが口まで運んで内服している。")</f>
        <v>薬局や看護師による管理を行い、服薬はヘルパーが口まで運んで内服している。</v>
      </c>
      <c r="CU15" s="4"/>
      <c r="CV15" s="4"/>
      <c r="CW15" s="4"/>
      <c r="CX15" s="4" t="str">
        <f ca="1">IFERROR(__xludf.DUMMYFUNCTION("""COMPUTED_VALUE"""),"入力")</f>
        <v>入力</v>
      </c>
      <c r="CY15" s="4" t="str">
        <f ca="1">IFERROR(__xludf.DUMMYFUNCTION("""COMPUTED_VALUE"""),"床ずれ")</f>
        <v>床ずれ</v>
      </c>
      <c r="CZ15" s="4" t="str">
        <f ca="1">IFERROR(__xludf.DUMMYFUNCTION("""COMPUTED_VALUE"""),"無")</f>
        <v>無</v>
      </c>
      <c r="DA15" s="4" t="str">
        <f ca="1">IFERROR(__xludf.DUMMYFUNCTION("""COMPUTED_VALUE"""),"無")</f>
        <v>無</v>
      </c>
      <c r="DB15" s="4" t="str">
        <f ca="1">IFERROR(__xludf.DUMMYFUNCTION("""COMPUTED_VALUE"""),"特になし")</f>
        <v>特になし</v>
      </c>
      <c r="DC15" s="4" t="str">
        <f ca="1">IFERROR(__xludf.DUMMYFUNCTION("""COMPUTED_VALUE"""),"胸部～腹部")</f>
        <v>胸部～腹部</v>
      </c>
      <c r="DD15" s="4"/>
      <c r="DE15" s="4"/>
      <c r="DF15" s="4" t="str">
        <f ca="1">IFERROR(__xludf.DUMMYFUNCTION("""COMPUTED_VALUE"""),"大きい字は可")</f>
        <v>大きい字は可</v>
      </c>
      <c r="DG15" s="4" t="str">
        <f ca="1">IFERROR(__xludf.DUMMYFUNCTION("""COMPUTED_VALUE"""),"有")</f>
        <v>有</v>
      </c>
      <c r="DH15" s="4" t="str">
        <f ca="1">IFERROR(__xludf.DUMMYFUNCTION("""COMPUTED_VALUE"""),"大きい声は可")</f>
        <v>大きい声は可</v>
      </c>
      <c r="DI15" s="4" t="str">
        <f ca="1">IFERROR(__xludf.DUMMYFUNCTION("""COMPUTED_VALUE"""),"無")</f>
        <v>無</v>
      </c>
      <c r="DJ15" s="4" t="str">
        <f ca="1">IFERROR(__xludf.DUMMYFUNCTION("""COMPUTED_VALUE"""),"パーキンソン病が主病であり日内変動もある。　　　　　　　　　　　　　定期的に息子様の送迎で永井病院に受診している。パーキンソン病による症状が強く、服薬にてコントロールしている。息子様が循環器のDrのため、身体やパーキンソン病による不調があれば報告を行い服薬のコントロールを行っている。")</f>
        <v>パーキンソン病が主病であり日内変動もある。　　　　　　　　　　　　　定期的に息子様の送迎で永井病院に受診している。パーキンソン病による症状が強く、服薬にてコントロールしている。息子様が循環器のDrのため、身体やパーキンソン病による不調があれば報告を行い服薬のコントロールを行っている。</v>
      </c>
      <c r="DK15" s="4"/>
      <c r="DL15" s="4" t="str">
        <f ca="1">IFERROR(__xludf.DUMMYFUNCTION("""COMPUTED_VALUE"""),"入力")</f>
        <v>入力</v>
      </c>
      <c r="DM15" s="4" t="str">
        <f ca="1">IFERROR(__xludf.DUMMYFUNCTION("""COMPUTED_VALUE"""),"有")</f>
        <v>有</v>
      </c>
      <c r="DN15" s="4" t="str">
        <f ca="1">IFERROR(__xludf.DUMMYFUNCTION("""COMPUTED_VALUE"""),"軽度")</f>
        <v>軽度</v>
      </c>
      <c r="DO15" s="4" t="str">
        <f ca="1">IFERROR(__xludf.DUMMYFUNCTION("""COMPUTED_VALUE"""),"無")</f>
        <v>無</v>
      </c>
      <c r="DP15" s="4" t="str">
        <f ca="1">IFERROR(__xludf.DUMMYFUNCTION("""COMPUTED_VALUE"""),"不明瞭")</f>
        <v>不明瞭</v>
      </c>
      <c r="DQ15" s="4" t="str">
        <f ca="1">IFERROR(__xludf.DUMMYFUNCTION("""COMPUTED_VALUE"""),"その場のみ可")</f>
        <v>その場のみ可</v>
      </c>
      <c r="DR15" s="4" t="str">
        <f ca="1">IFERROR(__xludf.DUMMYFUNCTION("""COMPUTED_VALUE"""),"認知機能の低下はあるものの、年相応。パーキンソン病の影響により声の張りがなく会話は可能だが不明瞭なことが多い。")</f>
        <v>認知機能の低下はあるものの、年相応。パーキンソン病の影響により声の張りがなく会話は可能だが不明瞭なことが多い。</v>
      </c>
      <c r="DS15" s="4"/>
      <c r="DT15" s="4"/>
      <c r="DU15" s="4" t="str">
        <f ca="1">IFERROR(__xludf.DUMMYFUNCTION("""COMPUTED_VALUE"""),"入力")</f>
        <v>入力</v>
      </c>
      <c r="DV15" s="4" t="str">
        <f ca="1">IFERROR(__xludf.DUMMYFUNCTION("""COMPUTED_VALUE"""),"何かにつかまればできる")</f>
        <v>何かにつかまればできる</v>
      </c>
      <c r="DW15" s="4" t="str">
        <f ca="1">IFERROR(__xludf.DUMMYFUNCTION("""COMPUTED_VALUE"""),"何かにつかまればできる")</f>
        <v>何かにつかまればできる</v>
      </c>
      <c r="DX15" s="4" t="str">
        <f ca="1">IFERROR(__xludf.DUMMYFUNCTION("""COMPUTED_VALUE"""),"自分の手で支えればできる")</f>
        <v>自分の手で支えればできる</v>
      </c>
      <c r="DY15" s="4" t="str">
        <f ca="1">IFERROR(__xludf.DUMMYFUNCTION("""COMPUTED_VALUE"""),"何かにつかまればできる")</f>
        <v>何かにつかまればできる</v>
      </c>
      <c r="DZ15" s="4" t="str">
        <f ca="1">IFERROR(__xludf.DUMMYFUNCTION("""COMPUTED_VALUE"""),"何か支えがあればできる")</f>
        <v>何か支えがあればできる</v>
      </c>
      <c r="EA15" s="4" t="str">
        <f ca="1">IFERROR(__xludf.DUMMYFUNCTION("""COMPUTED_VALUE"""),"自立")</f>
        <v>自立</v>
      </c>
      <c r="EB15" s="4" t="str">
        <f ca="1">IFERROR(__xludf.DUMMYFUNCTION("""COMPUTED_VALUE"""),"一部介助")</f>
        <v>一部介助</v>
      </c>
      <c r="EC15" s="4" t="str">
        <f ca="1">IFERROR(__xludf.DUMMYFUNCTION("""COMPUTED_VALUE"""),"車椅子")</f>
        <v>車椅子</v>
      </c>
      <c r="ED15" s="4" t="str">
        <f ca="1">IFERROR(__xludf.DUMMYFUNCTION("""COMPUTED_VALUE"""),"全介助")</f>
        <v>全介助</v>
      </c>
      <c r="EE15" s="4" t="str">
        <f ca="1">IFERROR(__xludf.DUMMYFUNCTION("""COMPUTED_VALUE"""),"車椅子")</f>
        <v>車椅子</v>
      </c>
      <c r="EF15" s="4" t="str">
        <f ca="1">IFERROR(__xludf.DUMMYFUNCTION("""COMPUTED_VALUE"""),"基本動作はなんとかご自身で行うことができるものの、転倒リスクも高い。ご自身で活動したい希望が強いため、転倒リスク同意書を頂いている。")</f>
        <v>基本動作はなんとかご自身で行うことができるものの、転倒リスクも高い。ご自身で活動したい希望が強いため、転倒リスク同意書を頂いている。</v>
      </c>
      <c r="EG15" s="4"/>
      <c r="EH15" s="4" t="str">
        <f ca="1">IFERROR(__xludf.DUMMYFUNCTION("""COMPUTED_VALUE"""),"入力")</f>
        <v>入力</v>
      </c>
      <c r="EI15" s="4" t="str">
        <f ca="1">IFERROR(__xludf.DUMMYFUNCTION("""COMPUTED_VALUE"""),"入力")</f>
        <v>入力</v>
      </c>
      <c r="EJ15" s="4" t="str">
        <f ca="1">IFERROR(__xludf.DUMMYFUNCTION("""COMPUTED_VALUE"""),"経口摂取")</f>
        <v>経口摂取</v>
      </c>
      <c r="EK15" s="4" t="str">
        <f ca="1">IFERROR(__xludf.DUMMYFUNCTION("""COMPUTED_VALUE"""),"見守り")</f>
        <v>見守り</v>
      </c>
      <c r="EL15" s="4" t="str">
        <f ca="1">IFERROR(__xludf.DUMMYFUNCTION("""COMPUTED_VALUE"""),"できる")</f>
        <v>できる</v>
      </c>
      <c r="EM15" s="4" t="str">
        <f ca="1">IFERROR(__xludf.DUMMYFUNCTION("""COMPUTED_VALUE"""),"軟飯")</f>
        <v>軟飯</v>
      </c>
      <c r="EN15" s="4" t="str">
        <f ca="1">IFERROR(__xludf.DUMMYFUNCTION("""COMPUTED_VALUE"""),"普通")</f>
        <v>普通</v>
      </c>
      <c r="EO15" s="4" t="str">
        <f ca="1">IFERROR(__xludf.DUMMYFUNCTION("""COMPUTED_VALUE"""),"無")</f>
        <v>無</v>
      </c>
      <c r="EP15" s="4" t="str">
        <f ca="1">IFERROR(__xludf.DUMMYFUNCTION("""COMPUTED_VALUE"""),"無")</f>
        <v>無</v>
      </c>
      <c r="EQ15" s="4" t="str">
        <f ca="1">IFERROR(__xludf.DUMMYFUNCTION("""COMPUTED_VALUE"""),"スプーン")</f>
        <v>スプーン</v>
      </c>
      <c r="ER15" s="4" t="str">
        <f ca="1">IFERROR(__xludf.DUMMYFUNCTION("""COMPUTED_VALUE"""),"食事は食べこぼしが多いものの自己にて摂取できている。食事用エプロンを使用。
ご家族様からもお菓子の差し入れが多く、居室でもご自身で食べられている。")</f>
        <v>食事は食べこぼしが多いものの自己にて摂取できている。食事用エプロンを使用。
ご家族様からもお菓子の差し入れが多く、居室でもご自身で食べられている。</v>
      </c>
      <c r="ES15" s="4"/>
      <c r="ET15" s="4" t="str">
        <f ca="1">IFERROR(__xludf.DUMMYFUNCTION("""COMPUTED_VALUE"""),"入力")</f>
        <v>入力</v>
      </c>
      <c r="EU15" s="4" t="str">
        <f ca="1">IFERROR(__xludf.DUMMYFUNCTION("""COMPUTED_VALUE"""),"一部介助")</f>
        <v>一部介助</v>
      </c>
      <c r="EV15" s="4"/>
      <c r="EW15" s="4"/>
      <c r="EX15" s="4"/>
      <c r="EY15" s="4"/>
      <c r="EZ15" s="4" t="str">
        <f ca="1">IFERROR(__xludf.DUMMYFUNCTION("""COMPUTED_VALUE"""),"口腔ケアは毎日夜にヘルパー支援が入っており介助を受けている。")</f>
        <v>口腔ケアは毎日夜にヘルパー支援が入っており介助を受けている。</v>
      </c>
      <c r="FA15" s="4"/>
      <c r="FB15" s="4" t="str">
        <f ca="1">IFERROR(__xludf.DUMMYFUNCTION("""COMPUTED_VALUE"""),"入力")</f>
        <v>入力</v>
      </c>
      <c r="FC15" s="4" t="str">
        <f ca="1">IFERROR(__xludf.DUMMYFUNCTION("""COMPUTED_VALUE"""),"全介助")</f>
        <v>全介助</v>
      </c>
      <c r="FD15" s="4" t="str">
        <f ca="1">IFERROR(__xludf.DUMMYFUNCTION("""COMPUTED_VALUE"""),"寝台浴")</f>
        <v>寝台浴</v>
      </c>
      <c r="FE15" s="4" t="str">
        <f ca="1">IFERROR(__xludf.DUMMYFUNCTION("""COMPUTED_VALUE"""),"無")</f>
        <v>無</v>
      </c>
      <c r="FF15" s="4"/>
      <c r="FG15" s="4" t="str">
        <f ca="1">IFERROR(__xludf.DUMMYFUNCTION("""COMPUTED_VALUE"""),"全介助")</f>
        <v>全介助</v>
      </c>
      <c r="FH15" s="4" t="str">
        <f ca="1">IFERROR(__xludf.DUMMYFUNCTION("""COMPUTED_VALUE"""),"全介助")</f>
        <v>全介助</v>
      </c>
      <c r="FI15" s="4" t="str">
        <f ca="1">IFERROR(__xludf.DUMMYFUNCTION("""COMPUTED_VALUE"""),"入浴は看護師による入浴支援を受けており、寝台浴で入浴されている。")</f>
        <v>入浴は看護師による入浴支援を受けており、寝台浴で入浴されている。</v>
      </c>
      <c r="FJ15" s="4"/>
      <c r="FK15" s="4" t="str">
        <f ca="1">IFERROR(__xludf.DUMMYFUNCTION("""COMPUTED_VALUE"""),"入力")</f>
        <v>入力</v>
      </c>
      <c r="FL15" s="4" t="str">
        <f ca="1">IFERROR(__xludf.DUMMYFUNCTION("""COMPUTED_VALUE"""),"全介助")</f>
        <v>全介助</v>
      </c>
      <c r="FM15" s="4" t="str">
        <f ca="1">IFERROR(__xludf.DUMMYFUNCTION("""COMPUTED_VALUE"""),"有")</f>
        <v>有</v>
      </c>
      <c r="FN15" s="4" t="str">
        <f ca="1">IFERROR(__xludf.DUMMYFUNCTION("""COMPUTED_VALUE"""),"有")</f>
        <v>有</v>
      </c>
      <c r="FO15" s="4" t="str">
        <f ca="1">IFERROR(__xludf.DUMMYFUNCTION("""COMPUTED_VALUE"""),"有")</f>
        <v>有</v>
      </c>
      <c r="FP15" s="4" t="str">
        <f ca="1">IFERROR(__xludf.DUMMYFUNCTION("""COMPUTED_VALUE"""),"有")</f>
        <v>有</v>
      </c>
      <c r="FQ15" s="4"/>
      <c r="FR15" s="4" t="str">
        <f ca="1">IFERROR(__xludf.DUMMYFUNCTION("""COMPUTED_VALUE"""),"オムツ")</f>
        <v>オムツ</v>
      </c>
      <c r="FS15" s="4" t="str">
        <f ca="1">IFERROR(__xludf.DUMMYFUNCTION("""COMPUTED_VALUE"""),"オムツ")</f>
        <v>オムツ</v>
      </c>
      <c r="FT15" s="4" t="str">
        <f ca="1">IFERROR(__xludf.DUMMYFUNCTION("""COMPUTED_VALUE"""),"紙おむつ , 大パット")</f>
        <v>紙おむつ , 大パット</v>
      </c>
      <c r="FU15" s="4" t="str">
        <f ca="1">IFERROR(__xludf.DUMMYFUNCTION("""COMPUTED_VALUE"""),"排泄は終日紙おむつと大パットを使用。定期的に排泄支援が必要。
今まではトイレで排泄を行えていたが、立位保持が困難となったことで紙おむつ対応となった。")</f>
        <v>排泄は終日紙おむつと大パットを使用。定期的に排泄支援が必要。
今まではトイレで排泄を行えていたが、立位保持が困難となったことで紙おむつ対応となった。</v>
      </c>
      <c r="FV15" s="4"/>
      <c r="FW15" s="4"/>
      <c r="FX15" s="4" t="str">
        <f ca="1">IFERROR(__xludf.DUMMYFUNCTION("""COMPUTED_VALUE"""),"入力")</f>
        <v>入力</v>
      </c>
      <c r="FY15" s="4" t="str">
        <f ca="1">IFERROR(__xludf.DUMMYFUNCTION("""COMPUTED_VALUE"""),"全介助")</f>
        <v>全介助</v>
      </c>
      <c r="FZ15" s="4" t="str">
        <f ca="1">IFERROR(__xludf.DUMMYFUNCTION("""COMPUTED_VALUE"""),"全介助")</f>
        <v>全介助</v>
      </c>
      <c r="GA15" s="4" t="str">
        <f ca="1">IFERROR(__xludf.DUMMYFUNCTION("""COMPUTED_VALUE"""),"全介助")</f>
        <v>全介助</v>
      </c>
      <c r="GB15" s="4" t="str">
        <f ca="1">IFERROR(__xludf.DUMMYFUNCTION("""COMPUTED_VALUE"""),"一部介助")</f>
        <v>一部介助</v>
      </c>
      <c r="GC15" s="4" t="str">
        <f ca="1">IFERROR(__xludf.DUMMYFUNCTION("""COMPUTED_VALUE"""),"全介助")</f>
        <v>全介助</v>
      </c>
      <c r="GD15" s="4" t="str">
        <f ca="1">IFERROR(__xludf.DUMMYFUNCTION("""COMPUTED_VALUE"""),"買い物はデイサービス終了時に、売店を利用されている。掃除はヘルパーやクリーンスタッフによる清掃を実施。その他施設サービスやご家族様で対応している。")</f>
        <v>買い物はデイサービス終了時に、売店を利用されている。掃除はヘルパーやクリーンスタッフによる清掃を実施。その他施設サービスやご家族様で対応している。</v>
      </c>
      <c r="GE15" s="4"/>
      <c r="GF15" s="4"/>
      <c r="GG15" s="4" t="str">
        <f ca="1">IFERROR(__xludf.DUMMYFUNCTION("""COMPUTED_VALUE"""),"車椅子のブレーキ忘れがあるため、自動ブレーキ機能付きの車いすを使用。しかし座り方が浅かったり姿勢が悪いと自動でブレーキがかかってしまい動かせなくなるため、その都度福祉用具相談員に相談をおこない調整を行っている。")</f>
        <v>車椅子のブレーキ忘れがあるため、自動ブレーキ機能付きの車いすを使用。しかし座り方が浅かったり姿勢が悪いと自動でブレーキがかかってしまい動かせなくなるため、その都度福祉用具相談員に相談をおこない調整を行っている。</v>
      </c>
      <c r="GH15" s="4">
        <f ca="1">IFERROR(__xludf.DUMMYFUNCTION("""COMPUTED_VALUE"""),30)</f>
        <v>30</v>
      </c>
      <c r="GI15" s="4"/>
    </row>
    <row r="16" spans="1:191">
      <c r="A16" s="4"/>
      <c r="B16" s="4"/>
      <c r="C16" s="4" t="str">
        <f ca="1">IFERROR(__xludf.DUMMYFUNCTION("""COMPUTED_VALUE"""),"前野　健一")</f>
        <v>前野　健一</v>
      </c>
      <c r="D16" s="4" t="str">
        <f ca="1">IFERROR(__xludf.DUMMYFUNCTION("""COMPUTED_VALUE"""),"08aea297")</f>
        <v>08aea297</v>
      </c>
      <c r="E16" s="4"/>
      <c r="F16" s="4"/>
      <c r="G16" s="4"/>
      <c r="H16" s="4"/>
      <c r="I16" s="5">
        <f ca="1">IFERROR(__xludf.DUMMYFUNCTION("""COMPUTED_VALUE"""),45583)</f>
        <v>45583</v>
      </c>
      <c r="J16" s="4" t="str">
        <f ca="1">IFERROR(__xludf.DUMMYFUNCTION("""COMPUTED_VALUE"""),"山川　和輝")</f>
        <v>山川　和輝</v>
      </c>
      <c r="K16" s="4" t="str">
        <f ca="1">IFERROR(__xludf.DUMMYFUNCTION("""COMPUTED_VALUE"""),"更新")</f>
        <v>更新</v>
      </c>
      <c r="L16" s="4" t="str">
        <f ca="1">IFERROR(__xludf.DUMMYFUNCTION("""COMPUTED_VALUE"""),"本人の居室")</f>
        <v>本人の居室</v>
      </c>
      <c r="M16" s="4" t="str">
        <f ca="1">IFERROR(__xludf.DUMMYFUNCTION("""COMPUTED_VALUE"""),"27歳ごろ、大阪から東京に転勤となり、独身生活を送っていた。60歳の時に大腸がんの手術を受ける。その時に糖尿病の数値が悪く、インスリン治療開始する。H24.10，自宅浴室で倒れているところを発見され入院する。その後リハビリのため妹のいる近くの榊原温泉病院へ転院する。H25.4.6 サービス付き高齢者向け住宅　安濃津ろまんに入居される。H27.8.21に腸閉塞のため遠山病院入院。その後経過良好にて9.9に退院する。腸閉塞で通院はしていない。週3回のデイケアのリハビリに意欲的に取り組まれている。")</f>
        <v>27歳ごろ、大阪から東京に転勤となり、独身生活を送っていた。60歳の時に大腸がんの手術を受ける。その時に糖尿病の数値が悪く、インスリン治療開始する。H24.10，自宅浴室で倒れているところを発見され入院する。その後リハビリのため妹のいる近くの榊原温泉病院へ転院する。H25.4.6 サービス付き高齢者向け住宅　安濃津ろまんに入居される。H27.8.21に腸閉塞のため遠山病院入院。その後経過良好にて9.9に退院する。腸閉塞で通院はしていない。週3回のデイケアのリハビリに意欲的に取り組まれている。</v>
      </c>
      <c r="N16" s="4" t="str">
        <f ca="1">IFERROR(__xludf.DUMMYFUNCTION("""COMPUTED_VALUE"""),"リハビリを受けてもっと自由に動けるようになりたい。")</f>
        <v>リハビリを受けてもっと自由に動けるようになりたい。</v>
      </c>
      <c r="O16" s="4" t="str">
        <f ca="1">IFERROR(__xludf.DUMMYFUNCTION("""COMPUTED_VALUE"""),"施設で安心して生活してほしいと思っています。怒りっぽい性格ですが、よろしくお願いします。")</f>
        <v>施設で安心して生活してほしいと思っています。怒りっぽい性格ですが、よろしくお願いします。</v>
      </c>
      <c r="P16" s="4"/>
      <c r="Q16" s="4" t="str">
        <f ca="1">IFERROR(__xludf.DUMMYFUNCTION("""COMPUTED_VALUE"""),"入力")</f>
        <v>入力</v>
      </c>
      <c r="R16" s="4" t="str">
        <f ca="1">IFERROR(__xludf.DUMMYFUNCTION("""COMPUTED_VALUE"""),"要介護４")</f>
        <v>要介護４</v>
      </c>
      <c r="S16" s="4" t="str">
        <f ca="1">IFERROR(__xludf.DUMMYFUNCTION("""COMPUTED_VALUE"""),"令和6年10月8日")</f>
        <v>令和6年10月8日</v>
      </c>
      <c r="T16" s="4" t="str">
        <f ca="1">IFERROR(__xludf.DUMMYFUNCTION("""COMPUTED_VALUE"""),"令和6年11月1日")</f>
        <v>令和6年11月1日</v>
      </c>
      <c r="U16" s="4" t="str">
        <f ca="1">IFERROR(__xludf.DUMMYFUNCTION("""COMPUTED_VALUE"""),"令和9年10月31日")</f>
        <v>令和9年10月31日</v>
      </c>
      <c r="V16" s="4" t="str">
        <f ca="1">IFERROR(__xludf.DUMMYFUNCTION("""COMPUTED_VALUE"""),"１割負担")</f>
        <v>１割負担</v>
      </c>
      <c r="W16" s="4" t="str">
        <f ca="1">IFERROR(__xludf.DUMMYFUNCTION("""COMPUTED_VALUE"""),"後期高齢者医療保険")</f>
        <v>後期高齢者医療保険</v>
      </c>
      <c r="X16" s="4" t="str">
        <f ca="1">IFERROR(__xludf.DUMMYFUNCTION("""COMPUTED_VALUE"""),"有")</f>
        <v>有</v>
      </c>
      <c r="Y16" s="4"/>
      <c r="Z16" s="4" t="str">
        <f ca="1">IFERROR(__xludf.DUMMYFUNCTION("""COMPUTED_VALUE"""),"無")</f>
        <v>無</v>
      </c>
      <c r="AA16" s="4" t="str">
        <f ca="1">IFERROR(__xludf.DUMMYFUNCTION("""COMPUTED_VALUE"""),"無")</f>
        <v>無</v>
      </c>
      <c r="AB16" s="4" t="str">
        <f ca="1">IFERROR(__xludf.DUMMYFUNCTION("""COMPUTED_VALUE"""),"B1")</f>
        <v>B1</v>
      </c>
      <c r="AC16" s="4" t="str">
        <f ca="1">IFERROR(__xludf.DUMMYFUNCTION("""COMPUTED_VALUE"""),"Ⅱb")</f>
        <v>Ⅱb</v>
      </c>
      <c r="AD16" s="4"/>
      <c r="AE16" s="4" t="str">
        <f ca="1">IFERROR(__xludf.DUMMYFUNCTION("""COMPUTED_VALUE"""),"入力")</f>
        <v>入力</v>
      </c>
      <c r="AF16" s="4" t="str">
        <f ca="1">IFERROR(__xludf.DUMMYFUNCTION("""COMPUTED_VALUE"""),"中西　京子")</f>
        <v>中西　京子</v>
      </c>
      <c r="AG16" s="4" t="str">
        <f ca="1">IFERROR(__xludf.DUMMYFUNCTION("""COMPUTED_VALUE"""),"妹")</f>
        <v>妹</v>
      </c>
      <c r="AH16" s="4"/>
      <c r="AI16" s="4" t="str">
        <f ca="1">IFERROR(__xludf.DUMMYFUNCTION("""COMPUTED_VALUE"""),"別居")</f>
        <v>別居</v>
      </c>
      <c r="AJ16" s="4" t="str">
        <f ca="1">IFERROR(__xludf.DUMMYFUNCTION("""COMPUTED_VALUE"""),"介護しない")</f>
        <v>介護しない</v>
      </c>
      <c r="AK16" s="4" t="str">
        <f ca="1">IFERROR(__xludf.DUMMYFUNCTION("""COMPUTED_VALUE"""),"無")</f>
        <v>無</v>
      </c>
      <c r="AL16" s="4" t="str">
        <f ca="1">IFERROR(__xludf.DUMMYFUNCTION("""COMPUTED_VALUE"""),"090-5005-7128")</f>
        <v>090-5005-7128</v>
      </c>
      <c r="AM16" s="4" t="str">
        <f ca="1">IFERROR(__xludf.DUMMYFUNCTION("""COMPUTED_VALUE"""),"KP")</f>
        <v>KP</v>
      </c>
      <c r="AN16" s="4" t="str">
        <f ca="1">IFERROR(__xludf.DUMMYFUNCTION("""COMPUTED_VALUE"""),"中西　謙之")</f>
        <v>中西　謙之</v>
      </c>
      <c r="AO16" s="4" t="str">
        <f ca="1">IFERROR(__xludf.DUMMYFUNCTION("""COMPUTED_VALUE"""),"妹の夫")</f>
        <v>妹の夫</v>
      </c>
      <c r="AP16" s="4"/>
      <c r="AQ16" s="4" t="str">
        <f ca="1">IFERROR(__xludf.DUMMYFUNCTION("""COMPUTED_VALUE"""),"別居")</f>
        <v>別居</v>
      </c>
      <c r="AR16" s="4" t="str">
        <f ca="1">IFERROR(__xludf.DUMMYFUNCTION("""COMPUTED_VALUE"""),"介護しない")</f>
        <v>介護しない</v>
      </c>
      <c r="AS16" s="4"/>
      <c r="AT16" s="4" t="str">
        <f ca="1">IFERROR(__xludf.DUMMYFUNCTION("""COMPUTED_VALUE"""),"090-6766-8184")</f>
        <v>090-6766-8184</v>
      </c>
      <c r="AU16" s="4"/>
      <c r="AV16" s="4"/>
      <c r="AW16" s="4" t="str">
        <f ca="1">IFERROR(__xludf.DUMMYFUNCTION("""COMPUTED_VALUE"""),"入力")</f>
        <v>入力</v>
      </c>
      <c r="AX16" s="4" t="str">
        <f ca="1">IFERROR(__xludf.DUMMYFUNCTION("""COMPUTED_VALUE"""),"一人暮らし")</f>
        <v>一人暮らし</v>
      </c>
      <c r="AY16" s="4" t="str">
        <f ca="1">IFERROR(__xludf.DUMMYFUNCTION("""COMPUTED_VALUE"""),"集合住宅")</f>
        <v>集合住宅</v>
      </c>
      <c r="AZ16" s="4" t="str">
        <f ca="1">IFERROR(__xludf.DUMMYFUNCTION("""COMPUTED_VALUE"""),"エレベーター有")</f>
        <v>エレベーター有</v>
      </c>
      <c r="BA16" s="4" t="str">
        <f ca="1">IFERROR(__xludf.DUMMYFUNCTION("""COMPUTED_VALUE"""),"賃貸")</f>
        <v>賃貸</v>
      </c>
      <c r="BB16" s="4" t="str">
        <f ca="1">IFERROR(__xludf.DUMMYFUNCTION("""COMPUTED_VALUE"""),"有")</f>
        <v>有</v>
      </c>
      <c r="BC16" s="4" t="str">
        <f ca="1">IFERROR(__xludf.DUMMYFUNCTION("""COMPUTED_VALUE"""),"有")</f>
        <v>有</v>
      </c>
      <c r="BD16" s="4" t="str">
        <f ca="1">IFERROR(__xludf.DUMMYFUNCTION("""COMPUTED_VALUE"""),"洋式")</f>
        <v>洋式</v>
      </c>
      <c r="BE16" s="4"/>
      <c r="BF16" s="4"/>
      <c r="BG16" s="4" t="str">
        <f ca="1">IFERROR(__xludf.DUMMYFUNCTION("""COMPUTED_VALUE"""),"有")</f>
        <v>有</v>
      </c>
      <c r="BH16" s="4" t="str">
        <f ca="1">IFERROR(__xludf.DUMMYFUNCTION("""COMPUTED_VALUE"""),"手すり有")</f>
        <v>手すり有</v>
      </c>
      <c r="BI16" s="4" t="str">
        <f ca="1">IFERROR(__xludf.DUMMYFUNCTION("""COMPUTED_VALUE"""),"リクライニングベッド")</f>
        <v>リクライニングベッド</v>
      </c>
      <c r="BJ16" s="4" t="str">
        <f ca="1">IFERROR(__xludf.DUMMYFUNCTION("""COMPUTED_VALUE"""),"無")</f>
        <v>無</v>
      </c>
      <c r="BK16" s="4" t="str">
        <f ca="1">IFERROR(__xludf.DUMMYFUNCTION("""COMPUTED_VALUE"""),"無")</f>
        <v>無</v>
      </c>
      <c r="BL16" s="4" t="str">
        <f ca="1">IFERROR(__xludf.DUMMYFUNCTION("""COMPUTED_VALUE"""),"無")</f>
        <v>無</v>
      </c>
      <c r="BM16" s="4"/>
      <c r="BN16" s="4"/>
      <c r="BO16" s="4" t="str">
        <f ca="1">IFERROR(__xludf.DUMMYFUNCTION("""COMPUTED_VALUE"""),"入力")</f>
        <v>入力</v>
      </c>
      <c r="BP16" s="4" t="str">
        <f ca="1">IFERROR(__xludf.DUMMYFUNCTION("""COMPUTED_VALUE"""),"訪問介護 , 訪問看護 , 通所リハ")</f>
        <v>訪問介護 , 訪問看護 , 通所リハ</v>
      </c>
      <c r="BQ16" s="4" t="str">
        <f ca="1">IFERROR(__xludf.DUMMYFUNCTION("""COMPUTED_VALUE"""),"車いす , 車いす付属品 , 特殊寝台 , 特殊寝台付属品 , 手すり")</f>
        <v>車いす , 車いす付属品 , 特殊寝台 , 特殊寝台付属品 , 手すり</v>
      </c>
      <c r="BR16" s="4"/>
      <c r="BS16" s="4" t="str">
        <f ca="1">IFERROR(__xludf.DUMMYFUNCTION("""COMPUTED_VALUE"""),"食事支援 , 排泄支援 , リネンリース , 洗濯")</f>
        <v>食事支援 , 排泄支援 , リネンリース , 洗濯</v>
      </c>
      <c r="BT16" s="4" t="str">
        <f ca="1">IFERROR(__xludf.DUMMYFUNCTION("""COMPUTED_VALUE"""),"通所リハを利用しているものの、他者とあまり関わりを持たない性格。")</f>
        <v>通所リハを利用しているものの、他者とあまり関わりを持たない性格。</v>
      </c>
      <c r="BU16" s="4"/>
      <c r="BV16" s="4"/>
      <c r="BW16" s="4" t="str">
        <f ca="1">IFERROR(__xludf.DUMMYFUNCTION("""COMPUTED_VALUE"""),"入力")</f>
        <v>入力</v>
      </c>
      <c r="BX16" s="4" t="str">
        <f ca="1">IFERROR(__xludf.DUMMYFUNCTION("""COMPUTED_VALUE"""),"てんかん")</f>
        <v>てんかん</v>
      </c>
      <c r="BY16" s="4" t="str">
        <f ca="1">IFERROR(__xludf.DUMMYFUNCTION("""COMPUTED_VALUE"""),"平成30年6月18日")</f>
        <v>平成30年6月18日</v>
      </c>
      <c r="BZ16" s="4" t="str">
        <f ca="1">IFERROR(__xludf.DUMMYFUNCTION("""COMPUTED_VALUE"""),"脳出血")</f>
        <v>脳出血</v>
      </c>
      <c r="CA16" s="4" t="str">
        <f ca="1">IFERROR(__xludf.DUMMYFUNCTION("""COMPUTED_VALUE"""),"平成24年10月29日")</f>
        <v>平成24年10月29日</v>
      </c>
      <c r="CB16" s="4"/>
      <c r="CC16" s="4"/>
      <c r="CD16" s="4"/>
      <c r="CE16" s="4"/>
      <c r="CF16" s="4"/>
      <c r="CG16" s="4"/>
      <c r="CH16" s="4"/>
      <c r="CI16" s="4"/>
      <c r="CJ16" s="4" t="str">
        <f ca="1">IFERROR(__xludf.DUMMYFUNCTION("""COMPUTED_VALUE"""),"現在通院は行っていない。")</f>
        <v>現在通院は行っていない。</v>
      </c>
      <c r="CK16" s="4"/>
      <c r="CL16" s="4"/>
      <c r="CM16" s="4"/>
      <c r="CN16" s="4"/>
      <c r="CO16" s="4"/>
      <c r="CP16" s="4"/>
      <c r="CQ16" s="4"/>
      <c r="CR16" s="4"/>
      <c r="CS16" s="4" t="str">
        <f ca="1">IFERROR(__xludf.DUMMYFUNCTION("""COMPUTED_VALUE"""),"平成2年に大腸がんや糖尿病と診断あり。平成27年に腸閉塞となっている。")</f>
        <v>平成2年に大腸がんや糖尿病と診断あり。平成27年に腸閉塞となっている。</v>
      </c>
      <c r="CT16" s="4" t="str">
        <f ca="1">IFERROR(__xludf.DUMMYFUNCTION("""COMPUTED_VALUE"""),"加藤医院で処方をうけ、ローレル薬局、看護師で管理している。袋の開封がご自身で難しいため、開封後、手渡しで内服している。")</f>
        <v>加藤医院で処方をうけ、ローレル薬局、看護師で管理している。袋の開封がご自身で難しいため、開封後、手渡しで内服している。</v>
      </c>
      <c r="CU16" s="4"/>
      <c r="CV16" s="4"/>
      <c r="CW16" s="4"/>
      <c r="CX16" s="4" t="str">
        <f ca="1">IFERROR(__xludf.DUMMYFUNCTION("""COMPUTED_VALUE"""),"入力")</f>
        <v>入力</v>
      </c>
      <c r="CY16" s="4" t="str">
        <f ca="1">IFERROR(__xludf.DUMMYFUNCTION("""COMPUTED_VALUE"""),"無")</f>
        <v>無</v>
      </c>
      <c r="CZ16" s="4" t="str">
        <f ca="1">IFERROR(__xludf.DUMMYFUNCTION("""COMPUTED_VALUE"""),"無")</f>
        <v>無</v>
      </c>
      <c r="DA16" s="4" t="str">
        <f ca="1">IFERROR(__xludf.DUMMYFUNCTION("""COMPUTED_VALUE"""),"無")</f>
        <v>無</v>
      </c>
      <c r="DB16" s="4" t="str">
        <f ca="1">IFERROR(__xludf.DUMMYFUNCTION("""COMPUTED_VALUE"""),"左上下肢")</f>
        <v>左上下肢</v>
      </c>
      <c r="DC16" s="4" t="str">
        <f ca="1">IFERROR(__xludf.DUMMYFUNCTION("""COMPUTED_VALUE"""),"左肩、股関節")</f>
        <v>左肩、股関節</v>
      </c>
      <c r="DD16" s="4"/>
      <c r="DE16" s="4"/>
      <c r="DF16" s="4" t="str">
        <f ca="1">IFERROR(__xludf.DUMMYFUNCTION("""COMPUTED_VALUE"""),"大きい字は可")</f>
        <v>大きい字は可</v>
      </c>
      <c r="DG16" s="4" t="str">
        <f ca="1">IFERROR(__xludf.DUMMYFUNCTION("""COMPUTED_VALUE"""),"有")</f>
        <v>有</v>
      </c>
      <c r="DH16" s="4" t="str">
        <f ca="1">IFERROR(__xludf.DUMMYFUNCTION("""COMPUTED_VALUE"""),"正常")</f>
        <v>正常</v>
      </c>
      <c r="DI16" s="4" t="str">
        <f ca="1">IFERROR(__xludf.DUMMYFUNCTION("""COMPUTED_VALUE"""),"無")</f>
        <v>無</v>
      </c>
      <c r="DJ16" s="4" t="str">
        <f ca="1">IFERROR(__xludf.DUMMYFUNCTION("""COMPUTED_VALUE"""),"大腸がんオペの他、糖尿病、高血圧、脳出血後遺症（左片麻痺）がある。平成27年8月に腸閉塞発症し、症状改善するが今後も再発に注意する。
主治医は加藤医院で月２回の往診を受けている。
片麻痺の影響により、徐々に身体能力の低下が見られてきている。")</f>
        <v>大腸がんオペの他、糖尿病、高血圧、脳出血後遺症（左片麻痺）がある。平成27年8月に腸閉塞発症し、症状改善するが今後も再発に注意する。
主治医は加藤医院で月２回の往診を受けている。
片麻痺の影響により、徐々に身体能力の低下が見られてきている。</v>
      </c>
      <c r="DK16" s="4"/>
      <c r="DL16" s="4" t="str">
        <f ca="1">IFERROR(__xludf.DUMMYFUNCTION("""COMPUTED_VALUE"""),"入力")</f>
        <v>入力</v>
      </c>
      <c r="DM16" s="4" t="str">
        <f ca="1">IFERROR(__xludf.DUMMYFUNCTION("""COMPUTED_VALUE"""),"有")</f>
        <v>有</v>
      </c>
      <c r="DN16" s="4" t="str">
        <f ca="1">IFERROR(__xludf.DUMMYFUNCTION("""COMPUTED_VALUE"""),"軽度")</f>
        <v>軽度</v>
      </c>
      <c r="DO16" s="4" t="str">
        <f ca="1">IFERROR(__xludf.DUMMYFUNCTION("""COMPUTED_VALUE"""),"無")</f>
        <v>無</v>
      </c>
      <c r="DP16" s="4" t="str">
        <f ca="1">IFERROR(__xludf.DUMMYFUNCTION("""COMPUTED_VALUE"""),"可能")</f>
        <v>可能</v>
      </c>
      <c r="DQ16" s="4" t="str">
        <f ca="1">IFERROR(__xludf.DUMMYFUNCTION("""COMPUTED_VALUE"""),"可能")</f>
        <v>可能</v>
      </c>
      <c r="DR16" s="4" t="str">
        <f ca="1">IFERROR(__xludf.DUMMYFUNCTION("""COMPUTED_VALUE"""),"年相応の認知機能の低下は見られるものの大きな問題ではない。怒りっぽい性格をしている。")</f>
        <v>年相応の認知機能の低下は見られるものの大きな問題ではない。怒りっぽい性格をしている。</v>
      </c>
      <c r="DS16" s="4"/>
      <c r="DT16" s="4"/>
      <c r="DU16" s="4" t="str">
        <f ca="1">IFERROR(__xludf.DUMMYFUNCTION("""COMPUTED_VALUE"""),"入力")</f>
        <v>入力</v>
      </c>
      <c r="DV16" s="4" t="str">
        <f ca="1">IFERROR(__xludf.DUMMYFUNCTION("""COMPUTED_VALUE"""),"何かにつかまればできる")</f>
        <v>何かにつかまればできる</v>
      </c>
      <c r="DW16" s="4" t="str">
        <f ca="1">IFERROR(__xludf.DUMMYFUNCTION("""COMPUTED_VALUE"""),"何かにつかまればできる")</f>
        <v>何かにつかまればできる</v>
      </c>
      <c r="DX16" s="4" t="str">
        <f ca="1">IFERROR(__xludf.DUMMYFUNCTION("""COMPUTED_VALUE"""),"支えてもらえればできる")</f>
        <v>支えてもらえればできる</v>
      </c>
      <c r="DY16" s="4" t="str">
        <f ca="1">IFERROR(__xludf.DUMMYFUNCTION("""COMPUTED_VALUE"""),"何かにつかまればできる")</f>
        <v>何かにつかまればできる</v>
      </c>
      <c r="DZ16" s="4" t="str">
        <f ca="1">IFERROR(__xludf.DUMMYFUNCTION("""COMPUTED_VALUE"""),"何か支えがあればできる")</f>
        <v>何か支えがあればできる</v>
      </c>
      <c r="EA16" s="4" t="str">
        <f ca="1">IFERROR(__xludf.DUMMYFUNCTION("""COMPUTED_VALUE"""),"自立")</f>
        <v>自立</v>
      </c>
      <c r="EB16" s="4" t="str">
        <f ca="1">IFERROR(__xludf.DUMMYFUNCTION("""COMPUTED_VALUE"""),"自立")</f>
        <v>自立</v>
      </c>
      <c r="EC16" s="4" t="str">
        <f ca="1">IFERROR(__xludf.DUMMYFUNCTION("""COMPUTED_VALUE"""),"車椅子")</f>
        <v>車椅子</v>
      </c>
      <c r="ED16" s="4" t="str">
        <f ca="1">IFERROR(__xludf.DUMMYFUNCTION("""COMPUTED_VALUE"""),"自立")</f>
        <v>自立</v>
      </c>
      <c r="EE16" s="4" t="str">
        <f ca="1">IFERROR(__xludf.DUMMYFUNCTION("""COMPUTED_VALUE"""),"車椅子")</f>
        <v>車椅子</v>
      </c>
      <c r="EF16" s="4" t="str">
        <f ca="1">IFERROR(__xludf.DUMMYFUNCTION("""COMPUTED_VALUE"""),"基本動作は手すり等を把持することでご自身で行えるものの、麻痺の影響により動作は緩慢。移乗や起立、立位保持もご自身で行うことはできるが、転倒リスクは非常に高い。また最近では身体能力の低下も進んでおり、以前より動作が緩慢となっている。
車椅子の操作は右手、右足で行うが、身体能力の低下によるものか車いすが重いと訴えが多くなってきている。")</f>
        <v>基本動作は手すり等を把持することでご自身で行えるものの、麻痺の影響により動作は緩慢。移乗や起立、立位保持もご自身で行うことはできるが、転倒リスクは非常に高い。また最近では身体能力の低下も進んでおり、以前より動作が緩慢となっている。
車椅子の操作は右手、右足で行うが、身体能力の低下によるものか車いすが重いと訴えが多くなってきている。</v>
      </c>
      <c r="EG16" s="4"/>
      <c r="EH16" s="4" t="str">
        <f ca="1">IFERROR(__xludf.DUMMYFUNCTION("""COMPUTED_VALUE"""),"入力")</f>
        <v>入力</v>
      </c>
      <c r="EI16" s="4" t="str">
        <f ca="1">IFERROR(__xludf.DUMMYFUNCTION("""COMPUTED_VALUE"""),"入力")</f>
        <v>入力</v>
      </c>
      <c r="EJ16" s="4" t="str">
        <f ca="1">IFERROR(__xludf.DUMMYFUNCTION("""COMPUTED_VALUE"""),"経口摂取")</f>
        <v>経口摂取</v>
      </c>
      <c r="EK16" s="4" t="str">
        <f ca="1">IFERROR(__xludf.DUMMYFUNCTION("""COMPUTED_VALUE"""),"自立")</f>
        <v>自立</v>
      </c>
      <c r="EL16" s="4" t="str">
        <f ca="1">IFERROR(__xludf.DUMMYFUNCTION("""COMPUTED_VALUE"""),"できる")</f>
        <v>できる</v>
      </c>
      <c r="EM16" s="4" t="str">
        <f ca="1">IFERROR(__xludf.DUMMYFUNCTION("""COMPUTED_VALUE"""),"普通")</f>
        <v>普通</v>
      </c>
      <c r="EN16" s="4" t="str">
        <f ca="1">IFERROR(__xludf.DUMMYFUNCTION("""COMPUTED_VALUE"""),"普通")</f>
        <v>普通</v>
      </c>
      <c r="EO16" s="4" t="str">
        <f ca="1">IFERROR(__xludf.DUMMYFUNCTION("""COMPUTED_VALUE"""),"無")</f>
        <v>無</v>
      </c>
      <c r="EP16" s="4" t="str">
        <f ca="1">IFERROR(__xludf.DUMMYFUNCTION("""COMPUTED_VALUE"""),"無")</f>
        <v>無</v>
      </c>
      <c r="EQ16" s="4" t="str">
        <f ca="1">IFERROR(__xludf.DUMMYFUNCTION("""COMPUTED_VALUE"""),"箸 , スプーン")</f>
        <v>箸 , スプーン</v>
      </c>
      <c r="ER16" s="4" t="str">
        <f ca="1">IFERROR(__xludf.DUMMYFUNCTION("""COMPUTED_VALUE"""),"食事は特に問題なし。")</f>
        <v>食事は特に問題なし。</v>
      </c>
      <c r="ES16" s="4"/>
      <c r="ET16" s="4" t="str">
        <f ca="1">IFERROR(__xludf.DUMMYFUNCTION("""COMPUTED_VALUE"""),"入力")</f>
        <v>入力</v>
      </c>
      <c r="EU16" s="4" t="str">
        <f ca="1">IFERROR(__xludf.DUMMYFUNCTION("""COMPUTED_VALUE"""),"全介助")</f>
        <v>全介助</v>
      </c>
      <c r="EV16" s="4"/>
      <c r="EW16" s="4" t="str">
        <f ca="1">IFERROR(__xludf.DUMMYFUNCTION("""COMPUTED_VALUE"""),"無")</f>
        <v>無</v>
      </c>
      <c r="EX16" s="4"/>
      <c r="EY16" s="4"/>
      <c r="EZ16" s="4" t="str">
        <f ca="1">IFERROR(__xludf.DUMMYFUNCTION("""COMPUTED_VALUE"""),"口腔ケアは現在ほとんど行っていない。歯がないため支援も必要ないと強い訴えがある状況。")</f>
        <v>口腔ケアは現在ほとんど行っていない。歯がないため支援も必要ないと強い訴えがある状況。</v>
      </c>
      <c r="FA16" s="4"/>
      <c r="FB16" s="4" t="str">
        <f ca="1">IFERROR(__xludf.DUMMYFUNCTION("""COMPUTED_VALUE"""),"入力")</f>
        <v>入力</v>
      </c>
      <c r="FC16" s="4" t="str">
        <f ca="1">IFERROR(__xludf.DUMMYFUNCTION("""COMPUTED_VALUE"""),"一部介助")</f>
        <v>一部介助</v>
      </c>
      <c r="FD16" s="4" t="str">
        <f ca="1">IFERROR(__xludf.DUMMYFUNCTION("""COMPUTED_VALUE"""),"チェアー浴")</f>
        <v>チェアー浴</v>
      </c>
      <c r="FE16" s="4" t="str">
        <f ca="1">IFERROR(__xludf.DUMMYFUNCTION("""COMPUTED_VALUE"""),"無")</f>
        <v>無</v>
      </c>
      <c r="FF16" s="4"/>
      <c r="FG16" s="4" t="str">
        <f ca="1">IFERROR(__xludf.DUMMYFUNCTION("""COMPUTED_VALUE"""),"一部介助")</f>
        <v>一部介助</v>
      </c>
      <c r="FH16" s="4" t="str">
        <f ca="1">IFERROR(__xludf.DUMMYFUNCTION("""COMPUTED_VALUE"""),"一部介助")</f>
        <v>一部介助</v>
      </c>
      <c r="FI16" s="4" t="str">
        <f ca="1">IFERROR(__xludf.DUMMYFUNCTION("""COMPUTED_VALUE"""),"入浴はデイケアを利用時に行われており、チェアー浴となっている。ご自身で洗える部分はあるものの、依存的でほとんど介助されている。
更衣も協力動作はあるものの介助量が多い。")</f>
        <v>入浴はデイケアを利用時に行われており、チェアー浴となっている。ご自身で洗える部分はあるものの、依存的でほとんど介助されている。
更衣も協力動作はあるものの介助量が多い。</v>
      </c>
      <c r="FJ16" s="4"/>
      <c r="FK16" s="4" t="str">
        <f ca="1">IFERROR(__xludf.DUMMYFUNCTION("""COMPUTED_VALUE"""),"入力")</f>
        <v>入力</v>
      </c>
      <c r="FL16" s="4" t="str">
        <f ca="1">IFERROR(__xludf.DUMMYFUNCTION("""COMPUTED_VALUE"""),"自立")</f>
        <v>自立</v>
      </c>
      <c r="FM16" s="4" t="str">
        <f ca="1">IFERROR(__xludf.DUMMYFUNCTION("""COMPUTED_VALUE"""),"有")</f>
        <v>有</v>
      </c>
      <c r="FN16" s="4" t="str">
        <f ca="1">IFERROR(__xludf.DUMMYFUNCTION("""COMPUTED_VALUE"""),"有")</f>
        <v>有</v>
      </c>
      <c r="FO16" s="4" t="str">
        <f ca="1">IFERROR(__xludf.DUMMYFUNCTION("""COMPUTED_VALUE"""),"有")</f>
        <v>有</v>
      </c>
      <c r="FP16" s="4" t="str">
        <f ca="1">IFERROR(__xludf.DUMMYFUNCTION("""COMPUTED_VALUE"""),"無")</f>
        <v>無</v>
      </c>
      <c r="FQ16" s="4"/>
      <c r="FR16" s="4" t="str">
        <f ca="1">IFERROR(__xludf.DUMMYFUNCTION("""COMPUTED_VALUE"""),"トイレ")</f>
        <v>トイレ</v>
      </c>
      <c r="FS16" s="4" t="str">
        <f ca="1">IFERROR(__xludf.DUMMYFUNCTION("""COMPUTED_VALUE"""),"トイレ")</f>
        <v>トイレ</v>
      </c>
      <c r="FT16" s="4" t="str">
        <f ca="1">IFERROR(__xludf.DUMMYFUNCTION("""COMPUTED_VALUE"""),"リハビリパンツ , 小パット")</f>
        <v>リハビリパンツ , 小パット</v>
      </c>
      <c r="FU16" s="4" t="str">
        <f ca="1">IFERROR(__xludf.DUMMYFUNCTION("""COMPUTED_VALUE"""),"排泄はパット内に失禁は多いものの、尿意はありご自身でなんとかトイレで排泄できている。パットの交換もご自身で行うが、使用済みパットが床に落として放置するため尿臭も多くある。
身体能力の低下により徐々にトイレでの排泄が行いにくくなっているため、今後紙おむつになる可能性も多いにある。")</f>
        <v>排泄はパット内に失禁は多いものの、尿意はありご自身でなんとかトイレで排泄できている。パットの交換もご自身で行うが、使用済みパットが床に落として放置するため尿臭も多くある。
身体能力の低下により徐々にトイレでの排泄が行いにくくなっているため、今後紙おむつになる可能性も多いにある。</v>
      </c>
      <c r="FV16" s="4"/>
      <c r="FW16" s="4"/>
      <c r="FX16" s="4" t="str">
        <f ca="1">IFERROR(__xludf.DUMMYFUNCTION("""COMPUTED_VALUE"""),"入力")</f>
        <v>入力</v>
      </c>
      <c r="FY16" s="4" t="str">
        <f ca="1">IFERROR(__xludf.DUMMYFUNCTION("""COMPUTED_VALUE"""),"全介助")</f>
        <v>全介助</v>
      </c>
      <c r="FZ16" s="4" t="str">
        <f ca="1">IFERROR(__xludf.DUMMYFUNCTION("""COMPUTED_VALUE"""),"全介助")</f>
        <v>全介助</v>
      </c>
      <c r="GA16" s="4" t="str">
        <f ca="1">IFERROR(__xludf.DUMMYFUNCTION("""COMPUTED_VALUE"""),"全介助")</f>
        <v>全介助</v>
      </c>
      <c r="GB16" s="4" t="str">
        <f ca="1">IFERROR(__xludf.DUMMYFUNCTION("""COMPUTED_VALUE"""),"全介助")</f>
        <v>全介助</v>
      </c>
      <c r="GC16" s="4" t="str">
        <f ca="1">IFERROR(__xludf.DUMMYFUNCTION("""COMPUTED_VALUE"""),"全介助")</f>
        <v>全介助</v>
      </c>
      <c r="GD16" s="4" t="str">
        <f ca="1">IFERROR(__xludf.DUMMYFUNCTION("""COMPUTED_VALUE"""),"IADLはすべて介助が必要な状況。現在、掃除はヘルパー支援を受けており、調理・洗濯は施設サービス。金銭管理や買い物はKPの妹様が行っている。")</f>
        <v>IADLはすべて介助が必要な状況。現在、掃除はヘルパー支援を受けており、調理・洗濯は施設サービス。金銭管理や買い物はKPの妹様が行っている。</v>
      </c>
      <c r="GE16" s="4"/>
      <c r="GF16" s="4"/>
      <c r="GG16" s="4" t="str">
        <f ca="1">IFERROR(__xludf.DUMMYFUNCTION("""COMPUTED_VALUE"""),"片麻痺も重度で麻痺が強く、今までもなんとかご自身で生活を続けてきているが、寝ていることも多く、最近では身体能力の低下に伴い動作が緩慢となってきている。今後さらに状態に変化が生じた場合は、プランの見直しを行っていく必要がある。")</f>
        <v>片麻痺も重度で麻痺が強く、今までもなんとかご自身で生活を続けてきているが、寝ていることも多く、最近では身体能力の低下に伴い動作が緩慢となってきている。今後さらに状態に変化が生じた場合は、プランの見直しを行っていく必要がある。</v>
      </c>
      <c r="GH16" s="4">
        <f ca="1">IFERROR(__xludf.DUMMYFUNCTION("""COMPUTED_VALUE"""),30)</f>
        <v>30</v>
      </c>
      <c r="GI16" s="4"/>
    </row>
    <row r="17" spans="1:191">
      <c r="A17" s="4"/>
      <c r="B17" s="4"/>
      <c r="C17" s="4" t="str">
        <f ca="1">IFERROR(__xludf.DUMMYFUNCTION("""COMPUTED_VALUE"""),"栗本　敦子")</f>
        <v>栗本　敦子</v>
      </c>
      <c r="D17" s="4" t="str">
        <f ca="1">IFERROR(__xludf.DUMMYFUNCTION("""COMPUTED_VALUE"""),"b45f80cc")</f>
        <v>b45f80cc</v>
      </c>
      <c r="E17" s="4"/>
      <c r="F17" s="4"/>
      <c r="G17" s="4"/>
      <c r="H17" s="4"/>
      <c r="I17" s="5">
        <f ca="1">IFERROR(__xludf.DUMMYFUNCTION("""COMPUTED_VALUE"""),45901)</f>
        <v>45901</v>
      </c>
      <c r="J17" s="4" t="str">
        <f ca="1">IFERROR(__xludf.DUMMYFUNCTION("""COMPUTED_VALUE"""),"山川　和輝")</f>
        <v>山川　和輝</v>
      </c>
      <c r="K17" s="4" t="str">
        <f ca="1">IFERROR(__xludf.DUMMYFUNCTION("""COMPUTED_VALUE"""),"区分変更")</f>
        <v>区分変更</v>
      </c>
      <c r="L17" s="4" t="str">
        <f ca="1">IFERROR(__xludf.DUMMYFUNCTION("""COMPUTED_VALUE"""),"居室")</f>
        <v>居室</v>
      </c>
      <c r="M17" s="4" t="str">
        <f ca="1">IFERROR(__xludf.DUMMYFUNCTION("""COMPUTED_VALUE"""),"令和4年2月21日に自宅で転倒。永井病院にて足関節骨折、第9胸椎椎体骨折と診断。3月2日に足関節の手術となった。その後3月30日に永井病院内の回復期病棟へ移動。日常生活は概ね自立されているが自宅での生活が困難となったため、令和4年5月2日に安濃津ろまんへ入居となった。
令和7年8月下旬、下肢の痛みにより整形外科を受診した結果、脊柱管狭窄症と診断。ADLが低下したため令和7年9月1日に区分変更申請を行った。")</f>
        <v>令和4年2月21日に自宅で転倒。永井病院にて足関節骨折、第9胸椎椎体骨折と診断。3月2日に足関節の手術となった。その後3月30日に永井病院内の回復期病棟へ移動。日常生活は概ね自立されているが自宅での生活が困難となったため、令和4年5月2日に安濃津ろまんへ入居となった。
令和7年8月下旬、下肢の痛みにより整形外科を受診した結果、脊柱管狭窄症と診断。ADLが低下したため令和7年9月1日に区分変更申請を行った。</v>
      </c>
      <c r="N17" s="4" t="str">
        <f ca="1">IFERROR(__xludf.DUMMYFUNCTION("""COMPUTED_VALUE"""),"これからもここで安心して生活し続けたいです。")</f>
        <v>これからもここで安心して生活し続けたいです。</v>
      </c>
      <c r="O17" s="4" t="str">
        <f ca="1">IFERROR(__xludf.DUMMYFUNCTION("""COMPUTED_VALUE"""),"施設で安心して生活してほしいと思っています。")</f>
        <v>施設で安心して生活してほしいと思っています。</v>
      </c>
      <c r="P17" s="4"/>
      <c r="Q17" s="4" t="str">
        <f ca="1">IFERROR(__xludf.DUMMYFUNCTION("""COMPUTED_VALUE"""),"入力")</f>
        <v>入力</v>
      </c>
      <c r="R17" s="4" t="str">
        <f ca="1">IFERROR(__xludf.DUMMYFUNCTION("""COMPUTED_VALUE"""),"区分変更")</f>
        <v>区分変更</v>
      </c>
      <c r="S17" s="4"/>
      <c r="T17" s="4"/>
      <c r="U17" s="4"/>
      <c r="V17" s="4" t="str">
        <f ca="1">IFERROR(__xludf.DUMMYFUNCTION("""COMPUTED_VALUE"""),"１割負担")</f>
        <v>１割負担</v>
      </c>
      <c r="W17" s="4" t="str">
        <f ca="1">IFERROR(__xludf.DUMMYFUNCTION("""COMPUTED_VALUE"""),"後期高齢者医療保険")</f>
        <v>後期高齢者医療保険</v>
      </c>
      <c r="X17" s="4" t="str">
        <f ca="1">IFERROR(__xludf.DUMMYFUNCTION("""COMPUTED_VALUE"""),"無")</f>
        <v>無</v>
      </c>
      <c r="Y17" s="4"/>
      <c r="Z17" s="4" t="str">
        <f ca="1">IFERROR(__xludf.DUMMYFUNCTION("""COMPUTED_VALUE"""),"無")</f>
        <v>無</v>
      </c>
      <c r="AA17" s="4" t="str">
        <f ca="1">IFERROR(__xludf.DUMMYFUNCTION("""COMPUTED_VALUE"""),"無")</f>
        <v>無</v>
      </c>
      <c r="AB17" s="4"/>
      <c r="AC17" s="4"/>
      <c r="AD17" s="4"/>
      <c r="AE17" s="4" t="str">
        <f ca="1">IFERROR(__xludf.DUMMYFUNCTION("""COMPUTED_VALUE"""),"入力")</f>
        <v>入力</v>
      </c>
      <c r="AF17" s="4" t="str">
        <f ca="1">IFERROR(__xludf.DUMMYFUNCTION("""COMPUTED_VALUE"""),"栗本　直哉")</f>
        <v>栗本　直哉</v>
      </c>
      <c r="AG17" s="4" t="str">
        <f ca="1">IFERROR(__xludf.DUMMYFUNCTION("""COMPUTED_VALUE"""),"長男")</f>
        <v>長男</v>
      </c>
      <c r="AH17" s="4"/>
      <c r="AI17" s="4" t="str">
        <f ca="1">IFERROR(__xludf.DUMMYFUNCTION("""COMPUTED_VALUE"""),"別居")</f>
        <v>別居</v>
      </c>
      <c r="AJ17" s="4" t="str">
        <f ca="1">IFERROR(__xludf.DUMMYFUNCTION("""COMPUTED_VALUE"""),"介護しない")</f>
        <v>介護しない</v>
      </c>
      <c r="AK17" s="4" t="str">
        <f ca="1">IFERROR(__xludf.DUMMYFUNCTION("""COMPUTED_VALUE"""),"有")</f>
        <v>有</v>
      </c>
      <c r="AL17" s="4" t="str">
        <f ca="1">IFERROR(__xludf.DUMMYFUNCTION("""COMPUTED_VALUE"""),"090-3602-9742")</f>
        <v>090-3602-9742</v>
      </c>
      <c r="AM17" s="4" t="str">
        <f ca="1">IFERROR(__xludf.DUMMYFUNCTION("""COMPUTED_VALUE"""),"KP")</f>
        <v>KP</v>
      </c>
      <c r="AN17" s="4"/>
      <c r="AO17" s="4"/>
      <c r="AP17" s="4"/>
      <c r="AQ17" s="4"/>
      <c r="AR17" s="4"/>
      <c r="AS17" s="4"/>
      <c r="AT17" s="4"/>
      <c r="AU17" s="4"/>
      <c r="AV17" s="4"/>
      <c r="AW17" s="4" t="str">
        <f ca="1">IFERROR(__xludf.DUMMYFUNCTION("""COMPUTED_VALUE"""),"入力")</f>
        <v>入力</v>
      </c>
      <c r="AX17" s="4" t="str">
        <f ca="1">IFERROR(__xludf.DUMMYFUNCTION("""COMPUTED_VALUE"""),"一人暮らし")</f>
        <v>一人暮らし</v>
      </c>
      <c r="AY17" s="4" t="str">
        <f ca="1">IFERROR(__xludf.DUMMYFUNCTION("""COMPUTED_VALUE"""),"集合住宅")</f>
        <v>集合住宅</v>
      </c>
      <c r="AZ17" s="4" t="str">
        <f ca="1">IFERROR(__xludf.DUMMYFUNCTION("""COMPUTED_VALUE"""),"エレベーター有")</f>
        <v>エレベーター有</v>
      </c>
      <c r="BA17" s="4" t="str">
        <f ca="1">IFERROR(__xludf.DUMMYFUNCTION("""COMPUTED_VALUE"""),"賃貸")</f>
        <v>賃貸</v>
      </c>
      <c r="BB17" s="4" t="str">
        <f ca="1">IFERROR(__xludf.DUMMYFUNCTION("""COMPUTED_VALUE"""),"有")</f>
        <v>有</v>
      </c>
      <c r="BC17" s="4" t="str">
        <f ca="1">IFERROR(__xludf.DUMMYFUNCTION("""COMPUTED_VALUE"""),"無")</f>
        <v>無</v>
      </c>
      <c r="BD17" s="4" t="str">
        <f ca="1">IFERROR(__xludf.DUMMYFUNCTION("""COMPUTED_VALUE"""),"洋式")</f>
        <v>洋式</v>
      </c>
      <c r="BE17" s="4" t="str">
        <f ca="1">IFERROR(__xludf.DUMMYFUNCTION("""COMPUTED_VALUE"""),"手すり有")</f>
        <v>手すり有</v>
      </c>
      <c r="BF17" s="4" t="str">
        <f ca="1">IFERROR(__xludf.DUMMYFUNCTION("""COMPUTED_VALUE"""),"段差無")</f>
        <v>段差無</v>
      </c>
      <c r="BG17" s="4" t="str">
        <f ca="1">IFERROR(__xludf.DUMMYFUNCTION("""COMPUTED_VALUE"""),"無")</f>
        <v>無</v>
      </c>
      <c r="BH17" s="4" t="str">
        <f ca="1">IFERROR(__xludf.DUMMYFUNCTION("""COMPUTED_VALUE"""),"手すり有")</f>
        <v>手すり有</v>
      </c>
      <c r="BI17" s="4" t="str">
        <f ca="1">IFERROR(__xludf.DUMMYFUNCTION("""COMPUTED_VALUE"""),"リクライニングベッド")</f>
        <v>リクライニングベッド</v>
      </c>
      <c r="BJ17" s="4" t="str">
        <f ca="1">IFERROR(__xludf.DUMMYFUNCTION("""COMPUTED_VALUE"""),"無")</f>
        <v>無</v>
      </c>
      <c r="BK17" s="4" t="str">
        <f ca="1">IFERROR(__xludf.DUMMYFUNCTION("""COMPUTED_VALUE"""),"無")</f>
        <v>無</v>
      </c>
      <c r="BL17" s="4" t="str">
        <f ca="1">IFERROR(__xludf.DUMMYFUNCTION("""COMPUTED_VALUE"""),"無")</f>
        <v>無</v>
      </c>
      <c r="BM17" s="4" t="str">
        <f ca="1">IFERROR(__xludf.DUMMYFUNCTION("""COMPUTED_VALUE"""),"無")</f>
        <v>無</v>
      </c>
      <c r="BN17" s="4"/>
      <c r="BO17" s="4" t="str">
        <f ca="1">IFERROR(__xludf.DUMMYFUNCTION("""COMPUTED_VALUE"""),"入力")</f>
        <v>入力</v>
      </c>
      <c r="BP17" s="4" t="str">
        <f ca="1">IFERROR(__xludf.DUMMYFUNCTION("""COMPUTED_VALUE"""),"訪問介護 , 訪問看護 , 訪問リハ , 通所介護")</f>
        <v>訪問介護 , 訪問看護 , 訪問リハ , 通所介護</v>
      </c>
      <c r="BQ17" s="4" t="str">
        <f ca="1">IFERROR(__xludf.DUMMYFUNCTION("""COMPUTED_VALUE"""),"車いす , 特殊寝台 , 特殊寝台付属品 , 手すり")</f>
        <v>車いす , 特殊寝台 , 特殊寝台付属品 , 手すり</v>
      </c>
      <c r="BR17" s="4" t="str">
        <f ca="1">IFERROR(__xludf.DUMMYFUNCTION("""COMPUTED_VALUE"""),"特になし")</f>
        <v>特になし</v>
      </c>
      <c r="BS17" s="4" t="str">
        <f ca="1">IFERROR(__xludf.DUMMYFUNCTION("""COMPUTED_VALUE"""),"食事支援 , 排泄支援 , リネンリース , 洗濯")</f>
        <v>食事支援 , 排泄支援 , リネンリース , 洗濯</v>
      </c>
      <c r="BT17" s="4" t="str">
        <f ca="1">IFERROR(__xludf.DUMMYFUNCTION("""COMPUTED_VALUE"""),"難聴もあり他の利用者様とあまりコミュニケーションは取らない。")</f>
        <v>難聴もあり他の利用者様とあまりコミュニケーションは取らない。</v>
      </c>
      <c r="BU17" s="4"/>
      <c r="BV17" s="4"/>
      <c r="BW17" s="4" t="str">
        <f ca="1">IFERROR(__xludf.DUMMYFUNCTION("""COMPUTED_VALUE"""),"入力")</f>
        <v>入力</v>
      </c>
      <c r="BX17" s="4" t="str">
        <f ca="1">IFERROR(__xludf.DUMMYFUNCTION("""COMPUTED_VALUE"""),"脊柱管狭窄症")</f>
        <v>脊柱管狭窄症</v>
      </c>
      <c r="BY17" s="4" t="str">
        <f ca="1">IFERROR(__xludf.DUMMYFUNCTION("""COMPUTED_VALUE"""),"令和7年8月")</f>
        <v>令和7年8月</v>
      </c>
      <c r="BZ17" s="4" t="str">
        <f ca="1">IFERROR(__xludf.DUMMYFUNCTION("""COMPUTED_VALUE"""),"高血圧症")</f>
        <v>高血圧症</v>
      </c>
      <c r="CA17" s="4" t="str">
        <f ca="1">IFERROR(__xludf.DUMMYFUNCTION("""COMPUTED_VALUE"""),"不詳")</f>
        <v>不詳</v>
      </c>
      <c r="CB17" s="4" t="str">
        <f ca="1">IFERROR(__xludf.DUMMYFUNCTION("""COMPUTED_VALUE"""),"類天疱瘡")</f>
        <v>類天疱瘡</v>
      </c>
      <c r="CC17" s="4" t="str">
        <f ca="1">IFERROR(__xludf.DUMMYFUNCTION("""COMPUTED_VALUE"""),"不詳")</f>
        <v>不詳</v>
      </c>
      <c r="CD17" s="4"/>
      <c r="CE17" s="4"/>
      <c r="CF17" s="4"/>
      <c r="CG17" s="4"/>
      <c r="CH17" s="4"/>
      <c r="CI17" s="4"/>
      <c r="CJ17" s="4" t="str">
        <f ca="1">IFERROR(__xludf.DUMMYFUNCTION("""COMPUTED_VALUE"""),"類天疱瘡により三重大学病院　皮膚科を定期的に受診されている。
その他、加藤医院で往診を受けている。")</f>
        <v>類天疱瘡により三重大学病院　皮膚科を定期的に受診されている。
その他、加藤医院で往診を受けている。</v>
      </c>
      <c r="CK17" s="4" t="str">
        <f ca="1">IFERROR(__xludf.DUMMYFUNCTION("""COMPUTED_VALUE"""),"加藤医院")</f>
        <v>加藤医院</v>
      </c>
      <c r="CL17" s="4" t="str">
        <f ca="1">IFERROR(__xludf.DUMMYFUNCTION("""COMPUTED_VALUE"""),"加藤裕也先生")</f>
        <v>加藤裕也先生</v>
      </c>
      <c r="CM17" s="4"/>
      <c r="CN17" s="4"/>
      <c r="CO17" s="4" t="str">
        <f ca="1">IFERROR(__xludf.DUMMYFUNCTION("""COMPUTED_VALUE"""),"永井病院　循環器内科")</f>
        <v>永井病院　循環器内科</v>
      </c>
      <c r="CP17" s="4" t="str">
        <f ca="1">IFERROR(__xludf.DUMMYFUNCTION("""COMPUTED_VALUE"""),"新町整形外科")</f>
        <v>新町整形外科</v>
      </c>
      <c r="CQ17" s="4" t="str">
        <f ca="1">IFERROR(__xludf.DUMMYFUNCTION("""COMPUTED_VALUE"""),"三重大　皮膚科")</f>
        <v>三重大　皮膚科</v>
      </c>
      <c r="CR17" s="4"/>
      <c r="CS17" s="4" t="str">
        <f ca="1">IFERROR(__xludf.DUMMYFUNCTION("""COMPUTED_VALUE"""),"足関節骨折、第9胸椎椎体骨折（令和4年2月21日）")</f>
        <v>足関節骨折、第9胸椎椎体骨折（令和4年2月21日）</v>
      </c>
      <c r="CT17" s="4" t="str">
        <f ca="1">IFERROR(__xludf.DUMMYFUNCTION("""COMPUTED_VALUE"""),"服薬内容はお薬手帳を参照。
内服は袋を開封しお渡ししている。")</f>
        <v>服薬内容はお薬手帳を参照。
内服は袋を開封しお渡ししている。</v>
      </c>
      <c r="CU17" s="4" t="str">
        <f ca="1">IFERROR(__xludf.DUMMYFUNCTION("""COMPUTED_VALUE"""),"無")</f>
        <v>無</v>
      </c>
      <c r="CV17" s="4"/>
      <c r="CW17" s="4"/>
      <c r="CX17" s="4" t="str">
        <f ca="1">IFERROR(__xludf.DUMMYFUNCTION("""COMPUTED_VALUE"""),"入力")</f>
        <v>入力</v>
      </c>
      <c r="CY17" s="4" t="str">
        <f ca="1">IFERROR(__xludf.DUMMYFUNCTION("""COMPUTED_VALUE"""),"無 , かゆみ")</f>
        <v>無 , かゆみ</v>
      </c>
      <c r="CZ17" s="4" t="str">
        <f ca="1">IFERROR(__xludf.DUMMYFUNCTION("""COMPUTED_VALUE"""),"無")</f>
        <v>無</v>
      </c>
      <c r="DA17" s="4" t="str">
        <f ca="1">IFERROR(__xludf.DUMMYFUNCTION("""COMPUTED_VALUE"""),"無")</f>
        <v>無</v>
      </c>
      <c r="DB17" s="4" t="str">
        <f ca="1">IFERROR(__xludf.DUMMYFUNCTION("""COMPUTED_VALUE"""),"特になし。")</f>
        <v>特になし。</v>
      </c>
      <c r="DC17" s="4" t="str">
        <f ca="1">IFERROR(__xludf.DUMMYFUNCTION("""COMPUTED_VALUE"""),"左下肢")</f>
        <v>左下肢</v>
      </c>
      <c r="DD17" s="4">
        <f ca="1">IFERROR(__xludf.DUMMYFUNCTION("""COMPUTED_VALUE"""),0)</f>
        <v>0</v>
      </c>
      <c r="DE17" s="4">
        <f ca="1">IFERROR(__xludf.DUMMYFUNCTION("""COMPUTED_VALUE"""),0)</f>
        <v>0</v>
      </c>
      <c r="DF17" s="4" t="str">
        <f ca="1">IFERROR(__xludf.DUMMYFUNCTION("""COMPUTED_VALUE"""),"ほぼ見えない")</f>
        <v>ほぼ見えない</v>
      </c>
      <c r="DG17" s="4" t="str">
        <f ca="1">IFERROR(__xludf.DUMMYFUNCTION("""COMPUTED_VALUE"""),"有")</f>
        <v>有</v>
      </c>
      <c r="DH17" s="4" t="str">
        <f ca="1">IFERROR(__xludf.DUMMYFUNCTION("""COMPUTED_VALUE"""),"大きい声は可")</f>
        <v>大きい声は可</v>
      </c>
      <c r="DI17" s="4" t="str">
        <f ca="1">IFERROR(__xludf.DUMMYFUNCTION("""COMPUTED_VALUE"""),"無")</f>
        <v>無</v>
      </c>
      <c r="DJ17" s="4" t="str">
        <f ca="1">IFERROR(__xludf.DUMMYFUNCTION("""COMPUTED_VALUE"""),"類天疱瘡があり定期的に三重大学病院を受診。以前より血液検査の数値は特に変わりなし。永井病院にて血液検査を行ったところ、腎臓や心臓の数値に増悪が見られると指摘あり。
視力の低下があり、目の前のものがほとんど見えない。また難聴もあり大きな声で話す必要がある。
主治医は加藤医院で、高血圧等の服薬処方を受けている。")</f>
        <v>類天疱瘡があり定期的に三重大学病院を受診。以前より血液検査の数値は特に変わりなし。永井病院にて血液検査を行ったところ、腎臓や心臓の数値に増悪が見られると指摘あり。
視力の低下があり、目の前のものがほとんど見えない。また難聴もあり大きな声で話す必要がある。
主治医は加藤医院で、高血圧等の服薬処方を受けている。</v>
      </c>
      <c r="DK17" s="4"/>
      <c r="DL17" s="4" t="str">
        <f ca="1">IFERROR(__xludf.DUMMYFUNCTION("""COMPUTED_VALUE"""),"入力")</f>
        <v>入力</v>
      </c>
      <c r="DM17" s="4" t="str">
        <f ca="1">IFERROR(__xludf.DUMMYFUNCTION("""COMPUTED_VALUE"""),"有")</f>
        <v>有</v>
      </c>
      <c r="DN17" s="4" t="str">
        <f ca="1">IFERROR(__xludf.DUMMYFUNCTION("""COMPUTED_VALUE"""),"中等度")</f>
        <v>中等度</v>
      </c>
      <c r="DO17" s="4" t="str">
        <f ca="1">IFERROR(__xludf.DUMMYFUNCTION("""COMPUTED_VALUE"""),"無")</f>
        <v>無</v>
      </c>
      <c r="DP17" s="4" t="str">
        <f ca="1">IFERROR(__xludf.DUMMYFUNCTION("""COMPUTED_VALUE"""),"不明瞭")</f>
        <v>不明瞭</v>
      </c>
      <c r="DQ17" s="4" t="str">
        <f ca="1">IFERROR(__xludf.DUMMYFUNCTION("""COMPUTED_VALUE"""),"その場のみ可")</f>
        <v>その場のみ可</v>
      </c>
      <c r="DR17" s="4" t="str">
        <f ca="1">IFERROR(__xludf.DUMMYFUNCTION("""COMPUTED_VALUE"""),"認知機能の低下が進み、お部屋内には衣類が散乱し、常にカーテンを閉め切った生活となっている。
BPSDは特に問題は見られないものの、「エアコンの温度は何度がよい？」という発言は毎日言われており同じ話を繰り返す。")</f>
        <v>認知機能の低下が進み、お部屋内には衣類が散乱し、常にカーテンを閉め切った生活となっている。
BPSDは特に問題は見られないものの、「エアコンの温度は何度がよい？」という発言は毎日言われており同じ話を繰り返す。</v>
      </c>
      <c r="DS17" s="4"/>
      <c r="DT17" s="4"/>
      <c r="DU17" s="4" t="str">
        <f ca="1">IFERROR(__xludf.DUMMYFUNCTION("""COMPUTED_VALUE"""),"入力")</f>
        <v>入力</v>
      </c>
      <c r="DV17" s="4" t="str">
        <f ca="1">IFERROR(__xludf.DUMMYFUNCTION("""COMPUTED_VALUE"""),"何かにつかまればできる")</f>
        <v>何かにつかまればできる</v>
      </c>
      <c r="DW17" s="4" t="str">
        <f ca="1">IFERROR(__xludf.DUMMYFUNCTION("""COMPUTED_VALUE"""),"何かにつかまればできる")</f>
        <v>何かにつかまればできる</v>
      </c>
      <c r="DX17" s="4" t="str">
        <f ca="1">IFERROR(__xludf.DUMMYFUNCTION("""COMPUTED_VALUE"""),"自分の手で支えればできる")</f>
        <v>自分の手で支えればできる</v>
      </c>
      <c r="DY17" s="4" t="str">
        <f ca="1">IFERROR(__xludf.DUMMYFUNCTION("""COMPUTED_VALUE"""),"何かにつかまればできる")</f>
        <v>何かにつかまればできる</v>
      </c>
      <c r="DZ17" s="4" t="str">
        <f ca="1">IFERROR(__xludf.DUMMYFUNCTION("""COMPUTED_VALUE"""),"何か支えがあればできる")</f>
        <v>何か支えがあればできる</v>
      </c>
      <c r="EA17" s="4" t="str">
        <f ca="1">IFERROR(__xludf.DUMMYFUNCTION("""COMPUTED_VALUE"""),"一部介助")</f>
        <v>一部介助</v>
      </c>
      <c r="EB17" s="4" t="str">
        <f ca="1">IFERROR(__xludf.DUMMYFUNCTION("""COMPUTED_VALUE"""),"全介助")</f>
        <v>全介助</v>
      </c>
      <c r="EC17" s="4" t="str">
        <f ca="1">IFERROR(__xludf.DUMMYFUNCTION("""COMPUTED_VALUE"""),"車椅子")</f>
        <v>車椅子</v>
      </c>
      <c r="ED17" s="4" t="str">
        <f ca="1">IFERROR(__xludf.DUMMYFUNCTION("""COMPUTED_VALUE"""),"全介助")</f>
        <v>全介助</v>
      </c>
      <c r="EE17" s="4" t="str">
        <f ca="1">IFERROR(__xludf.DUMMYFUNCTION("""COMPUTED_VALUE"""),"車椅子")</f>
        <v>車椅子</v>
      </c>
      <c r="EF17" s="4" t="str">
        <f ca="1">IFERROR(__xludf.DUMMYFUNCTION("""COMPUTED_VALUE"""),"移動は脊柱管狭窄症の痛みにより車いすを使用される。室内は手すりを使用して歩いているものの転倒も多くなっている。
起居動作はご自身で行うことができている。")</f>
        <v>移動は脊柱管狭窄症の痛みにより車いすを使用される。室内は手すりを使用して歩いているものの転倒も多くなっている。
起居動作はご自身で行うことができている。</v>
      </c>
      <c r="EG17" s="4"/>
      <c r="EH17" s="4" t="str">
        <f ca="1">IFERROR(__xludf.DUMMYFUNCTION("""COMPUTED_VALUE"""),"入力")</f>
        <v>入力</v>
      </c>
      <c r="EI17" s="4" t="str">
        <f ca="1">IFERROR(__xludf.DUMMYFUNCTION("""COMPUTED_VALUE"""),"入力")</f>
        <v>入力</v>
      </c>
      <c r="EJ17" s="4" t="str">
        <f ca="1">IFERROR(__xludf.DUMMYFUNCTION("""COMPUTED_VALUE"""),"経口摂取")</f>
        <v>経口摂取</v>
      </c>
      <c r="EK17" s="4" t="str">
        <f ca="1">IFERROR(__xludf.DUMMYFUNCTION("""COMPUTED_VALUE"""),"自立")</f>
        <v>自立</v>
      </c>
      <c r="EL17" s="4" t="str">
        <f ca="1">IFERROR(__xludf.DUMMYFUNCTION("""COMPUTED_VALUE"""),"できる")</f>
        <v>できる</v>
      </c>
      <c r="EM17" s="4" t="str">
        <f ca="1">IFERROR(__xludf.DUMMYFUNCTION("""COMPUTED_VALUE"""),"普通")</f>
        <v>普通</v>
      </c>
      <c r="EN17" s="4" t="str">
        <f ca="1">IFERROR(__xludf.DUMMYFUNCTION("""COMPUTED_VALUE"""),"普通")</f>
        <v>普通</v>
      </c>
      <c r="EO17" s="4" t="str">
        <f ca="1">IFERROR(__xludf.DUMMYFUNCTION("""COMPUTED_VALUE"""),"無")</f>
        <v>無</v>
      </c>
      <c r="EP17" s="4" t="str">
        <f ca="1">IFERROR(__xludf.DUMMYFUNCTION("""COMPUTED_VALUE"""),"無")</f>
        <v>無</v>
      </c>
      <c r="EQ17" s="4" t="str">
        <f ca="1">IFERROR(__xludf.DUMMYFUNCTION("""COMPUTED_VALUE"""),"箸 , スプーン")</f>
        <v>箸 , スプーン</v>
      </c>
      <c r="ER17" s="4" t="str">
        <f ca="1">IFERROR(__xludf.DUMMYFUNCTION("""COMPUTED_VALUE"""),"食事は嚥下も問題なく普通食を摂取されている。食べこぼし等もなく食事をされている。")</f>
        <v>食事は嚥下も問題なく普通食を摂取されている。食べこぼし等もなく食事をされている。</v>
      </c>
      <c r="ES17" s="4"/>
      <c r="ET17" s="4" t="str">
        <f ca="1">IFERROR(__xludf.DUMMYFUNCTION("""COMPUTED_VALUE"""),"入力")</f>
        <v>入力</v>
      </c>
      <c r="EU17" s="4" t="str">
        <f ca="1">IFERROR(__xludf.DUMMYFUNCTION("""COMPUTED_VALUE"""),"一部介助")</f>
        <v>一部介助</v>
      </c>
      <c r="EV17" s="4" t="str">
        <f ca="1">IFERROR(__xludf.DUMMYFUNCTION("""COMPUTED_VALUE"""),"有")</f>
        <v>有</v>
      </c>
      <c r="EW17" s="4" t="str">
        <f ca="1">IFERROR(__xludf.DUMMYFUNCTION("""COMPUTED_VALUE"""),"無")</f>
        <v>無</v>
      </c>
      <c r="EX17" s="4"/>
      <c r="EY17" s="4"/>
      <c r="EZ17" s="4" t="str">
        <f ca="1">IFERROR(__xludf.DUMMYFUNCTION("""COMPUTED_VALUE"""),"もともとは「歯みがきは習慣になっていて、行わないと気持ち悪い。」と言われていたが、現在は促しがないとご自身で行うことは困難。ヘルパー支援にて促しや口腔ケアの手伝いを行っている。")</f>
        <v>もともとは「歯みがきは習慣になっていて、行わないと気持ち悪い。」と言われていたが、現在は促しがないとご自身で行うことは困難。ヘルパー支援にて促しや口腔ケアの手伝いを行っている。</v>
      </c>
      <c r="FA17" s="4"/>
      <c r="FB17" s="4" t="str">
        <f ca="1">IFERROR(__xludf.DUMMYFUNCTION("""COMPUTED_VALUE"""),"入力")</f>
        <v>入力</v>
      </c>
      <c r="FC17" s="4" t="str">
        <f ca="1">IFERROR(__xludf.DUMMYFUNCTION("""COMPUTED_VALUE"""),"一部介助")</f>
        <v>一部介助</v>
      </c>
      <c r="FD17" s="4" t="str">
        <f ca="1">IFERROR(__xludf.DUMMYFUNCTION("""COMPUTED_VALUE"""),"一般浴")</f>
        <v>一般浴</v>
      </c>
      <c r="FE17" s="4" t="str">
        <f ca="1">IFERROR(__xludf.DUMMYFUNCTION("""COMPUTED_VALUE"""),"有")</f>
        <v>有</v>
      </c>
      <c r="FF17" s="4"/>
      <c r="FG17" s="4" t="str">
        <f ca="1">IFERROR(__xludf.DUMMYFUNCTION("""COMPUTED_VALUE"""),"自立")</f>
        <v>自立</v>
      </c>
      <c r="FH17" s="4" t="str">
        <f ca="1">IFERROR(__xludf.DUMMYFUNCTION("""COMPUTED_VALUE"""),"見守り")</f>
        <v>見守り</v>
      </c>
      <c r="FI17" s="4" t="str">
        <f ca="1">IFERROR(__xludf.DUMMYFUNCTION("""COMPUTED_VALUE"""),"入浴はヘルパー支援で週3回行っている。個浴にて職員の介助のもと入浴されているが、浴槽へ跨ぐことは困難なためシャワー浴となっている。
更衣は基本入浴時に行っている。")</f>
        <v>入浴はヘルパー支援で週3回行っている。個浴にて職員の介助のもと入浴されているが、浴槽へ跨ぐことは困難なためシャワー浴となっている。
更衣は基本入浴時に行っている。</v>
      </c>
      <c r="FJ17" s="4"/>
      <c r="FK17" s="4" t="str">
        <f ca="1">IFERROR(__xludf.DUMMYFUNCTION("""COMPUTED_VALUE"""),"入力")</f>
        <v>入力</v>
      </c>
      <c r="FL17" s="4" t="str">
        <f ca="1">IFERROR(__xludf.DUMMYFUNCTION("""COMPUTED_VALUE"""),"全介助")</f>
        <v>全介助</v>
      </c>
      <c r="FM17" s="4" t="str">
        <f ca="1">IFERROR(__xludf.DUMMYFUNCTION("""COMPUTED_VALUE"""),"有")</f>
        <v>有</v>
      </c>
      <c r="FN17" s="4" t="str">
        <f ca="1">IFERROR(__xludf.DUMMYFUNCTION("""COMPUTED_VALUE"""),"有")</f>
        <v>有</v>
      </c>
      <c r="FO17" s="4" t="str">
        <f ca="1">IFERROR(__xludf.DUMMYFUNCTION("""COMPUTED_VALUE"""),"有")</f>
        <v>有</v>
      </c>
      <c r="FP17" s="4" t="str">
        <f ca="1">IFERROR(__xludf.DUMMYFUNCTION("""COMPUTED_VALUE"""),"無")</f>
        <v>無</v>
      </c>
      <c r="FQ17" s="4" t="str">
        <f ca="1">IFERROR(__xludf.DUMMYFUNCTION("""COMPUTED_VALUE"""),"普通便")</f>
        <v>普通便</v>
      </c>
      <c r="FR17" s="4" t="str">
        <f ca="1">IFERROR(__xludf.DUMMYFUNCTION("""COMPUTED_VALUE"""),"オムツ")</f>
        <v>オムツ</v>
      </c>
      <c r="FS17" s="4" t="str">
        <f ca="1">IFERROR(__xludf.DUMMYFUNCTION("""COMPUTED_VALUE"""),"オムツ")</f>
        <v>オムツ</v>
      </c>
      <c r="FT17" s="4" t="str">
        <f ca="1">IFERROR(__xludf.DUMMYFUNCTION("""COMPUTED_VALUE"""),"紙おむつ , 大パット")</f>
        <v>紙おむつ , 大パット</v>
      </c>
      <c r="FU17" s="4" t="str">
        <f ca="1">IFERROR(__xludf.DUMMYFUNCTION("""COMPUTED_VALUE"""),"最近では失禁が多くなったことや、痛みによりトイレでの排泄が困難となったため、紙おむつの対応となっている。")</f>
        <v>最近では失禁が多くなったことや、痛みによりトイレでの排泄が困難となったため、紙おむつの対応となっている。</v>
      </c>
      <c r="FV17" s="4"/>
      <c r="FW17" s="4"/>
      <c r="FX17" s="4" t="str">
        <f ca="1">IFERROR(__xludf.DUMMYFUNCTION("""COMPUTED_VALUE"""),"入力")</f>
        <v>入力</v>
      </c>
      <c r="FY17" s="4" t="str">
        <f ca="1">IFERROR(__xludf.DUMMYFUNCTION("""COMPUTED_VALUE"""),"全介助")</f>
        <v>全介助</v>
      </c>
      <c r="FZ17" s="4" t="str">
        <f ca="1">IFERROR(__xludf.DUMMYFUNCTION("""COMPUTED_VALUE"""),"全介助")</f>
        <v>全介助</v>
      </c>
      <c r="GA17" s="4" t="str">
        <f ca="1">IFERROR(__xludf.DUMMYFUNCTION("""COMPUTED_VALUE"""),"全介助")</f>
        <v>全介助</v>
      </c>
      <c r="GB17" s="4" t="str">
        <f ca="1">IFERROR(__xludf.DUMMYFUNCTION("""COMPUTED_VALUE"""),"全介助")</f>
        <v>全介助</v>
      </c>
      <c r="GC17" s="4" t="str">
        <f ca="1">IFERROR(__xludf.DUMMYFUNCTION("""COMPUTED_VALUE"""),"全介助")</f>
        <v>全介助</v>
      </c>
      <c r="GD17" s="4" t="str">
        <f ca="1">IFERROR(__xludf.DUMMYFUNCTION("""COMPUTED_VALUE"""),"施設サービスを受けている。")</f>
        <v>施設サービスを受けている。</v>
      </c>
      <c r="GE17" s="4"/>
      <c r="GF17" s="4"/>
      <c r="GG17" s="4" t="str">
        <f ca="1">IFERROR(__xludf.DUMMYFUNCTION("""COMPUTED_VALUE"""),"認知機能の低下があり、現在朝起きてから顔を洗ったりカーテンを開けたり等の行動がなくなりヘルパー支援を検討し令和7年9月1日付けで区分変更申請を行っている。")</f>
        <v>認知機能の低下があり、現在朝起きてから顔を洗ったりカーテンを開けたり等の行動がなくなりヘルパー支援を検討し令和7年9月1日付けで区分変更申請を行っている。</v>
      </c>
      <c r="GH17" s="4">
        <f ca="1">IFERROR(__xludf.DUMMYFUNCTION("""COMPUTED_VALUE"""),30)</f>
        <v>30</v>
      </c>
      <c r="GI17" s="4"/>
    </row>
    <row r="18" spans="1:191">
      <c r="A18" s="4"/>
      <c r="B18" s="4"/>
      <c r="C18" s="4" t="str">
        <f ca="1">IFERROR(__xludf.DUMMYFUNCTION("""COMPUTED_VALUE"""),"川井　良治")</f>
        <v>川井　良治</v>
      </c>
      <c r="D18" s="4" t="str">
        <f ca="1">IFERROR(__xludf.DUMMYFUNCTION("""COMPUTED_VALUE"""),"1d2ea7c6")</f>
        <v>1d2ea7c6</v>
      </c>
      <c r="E18" s="4"/>
      <c r="F18" s="4"/>
      <c r="G18" s="4"/>
      <c r="H18" s="4"/>
      <c r="I18" s="5">
        <f ca="1">IFERROR(__xludf.DUMMYFUNCTION("""COMPUTED_VALUE"""),45588)</f>
        <v>45588</v>
      </c>
      <c r="J18" s="4" t="str">
        <f ca="1">IFERROR(__xludf.DUMMYFUNCTION("""COMPUTED_VALUE"""),"山川　和輝")</f>
        <v>山川　和輝</v>
      </c>
      <c r="K18" s="4" t="str">
        <f ca="1">IFERROR(__xludf.DUMMYFUNCTION("""COMPUTED_VALUE"""),"更新")</f>
        <v>更新</v>
      </c>
      <c r="L18" s="4" t="str">
        <f ca="1">IFERROR(__xludf.DUMMYFUNCTION("""COMPUTED_VALUE"""),"本人の居室")</f>
        <v>本人の居室</v>
      </c>
      <c r="M18" s="4" t="str">
        <f ca="1">IFERROR(__xludf.DUMMYFUNCTION("""COMPUTED_VALUE"""),"退職後、家の田畑の仕事をしながら夫婦２人暮らしを行ってきた。同敷地に暮らす息子夫婦の助けも借りながら生活していたが、段々と妻の介護が必要になり、平成30年3月に安濃津ろまんへ入居となった。
現在は妻は他界し、おひとりで生活されている。")</f>
        <v>退職後、家の田畑の仕事をしながら夫婦２人暮らしを行ってきた。同敷地に暮らす息子夫婦の助けも借りながら生活していたが、段々と妻の介護が必要になり、平成30年3月に安濃津ろまんへ入居となった。
現在は妻は他界し、おひとりで生活されている。</v>
      </c>
      <c r="N18" s="4" t="str">
        <f ca="1">IFERROR(__xludf.DUMMYFUNCTION("""COMPUTED_VALUE"""),"転倒しないように自宅で安全に安心して生活したい。")</f>
        <v>転倒しないように自宅で安全に安心して生活したい。</v>
      </c>
      <c r="O18" s="4" t="str">
        <f ca="1">IFERROR(__xludf.DUMMYFUNCTION("""COMPUTED_VALUE"""),"歩行が不安定な為、転倒することが一番心配です。")</f>
        <v>歩行が不安定な為、転倒することが一番心配です。</v>
      </c>
      <c r="P18" s="4"/>
      <c r="Q18" s="4" t="str">
        <f ca="1">IFERROR(__xludf.DUMMYFUNCTION("""COMPUTED_VALUE"""),"入力")</f>
        <v>入力</v>
      </c>
      <c r="R18" s="4" t="str">
        <f ca="1">IFERROR(__xludf.DUMMYFUNCTION("""COMPUTED_VALUE"""),"要介護４")</f>
        <v>要介護４</v>
      </c>
      <c r="S18" s="4" t="str">
        <f ca="1">IFERROR(__xludf.DUMMYFUNCTION("""COMPUTED_VALUE"""),"令和6年9月12日")</f>
        <v>令和6年9月12日</v>
      </c>
      <c r="T18" s="4" t="str">
        <f ca="1">IFERROR(__xludf.DUMMYFUNCTION("""COMPUTED_VALUE"""),"令和6年10月1日")</f>
        <v>令和6年10月1日</v>
      </c>
      <c r="U18" s="4" t="str">
        <f ca="1">IFERROR(__xludf.DUMMYFUNCTION("""COMPUTED_VALUE"""),"令和8年9月30日")</f>
        <v>令和8年9月30日</v>
      </c>
      <c r="V18" s="4" t="str">
        <f ca="1">IFERROR(__xludf.DUMMYFUNCTION("""COMPUTED_VALUE"""),"２割負担")</f>
        <v>２割負担</v>
      </c>
      <c r="W18" s="4" t="str">
        <f ca="1">IFERROR(__xludf.DUMMYFUNCTION("""COMPUTED_VALUE"""),"後期高齢者医療保険")</f>
        <v>後期高齢者医療保険</v>
      </c>
      <c r="X18" s="4" t="str">
        <f ca="1">IFERROR(__xludf.DUMMYFUNCTION("""COMPUTED_VALUE"""),"有")</f>
        <v>有</v>
      </c>
      <c r="Y18" s="4" t="str">
        <f ca="1">IFERROR(__xludf.DUMMYFUNCTION("""COMPUTED_VALUE"""),"1級1種")</f>
        <v>1級1種</v>
      </c>
      <c r="Z18" s="4" t="str">
        <f ca="1">IFERROR(__xludf.DUMMYFUNCTION("""COMPUTED_VALUE"""),"無")</f>
        <v>無</v>
      </c>
      <c r="AA18" s="4" t="str">
        <f ca="1">IFERROR(__xludf.DUMMYFUNCTION("""COMPUTED_VALUE"""),"無")</f>
        <v>無</v>
      </c>
      <c r="AB18" s="4" t="str">
        <f ca="1">IFERROR(__xludf.DUMMYFUNCTION("""COMPUTED_VALUE"""),"B1")</f>
        <v>B1</v>
      </c>
      <c r="AC18" s="4" t="str">
        <f ca="1">IFERROR(__xludf.DUMMYFUNCTION("""COMPUTED_VALUE"""),"Ⅲb")</f>
        <v>Ⅲb</v>
      </c>
      <c r="AD18" s="4"/>
      <c r="AE18" s="4" t="str">
        <f ca="1">IFERROR(__xludf.DUMMYFUNCTION("""COMPUTED_VALUE"""),"入力")</f>
        <v>入力</v>
      </c>
      <c r="AF18" s="4" t="str">
        <f ca="1">IFERROR(__xludf.DUMMYFUNCTION("""COMPUTED_VALUE"""),"川井　滋樹")</f>
        <v>川井　滋樹</v>
      </c>
      <c r="AG18" s="4" t="str">
        <f ca="1">IFERROR(__xludf.DUMMYFUNCTION("""COMPUTED_VALUE"""),"長男")</f>
        <v>長男</v>
      </c>
      <c r="AH18" s="4"/>
      <c r="AI18" s="4" t="str">
        <f ca="1">IFERROR(__xludf.DUMMYFUNCTION("""COMPUTED_VALUE"""),"別居")</f>
        <v>別居</v>
      </c>
      <c r="AJ18" s="4" t="str">
        <f ca="1">IFERROR(__xludf.DUMMYFUNCTION("""COMPUTED_VALUE"""),"介護する")</f>
        <v>介護する</v>
      </c>
      <c r="AK18" s="4" t="str">
        <f ca="1">IFERROR(__xludf.DUMMYFUNCTION("""COMPUTED_VALUE"""),"無")</f>
        <v>無</v>
      </c>
      <c r="AL18" s="4" t="str">
        <f ca="1">IFERROR(__xludf.DUMMYFUNCTION("""COMPUTED_VALUE"""),"090-7619-9009")</f>
        <v>090-7619-9009</v>
      </c>
      <c r="AM18" s="4" t="str">
        <f ca="1">IFERROR(__xludf.DUMMYFUNCTION("""COMPUTED_VALUE"""),"KP")</f>
        <v>KP</v>
      </c>
      <c r="AN18" s="4" t="str">
        <f ca="1">IFERROR(__xludf.DUMMYFUNCTION("""COMPUTED_VALUE"""),"川井　さだ子")</f>
        <v>川井　さだ子</v>
      </c>
      <c r="AO18" s="4" t="str">
        <f ca="1">IFERROR(__xludf.DUMMYFUNCTION("""COMPUTED_VALUE"""),"長男妻")</f>
        <v>長男妻</v>
      </c>
      <c r="AP18" s="4"/>
      <c r="AQ18" s="4" t="str">
        <f ca="1">IFERROR(__xludf.DUMMYFUNCTION("""COMPUTED_VALUE"""),"別居")</f>
        <v>別居</v>
      </c>
      <c r="AR18" s="4" t="str">
        <f ca="1">IFERROR(__xludf.DUMMYFUNCTION("""COMPUTED_VALUE"""),"介護しない")</f>
        <v>介護しない</v>
      </c>
      <c r="AS18" s="4" t="str">
        <f ca="1">IFERROR(__xludf.DUMMYFUNCTION("""COMPUTED_VALUE"""),"無")</f>
        <v>無</v>
      </c>
      <c r="AT18" s="4" t="str">
        <f ca="1">IFERROR(__xludf.DUMMYFUNCTION("""COMPUTED_VALUE"""),"090-8867-6377")</f>
        <v>090-8867-6377</v>
      </c>
      <c r="AU18" s="4"/>
      <c r="AV18" s="4"/>
      <c r="AW18" s="4" t="str">
        <f ca="1">IFERROR(__xludf.DUMMYFUNCTION("""COMPUTED_VALUE"""),"入力")</f>
        <v>入力</v>
      </c>
      <c r="AX18" s="4" t="str">
        <f ca="1">IFERROR(__xludf.DUMMYFUNCTION("""COMPUTED_VALUE"""),"一人暮らし")</f>
        <v>一人暮らし</v>
      </c>
      <c r="AY18" s="4" t="str">
        <f ca="1">IFERROR(__xludf.DUMMYFUNCTION("""COMPUTED_VALUE"""),"集合住宅")</f>
        <v>集合住宅</v>
      </c>
      <c r="AZ18" s="4" t="str">
        <f ca="1">IFERROR(__xludf.DUMMYFUNCTION("""COMPUTED_VALUE"""),"エレベーター有")</f>
        <v>エレベーター有</v>
      </c>
      <c r="BA18" s="4" t="str">
        <f ca="1">IFERROR(__xludf.DUMMYFUNCTION("""COMPUTED_VALUE"""),"賃貸")</f>
        <v>賃貸</v>
      </c>
      <c r="BB18" s="4" t="str">
        <f ca="1">IFERROR(__xludf.DUMMYFUNCTION("""COMPUTED_VALUE"""),"有")</f>
        <v>有</v>
      </c>
      <c r="BC18" s="4" t="str">
        <f ca="1">IFERROR(__xludf.DUMMYFUNCTION("""COMPUTED_VALUE"""),"有")</f>
        <v>有</v>
      </c>
      <c r="BD18" s="4" t="str">
        <f ca="1">IFERROR(__xludf.DUMMYFUNCTION("""COMPUTED_VALUE"""),"洋式")</f>
        <v>洋式</v>
      </c>
      <c r="BE18" s="4" t="str">
        <f ca="1">IFERROR(__xludf.DUMMYFUNCTION("""COMPUTED_VALUE"""),"手すり有")</f>
        <v>手すり有</v>
      </c>
      <c r="BF18" s="4" t="str">
        <f ca="1">IFERROR(__xludf.DUMMYFUNCTION("""COMPUTED_VALUE"""),"段差無")</f>
        <v>段差無</v>
      </c>
      <c r="BG18" s="4" t="str">
        <f ca="1">IFERROR(__xludf.DUMMYFUNCTION("""COMPUTED_VALUE"""),"有")</f>
        <v>有</v>
      </c>
      <c r="BH18" s="4" t="str">
        <f ca="1">IFERROR(__xludf.DUMMYFUNCTION("""COMPUTED_VALUE"""),"手すり有")</f>
        <v>手すり有</v>
      </c>
      <c r="BI18" s="4" t="str">
        <f ca="1">IFERROR(__xludf.DUMMYFUNCTION("""COMPUTED_VALUE"""),"リクライニングベッド")</f>
        <v>リクライニングベッド</v>
      </c>
      <c r="BJ18" s="4" t="str">
        <f ca="1">IFERROR(__xludf.DUMMYFUNCTION("""COMPUTED_VALUE"""),"無")</f>
        <v>無</v>
      </c>
      <c r="BK18" s="4" t="str">
        <f ca="1">IFERROR(__xludf.DUMMYFUNCTION("""COMPUTED_VALUE"""),"無")</f>
        <v>無</v>
      </c>
      <c r="BL18" s="4" t="str">
        <f ca="1">IFERROR(__xludf.DUMMYFUNCTION("""COMPUTED_VALUE"""),"無")</f>
        <v>無</v>
      </c>
      <c r="BM18" s="4"/>
      <c r="BN18" s="4"/>
      <c r="BO18" s="4" t="str">
        <f ca="1">IFERROR(__xludf.DUMMYFUNCTION("""COMPUTED_VALUE"""),"入力")</f>
        <v>入力</v>
      </c>
      <c r="BP18" s="4" t="str">
        <f ca="1">IFERROR(__xludf.DUMMYFUNCTION("""COMPUTED_VALUE"""),"訪問介護 , 訪問看護")</f>
        <v>訪問介護 , 訪問看護</v>
      </c>
      <c r="BQ18" s="4" t="str">
        <f ca="1">IFERROR(__xludf.DUMMYFUNCTION("""COMPUTED_VALUE"""),"車いす , 特殊寝台 , 特殊寝台付属品 , 床ずれ防止用具 , 手すり")</f>
        <v>車いす , 特殊寝台 , 特殊寝台付属品 , 床ずれ防止用具 , 手すり</v>
      </c>
      <c r="BR18" s="4" t="str">
        <f ca="1">IFERROR(__xludf.DUMMYFUNCTION("""COMPUTED_VALUE"""),"特になし")</f>
        <v>特になし</v>
      </c>
      <c r="BS18" s="4" t="str">
        <f ca="1">IFERROR(__xludf.DUMMYFUNCTION("""COMPUTED_VALUE"""),"食事支援 , 排泄支援 , リネンリース , 居室清掃")</f>
        <v>食事支援 , 排泄支援 , リネンリース , 居室清掃</v>
      </c>
      <c r="BT18" s="4" t="str">
        <f ca="1">IFERROR(__xludf.DUMMYFUNCTION("""COMPUTED_VALUE"""),"他者との交流も良好でトラブルはない。")</f>
        <v>他者との交流も良好でトラブルはない。</v>
      </c>
      <c r="BU18" s="4"/>
      <c r="BV18" s="4"/>
      <c r="BW18" s="4" t="str">
        <f ca="1">IFERROR(__xludf.DUMMYFUNCTION("""COMPUTED_VALUE"""),"入力")</f>
        <v>入力</v>
      </c>
      <c r="BX18" s="4" t="str">
        <f ca="1">IFERROR(__xludf.DUMMYFUNCTION("""COMPUTED_VALUE"""),"腎不全（シャント造設　令和2年3月）")</f>
        <v>腎不全（シャント造設　令和2年3月）</v>
      </c>
      <c r="BY18" s="4" t="str">
        <f ca="1">IFERROR(__xludf.DUMMYFUNCTION("""COMPUTED_VALUE"""),"令和1年10月")</f>
        <v>令和1年10月</v>
      </c>
      <c r="BZ18" s="4" t="str">
        <f ca="1">IFERROR(__xludf.DUMMYFUNCTION("""COMPUTED_VALUE"""),"高血圧，高尿酸血症 胃粘膜下血症")</f>
        <v>高血圧，高尿酸血症 胃粘膜下血症</v>
      </c>
      <c r="CA18" s="4" t="str">
        <f ca="1">IFERROR(__xludf.DUMMYFUNCTION("""COMPUTED_VALUE"""),"不詳")</f>
        <v>不詳</v>
      </c>
      <c r="CB18" s="4"/>
      <c r="CC18" s="4"/>
      <c r="CD18" s="4"/>
      <c r="CE18" s="4"/>
      <c r="CF18" s="4"/>
      <c r="CG18" s="4"/>
      <c r="CH18" s="4"/>
      <c r="CI18" s="4"/>
      <c r="CJ18" s="4" t="str">
        <f ca="1">IFERROR(__xludf.DUMMYFUNCTION("""COMPUTED_VALUE"""),"透析のため週３回、津腎クリニックに通院を行っている。
普段は加藤医院で往診も受けている。")</f>
        <v>透析のため週３回、津腎クリニックに通院を行っている。
普段は加藤医院で往診も受けている。</v>
      </c>
      <c r="CK18" s="4"/>
      <c r="CL18" s="4"/>
      <c r="CM18" s="4"/>
      <c r="CN18" s="4"/>
      <c r="CO18" s="4"/>
      <c r="CP18" s="4"/>
      <c r="CQ18" s="4"/>
      <c r="CR18" s="4"/>
      <c r="CS18" s="4" t="str">
        <f ca="1">IFERROR(__xludf.DUMMYFUNCTION("""COMPUTED_VALUE"""),"平成14年にラクナ梗塞。転倒により脳出血や脳挫傷、硬膜下血腫をしている。")</f>
        <v>平成14年にラクナ梗塞。転倒により脳出血や脳挫傷、硬膜下血腫をしている。</v>
      </c>
      <c r="CT18" s="4" t="str">
        <f ca="1">IFERROR(__xludf.DUMMYFUNCTION("""COMPUTED_VALUE"""),"ローレル薬局を契約されており、服薬の管理は薬局と訪問看護で行っている。袋をお渡しするとご自身で内服される。")</f>
        <v>ローレル薬局を契約されており、服薬の管理は薬局と訪問看護で行っている。袋をお渡しするとご自身で内服される。</v>
      </c>
      <c r="CU18" s="4"/>
      <c r="CV18" s="4"/>
      <c r="CW18" s="4"/>
      <c r="CX18" s="4" t="str">
        <f ca="1">IFERROR(__xludf.DUMMYFUNCTION("""COMPUTED_VALUE"""),"入力")</f>
        <v>入力</v>
      </c>
      <c r="CY18" s="4" t="str">
        <f ca="1">IFERROR(__xludf.DUMMYFUNCTION("""COMPUTED_VALUE"""),"無")</f>
        <v>無</v>
      </c>
      <c r="CZ18" s="4" t="str">
        <f ca="1">IFERROR(__xludf.DUMMYFUNCTION("""COMPUTED_VALUE"""),"無")</f>
        <v>無</v>
      </c>
      <c r="DA18" s="4" t="str">
        <f ca="1">IFERROR(__xludf.DUMMYFUNCTION("""COMPUTED_VALUE"""),"無")</f>
        <v>無</v>
      </c>
      <c r="DB18" s="4" t="str">
        <f ca="1">IFERROR(__xludf.DUMMYFUNCTION("""COMPUTED_VALUE"""),"特になし")</f>
        <v>特になし</v>
      </c>
      <c r="DC18" s="4" t="str">
        <f ca="1">IFERROR(__xludf.DUMMYFUNCTION("""COMPUTED_VALUE"""),"特になし")</f>
        <v>特になし</v>
      </c>
      <c r="DD18" s="4"/>
      <c r="DE18" s="4"/>
      <c r="DF18" s="4" t="str">
        <f ca="1">IFERROR(__xludf.DUMMYFUNCTION("""COMPUTED_VALUE"""),"大きい字は可")</f>
        <v>大きい字は可</v>
      </c>
      <c r="DG18" s="4" t="str">
        <f ca="1">IFERROR(__xludf.DUMMYFUNCTION("""COMPUTED_VALUE"""),"有")</f>
        <v>有</v>
      </c>
      <c r="DH18" s="4" t="str">
        <f ca="1">IFERROR(__xludf.DUMMYFUNCTION("""COMPUTED_VALUE"""),"大きい声は可")</f>
        <v>大きい声は可</v>
      </c>
      <c r="DI18" s="4" t="str">
        <f ca="1">IFERROR(__xludf.DUMMYFUNCTION("""COMPUTED_VALUE"""),"有")</f>
        <v>有</v>
      </c>
      <c r="DJ18" s="4" t="str">
        <f ca="1">IFERROR(__xludf.DUMMYFUNCTION("""COMPUTED_VALUE"""),"床ずれはないものの、床ずれになる可能性が高いため、福祉用具の床ずれ防止用具を利用されている。また転倒を繰り返しており、転倒による脳出血や硬膜下血腫等もある。
視力低下や難聴があり、コミュニケーションの取りにくさも目立つ。")</f>
        <v>床ずれはないものの、床ずれになる可能性が高いため、福祉用具の床ずれ防止用具を利用されている。また転倒を繰り返しており、転倒による脳出血や硬膜下血腫等もある。
視力低下や難聴があり、コミュニケーションの取りにくさも目立つ。</v>
      </c>
      <c r="DK18" s="4"/>
      <c r="DL18" s="4" t="str">
        <f ca="1">IFERROR(__xludf.DUMMYFUNCTION("""COMPUTED_VALUE"""),"入力")</f>
        <v>入力</v>
      </c>
      <c r="DM18" s="4" t="str">
        <f ca="1">IFERROR(__xludf.DUMMYFUNCTION("""COMPUTED_VALUE"""),"有")</f>
        <v>有</v>
      </c>
      <c r="DN18" s="4" t="str">
        <f ca="1">IFERROR(__xludf.DUMMYFUNCTION("""COMPUTED_VALUE"""),"軽度")</f>
        <v>軽度</v>
      </c>
      <c r="DO18" s="4" t="str">
        <f ca="1">IFERROR(__xludf.DUMMYFUNCTION("""COMPUTED_VALUE"""),"無")</f>
        <v>無</v>
      </c>
      <c r="DP18" s="4" t="str">
        <f ca="1">IFERROR(__xludf.DUMMYFUNCTION("""COMPUTED_VALUE"""),"可能")</f>
        <v>可能</v>
      </c>
      <c r="DQ18" s="4" t="str">
        <f ca="1">IFERROR(__xludf.DUMMYFUNCTION("""COMPUTED_VALUE"""),"可能")</f>
        <v>可能</v>
      </c>
      <c r="DR18" s="4" t="str">
        <f ca="1">IFERROR(__xludf.DUMMYFUNCTION("""COMPUTED_VALUE"""),"認知機能は軽度の低下はあるものの、最近は徐々に進行してきており、今までは服薬管理はご自身で行っていたが、最近は飲み間違い等もある状況。今後も進行が懸念される。")</f>
        <v>認知機能は軽度の低下はあるものの、最近は徐々に進行してきており、今までは服薬管理はご自身で行っていたが、最近は飲み間違い等もある状況。今後も進行が懸念される。</v>
      </c>
      <c r="DS18" s="4"/>
      <c r="DT18" s="4"/>
      <c r="DU18" s="4" t="str">
        <f ca="1">IFERROR(__xludf.DUMMYFUNCTION("""COMPUTED_VALUE"""),"入力")</f>
        <v>入力</v>
      </c>
      <c r="DV18" s="4" t="str">
        <f ca="1">IFERROR(__xludf.DUMMYFUNCTION("""COMPUTED_VALUE"""),"何かにつかまればできる")</f>
        <v>何かにつかまればできる</v>
      </c>
      <c r="DW18" s="4" t="str">
        <f ca="1">IFERROR(__xludf.DUMMYFUNCTION("""COMPUTED_VALUE"""),"何かにつかまればできる")</f>
        <v>何かにつかまればできる</v>
      </c>
      <c r="DX18" s="4" t="str">
        <f ca="1">IFERROR(__xludf.DUMMYFUNCTION("""COMPUTED_VALUE"""),"支えてもらえればできる")</f>
        <v>支えてもらえればできる</v>
      </c>
      <c r="DY18" s="4" t="str">
        <f ca="1">IFERROR(__xludf.DUMMYFUNCTION("""COMPUTED_VALUE"""),"何かにつかまればできる")</f>
        <v>何かにつかまればできる</v>
      </c>
      <c r="DZ18" s="4" t="str">
        <f ca="1">IFERROR(__xludf.DUMMYFUNCTION("""COMPUTED_VALUE"""),"何か支えがあればできる")</f>
        <v>何か支えがあればできる</v>
      </c>
      <c r="EA18" s="4" t="str">
        <f ca="1">IFERROR(__xludf.DUMMYFUNCTION("""COMPUTED_VALUE"""),"自立")</f>
        <v>自立</v>
      </c>
      <c r="EB18" s="4" t="str">
        <f ca="1">IFERROR(__xludf.DUMMYFUNCTION("""COMPUTED_VALUE"""),"自立")</f>
        <v>自立</v>
      </c>
      <c r="EC18" s="4" t="str">
        <f ca="1">IFERROR(__xludf.DUMMYFUNCTION("""COMPUTED_VALUE"""),"車椅子")</f>
        <v>車椅子</v>
      </c>
      <c r="ED18" s="4" t="str">
        <f ca="1">IFERROR(__xludf.DUMMYFUNCTION("""COMPUTED_VALUE"""),"全介助")</f>
        <v>全介助</v>
      </c>
      <c r="EE18" s="4" t="str">
        <f ca="1">IFERROR(__xludf.DUMMYFUNCTION("""COMPUTED_VALUE"""),"車椅子")</f>
        <v>車椅子</v>
      </c>
      <c r="EF18" s="4" t="str">
        <f ca="1">IFERROR(__xludf.DUMMYFUNCTION("""COMPUTED_VALUE"""),"起居動作はなにかにつかまることでご自身で行えているものの、筋力低下が目立ち、起立や着座、方向転換の際にふらつきがあり転倒することが多々ある。
移動は車いすを自走されているが、長い距離は困難。最近は車いすの操作も不十分となってきている。")</f>
        <v>起居動作はなにかにつかまることでご自身で行えているものの、筋力低下が目立ち、起立や着座、方向転換の際にふらつきがあり転倒することが多々ある。
移動は車いすを自走されているが、長い距離は困難。最近は車いすの操作も不十分となってきている。</v>
      </c>
      <c r="EG18" s="4"/>
      <c r="EH18" s="4" t="str">
        <f ca="1">IFERROR(__xludf.DUMMYFUNCTION("""COMPUTED_VALUE"""),"入力")</f>
        <v>入力</v>
      </c>
      <c r="EI18" s="4" t="str">
        <f ca="1">IFERROR(__xludf.DUMMYFUNCTION("""COMPUTED_VALUE"""),"入力")</f>
        <v>入力</v>
      </c>
      <c r="EJ18" s="4" t="str">
        <f ca="1">IFERROR(__xludf.DUMMYFUNCTION("""COMPUTED_VALUE"""),"経口摂取")</f>
        <v>経口摂取</v>
      </c>
      <c r="EK18" s="4" t="str">
        <f ca="1">IFERROR(__xludf.DUMMYFUNCTION("""COMPUTED_VALUE"""),"自立")</f>
        <v>自立</v>
      </c>
      <c r="EL18" s="4" t="str">
        <f ca="1">IFERROR(__xludf.DUMMYFUNCTION("""COMPUTED_VALUE"""),"できる")</f>
        <v>できる</v>
      </c>
      <c r="EM18" s="4" t="str">
        <f ca="1">IFERROR(__xludf.DUMMYFUNCTION("""COMPUTED_VALUE"""),"全粥")</f>
        <v>全粥</v>
      </c>
      <c r="EN18" s="4" t="str">
        <f ca="1">IFERROR(__xludf.DUMMYFUNCTION("""COMPUTED_VALUE"""),"キザミ")</f>
        <v>キザミ</v>
      </c>
      <c r="EO18" s="4" t="str">
        <f ca="1">IFERROR(__xludf.DUMMYFUNCTION("""COMPUTED_VALUE"""),"無")</f>
        <v>無</v>
      </c>
      <c r="EP18" s="4" t="str">
        <f ca="1">IFERROR(__xludf.DUMMYFUNCTION("""COMPUTED_VALUE"""),"有")</f>
        <v>有</v>
      </c>
      <c r="EQ18" s="4" t="str">
        <f ca="1">IFERROR(__xludf.DUMMYFUNCTION("""COMPUTED_VALUE"""),"スプーン")</f>
        <v>スプーン</v>
      </c>
      <c r="ER18" s="4" t="str">
        <f ca="1">IFERROR(__xludf.DUMMYFUNCTION("""COMPUTED_VALUE"""),"腎不全がありカリウム制限があるため腎臓食を提供している。嚥下機能が徐々に落ちてきていることから、食事形態は全粥、キザミで提供。
水分のトロミは現状必要なし。")</f>
        <v>腎不全がありカリウム制限があるため腎臓食を提供している。嚥下機能が徐々に落ちてきていることから、食事形態は全粥、キザミで提供。
水分のトロミは現状必要なし。</v>
      </c>
      <c r="ES18" s="4"/>
      <c r="ET18" s="4" t="str">
        <f ca="1">IFERROR(__xludf.DUMMYFUNCTION("""COMPUTED_VALUE"""),"入力")</f>
        <v>入力</v>
      </c>
      <c r="EU18" s="4"/>
      <c r="EV18" s="4"/>
      <c r="EW18" s="4"/>
      <c r="EX18" s="4"/>
      <c r="EY18" s="4"/>
      <c r="EZ18" s="4"/>
      <c r="FA18" s="4"/>
      <c r="FB18" s="4" t="str">
        <f ca="1">IFERROR(__xludf.DUMMYFUNCTION("""COMPUTED_VALUE"""),"入力")</f>
        <v>入力</v>
      </c>
      <c r="FC18" s="4" t="str">
        <f ca="1">IFERROR(__xludf.DUMMYFUNCTION("""COMPUTED_VALUE"""),"一部介助")</f>
        <v>一部介助</v>
      </c>
      <c r="FD18" s="4" t="str">
        <f ca="1">IFERROR(__xludf.DUMMYFUNCTION("""COMPUTED_VALUE"""),"一般浴")</f>
        <v>一般浴</v>
      </c>
      <c r="FE18" s="4" t="str">
        <f ca="1">IFERROR(__xludf.DUMMYFUNCTION("""COMPUTED_VALUE"""),"無")</f>
        <v>無</v>
      </c>
      <c r="FF18" s="4"/>
      <c r="FG18" s="4" t="str">
        <f ca="1">IFERROR(__xludf.DUMMYFUNCTION("""COMPUTED_VALUE"""),"一部介助")</f>
        <v>一部介助</v>
      </c>
      <c r="FH18" s="4" t="str">
        <f ca="1">IFERROR(__xludf.DUMMYFUNCTION("""COMPUTED_VALUE"""),"全介助")</f>
        <v>全介助</v>
      </c>
      <c r="FI18" s="4" t="str">
        <f ca="1">IFERROR(__xludf.DUMMYFUNCTION("""COMPUTED_VALUE"""),"入浴はヘルパー支援で個浴に入られている。洗身はご自身で洗えるところもあるがほとんど介助を受けている。
更衣の上衣は協力動作があるが介助が必要で、下衣は全介助を要す。")</f>
        <v>入浴はヘルパー支援で個浴に入られている。洗身はご自身で洗えるところもあるがほとんど介助を受けている。
更衣の上衣は協力動作があるが介助が必要で、下衣は全介助を要す。</v>
      </c>
      <c r="FJ18" s="4"/>
      <c r="FK18" s="4" t="str">
        <f ca="1">IFERROR(__xludf.DUMMYFUNCTION("""COMPUTED_VALUE"""),"入力")</f>
        <v>入力</v>
      </c>
      <c r="FL18" s="4" t="str">
        <f ca="1">IFERROR(__xludf.DUMMYFUNCTION("""COMPUTED_VALUE"""),"自立")</f>
        <v>自立</v>
      </c>
      <c r="FM18" s="4" t="str">
        <f ca="1">IFERROR(__xludf.DUMMYFUNCTION("""COMPUTED_VALUE"""),"有")</f>
        <v>有</v>
      </c>
      <c r="FN18" s="4" t="str">
        <f ca="1">IFERROR(__xludf.DUMMYFUNCTION("""COMPUTED_VALUE"""),"無")</f>
        <v>無</v>
      </c>
      <c r="FO18" s="4" t="str">
        <f ca="1">IFERROR(__xludf.DUMMYFUNCTION("""COMPUTED_VALUE"""),"有")</f>
        <v>有</v>
      </c>
      <c r="FP18" s="4" t="str">
        <f ca="1">IFERROR(__xludf.DUMMYFUNCTION("""COMPUTED_VALUE"""),"無")</f>
        <v>無</v>
      </c>
      <c r="FQ18" s="4"/>
      <c r="FR18" s="4" t="str">
        <f ca="1">IFERROR(__xludf.DUMMYFUNCTION("""COMPUTED_VALUE"""),"Pトイレ")</f>
        <v>Pトイレ</v>
      </c>
      <c r="FS18" s="4" t="str">
        <f ca="1">IFERROR(__xludf.DUMMYFUNCTION("""COMPUTED_VALUE"""),"Pトイレ")</f>
        <v>Pトイレ</v>
      </c>
      <c r="FT18" s="4" t="str">
        <f ca="1">IFERROR(__xludf.DUMMYFUNCTION("""COMPUTED_VALUE"""),"リハビリパンツ")</f>
        <v>リハビリパンツ</v>
      </c>
      <c r="FU18" s="4" t="str">
        <f ca="1">IFERROR(__xludf.DUMMYFUNCTION("""COMPUTED_VALUE"""),"排泄は今までトイレを使用されていたが、転倒も多かったことでPトイレを導入。今後はPトイレで排泄を行って頂くこととなった。")</f>
        <v>排泄は今までトイレを使用されていたが、転倒も多かったことでPトイレを導入。今後はPトイレで排泄を行って頂くこととなった。</v>
      </c>
      <c r="FV18" s="4"/>
      <c r="FW18" s="4"/>
      <c r="FX18" s="4" t="str">
        <f ca="1">IFERROR(__xludf.DUMMYFUNCTION("""COMPUTED_VALUE"""),"入力")</f>
        <v>入力</v>
      </c>
      <c r="FY18" s="4" t="str">
        <f ca="1">IFERROR(__xludf.DUMMYFUNCTION("""COMPUTED_VALUE"""),"全介助")</f>
        <v>全介助</v>
      </c>
      <c r="FZ18" s="4" t="str">
        <f ca="1">IFERROR(__xludf.DUMMYFUNCTION("""COMPUTED_VALUE"""),"全介助")</f>
        <v>全介助</v>
      </c>
      <c r="GA18" s="4" t="str">
        <f ca="1">IFERROR(__xludf.DUMMYFUNCTION("""COMPUTED_VALUE"""),"全介助")</f>
        <v>全介助</v>
      </c>
      <c r="GB18" s="4" t="str">
        <f ca="1">IFERROR(__xludf.DUMMYFUNCTION("""COMPUTED_VALUE"""),"一部介助")</f>
        <v>一部介助</v>
      </c>
      <c r="GC18" s="4" t="str">
        <f ca="1">IFERROR(__xludf.DUMMYFUNCTION("""COMPUTED_VALUE"""),"全介助")</f>
        <v>全介助</v>
      </c>
      <c r="GD18" s="4" t="str">
        <f ca="1">IFERROR(__xludf.DUMMYFUNCTION("""COMPUTED_VALUE"""),"IADLはほとんど介助を要す。
掃除は施設サービスを受けており、洗濯はご家族様で行っている。")</f>
        <v>IADLはほとんど介助を要す。
掃除は施設サービスを受けており、洗濯はご家族様で行っている。</v>
      </c>
      <c r="GE18" s="4"/>
      <c r="GF18" s="4"/>
      <c r="GG18" s="4" t="str">
        <f ca="1">IFERROR(__xludf.DUMMYFUNCTION("""COMPUTED_VALUE"""),"認知機能の低下が徐々に進んでいる状況で、今後もさらに悪化していく可能性が高い。また転倒も繰り返しているため、居室の環境を整えて可能な限り転倒しないように対策を行う。転倒に対してリスク同意書は頂いている。")</f>
        <v>認知機能の低下が徐々に進んでいる状況で、今後もさらに悪化していく可能性が高い。また転倒も繰り返しているため、居室の環境を整えて可能な限り転倒しないように対策を行う。転倒に対してリスク同意書は頂いている。</v>
      </c>
      <c r="GH18" s="4">
        <f ca="1">IFERROR(__xludf.DUMMYFUNCTION("""COMPUTED_VALUE"""),30)</f>
        <v>30</v>
      </c>
      <c r="GI18" s="4"/>
    </row>
    <row r="19" spans="1:191">
      <c r="A19" s="4"/>
      <c r="B19" s="4"/>
      <c r="C19" s="4" t="str">
        <f ca="1">IFERROR(__xludf.DUMMYFUNCTION("""COMPUTED_VALUE"""),"植山　さよ子")</f>
        <v>植山　さよ子</v>
      </c>
      <c r="D19" s="4" t="str">
        <f ca="1">IFERROR(__xludf.DUMMYFUNCTION("""COMPUTED_VALUE"""),"7f293379")</f>
        <v>7f293379</v>
      </c>
      <c r="E19" s="4"/>
      <c r="F19" s="4"/>
      <c r="G19" s="4"/>
      <c r="H19" s="4"/>
      <c r="I19" s="5">
        <f ca="1">IFERROR(__xludf.DUMMYFUNCTION("""COMPUTED_VALUE"""),45607)</f>
        <v>45607</v>
      </c>
      <c r="J19" s="4" t="str">
        <f ca="1">IFERROR(__xludf.DUMMYFUNCTION("""COMPUTED_VALUE"""),"山川　和輝")</f>
        <v>山川　和輝</v>
      </c>
      <c r="K19" s="4" t="str">
        <f ca="1">IFERROR(__xludf.DUMMYFUNCTION("""COMPUTED_VALUE"""),"更新")</f>
        <v>更新</v>
      </c>
      <c r="L19" s="4" t="str">
        <f ca="1">IFERROR(__xludf.DUMMYFUNCTION("""COMPUTED_VALUE"""),"本人の居室")</f>
        <v>本人の居室</v>
      </c>
      <c r="M19" s="4" t="str">
        <f ca="1">IFERROR(__xludf.DUMMYFUNCTION("""COMPUTED_VALUE"""),"兵庫県出身。結婚後、夫の勤務先の転勤を経て、43年前に津市に移り現在に至る。令和1年6月に夫死去以降、独居だったが、徘徊などお一人で外出され自宅に帰れないことが多々あったため、令和6年10月31日にサービス付き高齢者向け住宅安濃津ろまんへ入居となった。")</f>
        <v>兵庫県出身。結婚後、夫の勤務先の転勤を経て、43年前に津市に移り現在に至る。令和1年6月に夫死去以降、独居だったが、徘徊などお一人で外出され自宅に帰れないことが多々あったため、令和6年10月31日にサービス付き高齢者向け住宅安濃津ろまんへ入居となった。</v>
      </c>
      <c r="N19" s="4" t="str">
        <f ca="1">IFERROR(__xludf.DUMMYFUNCTION("""COMPUTED_VALUE"""),"これまで通り介護サービスを利用し、活気ある生活を送って元気に過ごしたい。")</f>
        <v>これまで通り介護サービスを利用し、活気ある生活を送って元気に過ごしたい。</v>
      </c>
      <c r="O19" s="4" t="str">
        <f ca="1">IFERROR(__xludf.DUMMYFUNCTION("""COMPUTED_VALUE"""),"環境を整えて本人の望む生活を継続させてあげたい。")</f>
        <v>環境を整えて本人の望む生活を継続させてあげたい。</v>
      </c>
      <c r="P19" s="4"/>
      <c r="Q19" s="4" t="str">
        <f ca="1">IFERROR(__xludf.DUMMYFUNCTION("""COMPUTED_VALUE"""),"入力")</f>
        <v>入力</v>
      </c>
      <c r="R19" s="4" t="str">
        <f ca="1">IFERROR(__xludf.DUMMYFUNCTION("""COMPUTED_VALUE"""),"要介護１")</f>
        <v>要介護１</v>
      </c>
      <c r="S19" s="4" t="str">
        <f ca="1">IFERROR(__xludf.DUMMYFUNCTION("""COMPUTED_VALUE"""),"令和6年11月7日")</f>
        <v>令和6年11月7日</v>
      </c>
      <c r="T19" s="4" t="str">
        <f ca="1">IFERROR(__xludf.DUMMYFUNCTION("""COMPUTED_VALUE"""),"令和6年11月1日")</f>
        <v>令和6年11月1日</v>
      </c>
      <c r="U19" s="4" t="str">
        <f ca="1">IFERROR(__xludf.DUMMYFUNCTION("""COMPUTED_VALUE"""),"令和7年10月31日")</f>
        <v>令和7年10月31日</v>
      </c>
      <c r="V19" s="4" t="str">
        <f ca="1">IFERROR(__xludf.DUMMYFUNCTION("""COMPUTED_VALUE"""),"１割負担")</f>
        <v>１割負担</v>
      </c>
      <c r="W19" s="4" t="str">
        <f ca="1">IFERROR(__xludf.DUMMYFUNCTION("""COMPUTED_VALUE"""),"後期高齢者医療保険")</f>
        <v>後期高齢者医療保険</v>
      </c>
      <c r="X19" s="4" t="str">
        <f ca="1">IFERROR(__xludf.DUMMYFUNCTION("""COMPUTED_VALUE"""),"無")</f>
        <v>無</v>
      </c>
      <c r="Y19" s="4"/>
      <c r="Z19" s="4" t="str">
        <f ca="1">IFERROR(__xludf.DUMMYFUNCTION("""COMPUTED_VALUE"""),"無")</f>
        <v>無</v>
      </c>
      <c r="AA19" s="4" t="str">
        <f ca="1">IFERROR(__xludf.DUMMYFUNCTION("""COMPUTED_VALUE"""),"無")</f>
        <v>無</v>
      </c>
      <c r="AB19" s="4" t="str">
        <f ca="1">IFERROR(__xludf.DUMMYFUNCTION("""COMPUTED_VALUE"""),"A1")</f>
        <v>A1</v>
      </c>
      <c r="AC19" s="4" t="str">
        <f ca="1">IFERROR(__xludf.DUMMYFUNCTION("""COMPUTED_VALUE"""),"Ⅲa")</f>
        <v>Ⅲa</v>
      </c>
      <c r="AD19" s="4"/>
      <c r="AE19" s="4" t="str">
        <f ca="1">IFERROR(__xludf.DUMMYFUNCTION("""COMPUTED_VALUE"""),"入力")</f>
        <v>入力</v>
      </c>
      <c r="AF19" s="4" t="str">
        <f ca="1">IFERROR(__xludf.DUMMYFUNCTION("""COMPUTED_VALUE"""),"榊原　みどり")</f>
        <v>榊原　みどり</v>
      </c>
      <c r="AG19" s="4" t="str">
        <f ca="1">IFERROR(__xludf.DUMMYFUNCTION("""COMPUTED_VALUE"""),"長女")</f>
        <v>長女</v>
      </c>
      <c r="AH19" s="4"/>
      <c r="AI19" s="4" t="str">
        <f ca="1">IFERROR(__xludf.DUMMYFUNCTION("""COMPUTED_VALUE"""),"別居")</f>
        <v>別居</v>
      </c>
      <c r="AJ19" s="4" t="str">
        <f ca="1">IFERROR(__xludf.DUMMYFUNCTION("""COMPUTED_VALUE"""),"介護する")</f>
        <v>介護する</v>
      </c>
      <c r="AK19" s="4" t="str">
        <f ca="1">IFERROR(__xludf.DUMMYFUNCTION("""COMPUTED_VALUE"""),"無")</f>
        <v>無</v>
      </c>
      <c r="AL19" s="4" t="str">
        <f ca="1">IFERROR(__xludf.DUMMYFUNCTION("""COMPUTED_VALUE"""),"090-7694-1185")</f>
        <v>090-7694-1185</v>
      </c>
      <c r="AM19" s="4" t="str">
        <f ca="1">IFERROR(__xludf.DUMMYFUNCTION("""COMPUTED_VALUE"""),"KP")</f>
        <v>KP</v>
      </c>
      <c r="AN19" s="4"/>
      <c r="AO19" s="4"/>
      <c r="AP19" s="4"/>
      <c r="AQ19" s="4"/>
      <c r="AR19" s="4"/>
      <c r="AS19" s="4"/>
      <c r="AT19" s="4"/>
      <c r="AU19" s="4"/>
      <c r="AV19" s="4"/>
      <c r="AW19" s="4" t="str">
        <f ca="1">IFERROR(__xludf.DUMMYFUNCTION("""COMPUTED_VALUE"""),"入力")</f>
        <v>入力</v>
      </c>
      <c r="AX19" s="4" t="str">
        <f ca="1">IFERROR(__xludf.DUMMYFUNCTION("""COMPUTED_VALUE"""),"一人暮らし")</f>
        <v>一人暮らし</v>
      </c>
      <c r="AY19" s="4" t="str">
        <f ca="1">IFERROR(__xludf.DUMMYFUNCTION("""COMPUTED_VALUE"""),"集合住宅")</f>
        <v>集合住宅</v>
      </c>
      <c r="AZ19" s="4" t="str">
        <f ca="1">IFERROR(__xludf.DUMMYFUNCTION("""COMPUTED_VALUE"""),"エレベーター有")</f>
        <v>エレベーター有</v>
      </c>
      <c r="BA19" s="4" t="str">
        <f ca="1">IFERROR(__xludf.DUMMYFUNCTION("""COMPUTED_VALUE"""),"賃貸")</f>
        <v>賃貸</v>
      </c>
      <c r="BB19" s="4" t="str">
        <f ca="1">IFERROR(__xludf.DUMMYFUNCTION("""COMPUTED_VALUE"""),"有")</f>
        <v>有</v>
      </c>
      <c r="BC19" s="4" t="str">
        <f ca="1">IFERROR(__xludf.DUMMYFUNCTION("""COMPUTED_VALUE"""),"有")</f>
        <v>有</v>
      </c>
      <c r="BD19" s="4" t="str">
        <f ca="1">IFERROR(__xludf.DUMMYFUNCTION("""COMPUTED_VALUE"""),"洋式")</f>
        <v>洋式</v>
      </c>
      <c r="BE19" s="4" t="str">
        <f ca="1">IFERROR(__xludf.DUMMYFUNCTION("""COMPUTED_VALUE"""),"手すり有")</f>
        <v>手すり有</v>
      </c>
      <c r="BF19" s="4" t="str">
        <f ca="1">IFERROR(__xludf.DUMMYFUNCTION("""COMPUTED_VALUE"""),"段差無")</f>
        <v>段差無</v>
      </c>
      <c r="BG19" s="4" t="str">
        <f ca="1">IFERROR(__xludf.DUMMYFUNCTION("""COMPUTED_VALUE"""),"有")</f>
        <v>有</v>
      </c>
      <c r="BH19" s="4" t="str">
        <f ca="1">IFERROR(__xludf.DUMMYFUNCTION("""COMPUTED_VALUE"""),"手すり有")</f>
        <v>手すり有</v>
      </c>
      <c r="BI19" s="4" t="str">
        <f ca="1">IFERROR(__xludf.DUMMYFUNCTION("""COMPUTED_VALUE"""),"リクライニングベッド")</f>
        <v>リクライニングベッド</v>
      </c>
      <c r="BJ19" s="4" t="str">
        <f ca="1">IFERROR(__xludf.DUMMYFUNCTION("""COMPUTED_VALUE"""),"無")</f>
        <v>無</v>
      </c>
      <c r="BK19" s="4" t="str">
        <f ca="1">IFERROR(__xludf.DUMMYFUNCTION("""COMPUTED_VALUE"""),"無")</f>
        <v>無</v>
      </c>
      <c r="BL19" s="4" t="str">
        <f ca="1">IFERROR(__xludf.DUMMYFUNCTION("""COMPUTED_VALUE"""),"無")</f>
        <v>無</v>
      </c>
      <c r="BM19" s="4" t="str">
        <f ca="1">IFERROR(__xludf.DUMMYFUNCTION("""COMPUTED_VALUE"""),"無")</f>
        <v>無</v>
      </c>
      <c r="BN19" s="4"/>
      <c r="BO19" s="4" t="str">
        <f ca="1">IFERROR(__xludf.DUMMYFUNCTION("""COMPUTED_VALUE"""),"入力")</f>
        <v>入力</v>
      </c>
      <c r="BP19" s="4" t="str">
        <f ca="1">IFERROR(__xludf.DUMMYFUNCTION("""COMPUTED_VALUE"""),"訪問介護 , 訪問看護")</f>
        <v>訪問介護 , 訪問看護</v>
      </c>
      <c r="BQ19" s="4" t="str">
        <f ca="1">IFERROR(__xludf.DUMMYFUNCTION("""COMPUTED_VALUE"""),"特殊寝台 , 特殊寝台付属品 , 手すり")</f>
        <v>特殊寝台 , 特殊寝台付属品 , 手すり</v>
      </c>
      <c r="BR19" s="4" t="str">
        <f ca="1">IFERROR(__xludf.DUMMYFUNCTION("""COMPUTED_VALUE"""),"特になし")</f>
        <v>特になし</v>
      </c>
      <c r="BS19" s="4" t="str">
        <f ca="1">IFERROR(__xludf.DUMMYFUNCTION("""COMPUTED_VALUE"""),"食事支援 , 排泄支援 , リネンリース , 洗濯")</f>
        <v>食事支援 , 排泄支援 , リネンリース , 洗濯</v>
      </c>
      <c r="BT19" s="4" t="str">
        <f ca="1">IFERROR(__xludf.DUMMYFUNCTION("""COMPUTED_VALUE"""),"同フロア内の利用者様とは仲良くされているが、時折トラブルも見られる。")</f>
        <v>同フロア内の利用者様とは仲良くされているが、時折トラブルも見られる。</v>
      </c>
      <c r="BU19" s="4"/>
      <c r="BV19" s="4"/>
      <c r="BW19" s="4" t="str">
        <f ca="1">IFERROR(__xludf.DUMMYFUNCTION("""COMPUTED_VALUE"""),"入力")</f>
        <v>入力</v>
      </c>
      <c r="BX19" s="4" t="str">
        <f ca="1">IFERROR(__xludf.DUMMYFUNCTION("""COMPUTED_VALUE"""),"軽度認知障害（MCI)")</f>
        <v>軽度認知障害（MCI)</v>
      </c>
      <c r="BY19" s="4" t="str">
        <f ca="1">IFERROR(__xludf.DUMMYFUNCTION("""COMPUTED_VALUE"""),"令和2年5月1日")</f>
        <v>令和2年5月1日</v>
      </c>
      <c r="BZ19" s="4" t="str">
        <f ca="1">IFERROR(__xludf.DUMMYFUNCTION("""COMPUTED_VALUE"""),"高血圧症")</f>
        <v>高血圧症</v>
      </c>
      <c r="CA19" s="4" t="str">
        <f ca="1">IFERROR(__xludf.DUMMYFUNCTION("""COMPUTED_VALUE"""),"不詳")</f>
        <v>不詳</v>
      </c>
      <c r="CB19" s="4" t="str">
        <f ca="1">IFERROR(__xludf.DUMMYFUNCTION("""COMPUTED_VALUE"""),"高脂血症")</f>
        <v>高脂血症</v>
      </c>
      <c r="CC19" s="4" t="str">
        <f ca="1">IFERROR(__xludf.DUMMYFUNCTION("""COMPUTED_VALUE"""),"不詳")</f>
        <v>不詳</v>
      </c>
      <c r="CD19" s="4"/>
      <c r="CE19" s="4"/>
      <c r="CF19" s="4"/>
      <c r="CG19" s="4"/>
      <c r="CH19" s="4"/>
      <c r="CI19" s="4"/>
      <c r="CJ19" s="4" t="str">
        <f ca="1">IFERROR(__xludf.DUMMYFUNCTION("""COMPUTED_VALUE"""),"元々遠山病院を受診していたが、加藤先生に主治医が変更となり、現在通院は行っていない。")</f>
        <v>元々遠山病院を受診していたが、加藤先生に主治医が変更となり、現在通院は行っていない。</v>
      </c>
      <c r="CK19" s="4"/>
      <c r="CL19" s="4"/>
      <c r="CM19" s="4"/>
      <c r="CN19" s="4"/>
      <c r="CO19" s="4"/>
      <c r="CP19" s="4"/>
      <c r="CQ19" s="4"/>
      <c r="CR19" s="4"/>
      <c r="CS19" s="4" t="str">
        <f ca="1">IFERROR(__xludf.DUMMYFUNCTION("""COMPUTED_VALUE"""),"その他、大きな病気は見られない。")</f>
        <v>その他、大きな病気は見られない。</v>
      </c>
      <c r="CT19" s="4" t="str">
        <f ca="1">IFERROR(__xludf.DUMMYFUNCTION("""COMPUTED_VALUE"""),"ローレル薬局を契約し、薬局と看護師で内服管理を行っている。
薬の袋を開封しお渡しすることで内服できている。")</f>
        <v>ローレル薬局を契約し、薬局と看護師で内服管理を行っている。
薬の袋を開封しお渡しすることで内服できている。</v>
      </c>
      <c r="CU19" s="4"/>
      <c r="CV19" s="4"/>
      <c r="CW19" s="4"/>
      <c r="CX19" s="4" t="str">
        <f ca="1">IFERROR(__xludf.DUMMYFUNCTION("""COMPUTED_VALUE"""),"入力")</f>
        <v>入力</v>
      </c>
      <c r="CY19" s="4" t="str">
        <f ca="1">IFERROR(__xludf.DUMMYFUNCTION("""COMPUTED_VALUE"""),"無")</f>
        <v>無</v>
      </c>
      <c r="CZ19" s="4" t="str">
        <f ca="1">IFERROR(__xludf.DUMMYFUNCTION("""COMPUTED_VALUE"""),"無")</f>
        <v>無</v>
      </c>
      <c r="DA19" s="4" t="str">
        <f ca="1">IFERROR(__xludf.DUMMYFUNCTION("""COMPUTED_VALUE"""),"無")</f>
        <v>無</v>
      </c>
      <c r="DB19" s="4" t="str">
        <f ca="1">IFERROR(__xludf.DUMMYFUNCTION("""COMPUTED_VALUE"""),"特になし")</f>
        <v>特になし</v>
      </c>
      <c r="DC19" s="4" t="str">
        <f ca="1">IFERROR(__xludf.DUMMYFUNCTION("""COMPUTED_VALUE"""),"特になし")</f>
        <v>特になし</v>
      </c>
      <c r="DD19" s="4"/>
      <c r="DE19" s="4"/>
      <c r="DF19" s="4" t="str">
        <f ca="1">IFERROR(__xludf.DUMMYFUNCTION("""COMPUTED_VALUE"""),"正常")</f>
        <v>正常</v>
      </c>
      <c r="DG19" s="4" t="str">
        <f ca="1">IFERROR(__xludf.DUMMYFUNCTION("""COMPUTED_VALUE"""),"無")</f>
        <v>無</v>
      </c>
      <c r="DH19" s="4" t="str">
        <f ca="1">IFERROR(__xludf.DUMMYFUNCTION("""COMPUTED_VALUE"""),"正常")</f>
        <v>正常</v>
      </c>
      <c r="DI19" s="4" t="str">
        <f ca="1">IFERROR(__xludf.DUMMYFUNCTION("""COMPUTED_VALUE"""),"無")</f>
        <v>無</v>
      </c>
      <c r="DJ19" s="4" t="str">
        <f ca="1">IFERROR(__xludf.DUMMYFUNCTION("""COMPUTED_VALUE"""),"軽度認知障害の診断を受けており、徐々に物忘れ等が目立ってきている。自宅に住んでいた時は徘徊により自宅へ戻れなくなることが多々あった。高血圧症があるが降圧剤を飲んでおり、現在血圧は安定している。
時折腰痛や膝関節に違和感を生じることがあるが、日常生活に支障が出るほどではない。")</f>
        <v>軽度認知障害の診断を受けており、徐々に物忘れ等が目立ってきている。自宅に住んでいた時は徘徊により自宅へ戻れなくなることが多々あった。高血圧症があるが降圧剤を飲んでおり、現在血圧は安定している。
時折腰痛や膝関節に違和感を生じることがあるが、日常生活に支障が出るほどではない。</v>
      </c>
      <c r="DK19" s="4"/>
      <c r="DL19" s="4" t="str">
        <f ca="1">IFERROR(__xludf.DUMMYFUNCTION("""COMPUTED_VALUE"""),"入力")</f>
        <v>入力</v>
      </c>
      <c r="DM19" s="4" t="str">
        <f ca="1">IFERROR(__xludf.DUMMYFUNCTION("""COMPUTED_VALUE"""),"有")</f>
        <v>有</v>
      </c>
      <c r="DN19" s="4" t="str">
        <f ca="1">IFERROR(__xludf.DUMMYFUNCTION("""COMPUTED_VALUE"""),"中等度")</f>
        <v>中等度</v>
      </c>
      <c r="DO19" s="4" t="str">
        <f ca="1">IFERROR(__xludf.DUMMYFUNCTION("""COMPUTED_VALUE"""),"感情の不安定 , 帰宅願望 , 暴力 , 暴言 , 落ち着きがない")</f>
        <v>感情の不安定 , 帰宅願望 , 暴力 , 暴言 , 落ち着きがない</v>
      </c>
      <c r="DP19" s="4" t="str">
        <f ca="1">IFERROR(__xludf.DUMMYFUNCTION("""COMPUTED_VALUE"""),"可能")</f>
        <v>可能</v>
      </c>
      <c r="DQ19" s="4" t="str">
        <f ca="1">IFERROR(__xludf.DUMMYFUNCTION("""COMPUTED_VALUE"""),"可能")</f>
        <v>可能</v>
      </c>
      <c r="DR19" s="4" t="str">
        <f ca="1">IFERROR(__xludf.DUMMYFUNCTION("""COMPUTED_VALUE"""),"認知機能は中等度の低下がある。現在の施設を自宅と思い込んでいたり、急に自宅に帰りたいと帰宅願望が出ることも多い。帰宅願望が出ると、暴言や暴力行為、感情の不安定さも見られる。
元々デイサービスを利用していた時は、上記行動が多かったが、デイサービスの利用を中止してからは比較的穏やかに過ごされている。")</f>
        <v>認知機能は中等度の低下がある。現在の施設を自宅と思い込んでいたり、急に自宅に帰りたいと帰宅願望が出ることも多い。帰宅願望が出ると、暴言や暴力行為、感情の不安定さも見られる。
元々デイサービスを利用していた時は、上記行動が多かったが、デイサービスの利用を中止してからは比較的穏やかに過ごされている。</v>
      </c>
      <c r="DS19" s="4"/>
      <c r="DT19" s="4"/>
      <c r="DU19" s="4" t="str">
        <f ca="1">IFERROR(__xludf.DUMMYFUNCTION("""COMPUTED_VALUE"""),"入力")</f>
        <v>入力</v>
      </c>
      <c r="DV19" s="4" t="str">
        <f ca="1">IFERROR(__xludf.DUMMYFUNCTION("""COMPUTED_VALUE"""),"つかまらないでできる")</f>
        <v>つかまらないでできる</v>
      </c>
      <c r="DW19" s="4" t="str">
        <f ca="1">IFERROR(__xludf.DUMMYFUNCTION("""COMPUTED_VALUE"""),"つかまらないでできる")</f>
        <v>つかまらないでできる</v>
      </c>
      <c r="DX19" s="4" t="str">
        <f ca="1">IFERROR(__xludf.DUMMYFUNCTION("""COMPUTED_VALUE"""),"できる")</f>
        <v>できる</v>
      </c>
      <c r="DY19" s="4" t="str">
        <f ca="1">IFERROR(__xludf.DUMMYFUNCTION("""COMPUTED_VALUE"""),"つかまらないでできる")</f>
        <v>つかまらないでできる</v>
      </c>
      <c r="DZ19" s="4" t="str">
        <f ca="1">IFERROR(__xludf.DUMMYFUNCTION("""COMPUTED_VALUE"""),"支えなしでできる")</f>
        <v>支えなしでできる</v>
      </c>
      <c r="EA19" s="4" t="str">
        <f ca="1">IFERROR(__xludf.DUMMYFUNCTION("""COMPUTED_VALUE"""),"自立")</f>
        <v>自立</v>
      </c>
      <c r="EB19" s="4" t="str">
        <f ca="1">IFERROR(__xludf.DUMMYFUNCTION("""COMPUTED_VALUE"""),"自立")</f>
        <v>自立</v>
      </c>
      <c r="EC19" s="4" t="str">
        <f ca="1">IFERROR(__xludf.DUMMYFUNCTION("""COMPUTED_VALUE"""),"独歩")</f>
        <v>独歩</v>
      </c>
      <c r="ED19" s="4" t="str">
        <f ca="1">IFERROR(__xludf.DUMMYFUNCTION("""COMPUTED_VALUE"""),"見守り")</f>
        <v>見守り</v>
      </c>
      <c r="EE19" s="4" t="str">
        <f ca="1">IFERROR(__xludf.DUMMYFUNCTION("""COMPUTED_VALUE"""),"独歩")</f>
        <v>独歩</v>
      </c>
      <c r="EF19" s="4" t="str">
        <f ca="1">IFERROR(__xludf.DUMMYFUNCTION("""COMPUTED_VALUE"""),"起居動作、移動ともに自立されており、特に問題は見られない。")</f>
        <v>起居動作、移動ともに自立されており、特に問題は見られない。</v>
      </c>
      <c r="EG19" s="4"/>
      <c r="EH19" s="4" t="str">
        <f ca="1">IFERROR(__xludf.DUMMYFUNCTION("""COMPUTED_VALUE"""),"入力")</f>
        <v>入力</v>
      </c>
      <c r="EI19" s="4" t="str">
        <f ca="1">IFERROR(__xludf.DUMMYFUNCTION("""COMPUTED_VALUE"""),"入力")</f>
        <v>入力</v>
      </c>
      <c r="EJ19" s="4" t="str">
        <f ca="1">IFERROR(__xludf.DUMMYFUNCTION("""COMPUTED_VALUE"""),"経口摂取")</f>
        <v>経口摂取</v>
      </c>
      <c r="EK19" s="4" t="str">
        <f ca="1">IFERROR(__xludf.DUMMYFUNCTION("""COMPUTED_VALUE"""),"自立")</f>
        <v>自立</v>
      </c>
      <c r="EL19" s="4" t="str">
        <f ca="1">IFERROR(__xludf.DUMMYFUNCTION("""COMPUTED_VALUE"""),"できる")</f>
        <v>できる</v>
      </c>
      <c r="EM19" s="4" t="str">
        <f ca="1">IFERROR(__xludf.DUMMYFUNCTION("""COMPUTED_VALUE"""),"普通")</f>
        <v>普通</v>
      </c>
      <c r="EN19" s="4" t="str">
        <f ca="1">IFERROR(__xludf.DUMMYFUNCTION("""COMPUTED_VALUE"""),"普通")</f>
        <v>普通</v>
      </c>
      <c r="EO19" s="4" t="str">
        <f ca="1">IFERROR(__xludf.DUMMYFUNCTION("""COMPUTED_VALUE"""),"無")</f>
        <v>無</v>
      </c>
      <c r="EP19" s="4" t="str">
        <f ca="1">IFERROR(__xludf.DUMMYFUNCTION("""COMPUTED_VALUE"""),"無")</f>
        <v>無</v>
      </c>
      <c r="EQ19" s="4" t="str">
        <f ca="1">IFERROR(__xludf.DUMMYFUNCTION("""COMPUTED_VALUE"""),"箸 , スプーン")</f>
        <v>箸 , スプーン</v>
      </c>
      <c r="ER19" s="4" t="str">
        <f ca="1">IFERROR(__xludf.DUMMYFUNCTION("""COMPUTED_VALUE"""),"食事の時間に声掛けや誘導は必要であるものの、食事動作や嚥下は特に問題は見られない。")</f>
        <v>食事の時間に声掛けや誘導は必要であるものの、食事動作や嚥下は特に問題は見られない。</v>
      </c>
      <c r="ES19" s="4"/>
      <c r="ET19" s="4" t="str">
        <f ca="1">IFERROR(__xludf.DUMMYFUNCTION("""COMPUTED_VALUE"""),"入力")</f>
        <v>入力</v>
      </c>
      <c r="EU19" s="4" t="str">
        <f ca="1">IFERROR(__xludf.DUMMYFUNCTION("""COMPUTED_VALUE"""),"自立")</f>
        <v>自立</v>
      </c>
      <c r="EV19" s="4" t="str">
        <f ca="1">IFERROR(__xludf.DUMMYFUNCTION("""COMPUTED_VALUE"""),"有")</f>
        <v>有</v>
      </c>
      <c r="EW19" s="4" t="str">
        <f ca="1">IFERROR(__xludf.DUMMYFUNCTION("""COMPUTED_VALUE"""),"無")</f>
        <v>無</v>
      </c>
      <c r="EX19" s="4"/>
      <c r="EY19" s="4"/>
      <c r="EZ19" s="4" t="str">
        <f ca="1">IFERROR(__xludf.DUMMYFUNCTION("""COMPUTED_VALUE"""),"口腔ケアは自宅で住んでいたころから習慣になっており、現在もご自身できちんと歯みがきを行うことができている。")</f>
        <v>口腔ケアは自宅で住んでいたころから習慣になっており、現在もご自身できちんと歯みがきを行うことができている。</v>
      </c>
      <c r="FA19" s="4"/>
      <c r="FB19" s="4" t="str">
        <f ca="1">IFERROR(__xludf.DUMMYFUNCTION("""COMPUTED_VALUE"""),"入力")</f>
        <v>入力</v>
      </c>
      <c r="FC19" s="4" t="str">
        <f ca="1">IFERROR(__xludf.DUMMYFUNCTION("""COMPUTED_VALUE"""),"一部介助")</f>
        <v>一部介助</v>
      </c>
      <c r="FD19" s="4" t="str">
        <f ca="1">IFERROR(__xludf.DUMMYFUNCTION("""COMPUTED_VALUE"""),"一般浴")</f>
        <v>一般浴</v>
      </c>
      <c r="FE19" s="4" t="str">
        <f ca="1">IFERROR(__xludf.DUMMYFUNCTION("""COMPUTED_VALUE"""),"無")</f>
        <v>無</v>
      </c>
      <c r="FF19" s="4"/>
      <c r="FG19" s="4" t="str">
        <f ca="1">IFERROR(__xludf.DUMMYFUNCTION("""COMPUTED_VALUE"""),"自立")</f>
        <v>自立</v>
      </c>
      <c r="FH19" s="4" t="str">
        <f ca="1">IFERROR(__xludf.DUMMYFUNCTION("""COMPUTED_VALUE"""),"自立")</f>
        <v>自立</v>
      </c>
      <c r="FI19" s="4" t="str">
        <f ca="1">IFERROR(__xludf.DUMMYFUNCTION("""COMPUTED_VALUE"""),"入浴はヘルパーステーションの支援を受け個浴で入っている。洗身はご自身で洗えるところは多く、背中など洗えない部分は介助を行っている。
更衣は自立で可能。")</f>
        <v>入浴はヘルパーステーションの支援を受け個浴で入っている。洗身はご自身で洗えるところは多く、背中など洗えない部分は介助を行っている。
更衣は自立で可能。</v>
      </c>
      <c r="FJ19" s="4"/>
      <c r="FK19" s="4" t="str">
        <f ca="1">IFERROR(__xludf.DUMMYFUNCTION("""COMPUTED_VALUE"""),"入力")</f>
        <v>入力</v>
      </c>
      <c r="FL19" s="4" t="str">
        <f ca="1">IFERROR(__xludf.DUMMYFUNCTION("""COMPUTED_VALUE"""),"自立")</f>
        <v>自立</v>
      </c>
      <c r="FM19" s="4" t="str">
        <f ca="1">IFERROR(__xludf.DUMMYFUNCTION("""COMPUTED_VALUE"""),"有")</f>
        <v>有</v>
      </c>
      <c r="FN19" s="4" t="str">
        <f ca="1">IFERROR(__xludf.DUMMYFUNCTION("""COMPUTED_VALUE"""),"無")</f>
        <v>無</v>
      </c>
      <c r="FO19" s="4" t="str">
        <f ca="1">IFERROR(__xludf.DUMMYFUNCTION("""COMPUTED_VALUE"""),"有")</f>
        <v>有</v>
      </c>
      <c r="FP19" s="4" t="str">
        <f ca="1">IFERROR(__xludf.DUMMYFUNCTION("""COMPUTED_VALUE"""),"無")</f>
        <v>無</v>
      </c>
      <c r="FQ19" s="4"/>
      <c r="FR19" s="4" t="str">
        <f ca="1">IFERROR(__xludf.DUMMYFUNCTION("""COMPUTED_VALUE"""),"トイレ")</f>
        <v>トイレ</v>
      </c>
      <c r="FS19" s="4" t="str">
        <f ca="1">IFERROR(__xludf.DUMMYFUNCTION("""COMPUTED_VALUE"""),"トイレ")</f>
        <v>トイレ</v>
      </c>
      <c r="FT19" s="4" t="str">
        <f ca="1">IFERROR(__xludf.DUMMYFUNCTION("""COMPUTED_VALUE"""),"リハビリパンツ")</f>
        <v>リハビリパンツ</v>
      </c>
      <c r="FU19" s="4" t="str">
        <f ca="1">IFERROR(__xludf.DUMMYFUNCTION("""COMPUTED_VALUE"""),"排泄も特に失禁することなく、ご自身でトイレを使用し排泄することができている。")</f>
        <v>排泄も特に失禁することなく、ご自身でトイレを使用し排泄することができている。</v>
      </c>
      <c r="FV19" s="4"/>
      <c r="FW19" s="4"/>
      <c r="FX19" s="4"/>
      <c r="FY19" s="4"/>
      <c r="FZ19" s="4"/>
      <c r="GA19" s="4"/>
      <c r="GB19" s="4"/>
      <c r="GC19" s="4"/>
      <c r="GD19" s="4"/>
      <c r="GE19" s="4"/>
      <c r="GF19" s="4"/>
      <c r="GG19" s="4" t="str">
        <f ca="1">IFERROR(__xludf.DUMMYFUNCTION("""COMPUTED_VALUE"""),"月に1度程度精神面が不安定となり、その際に利用者様と言い合いのトラブルになることが多い。現状手が出るほどではないため、様子を見ていく。")</f>
        <v>月に1度程度精神面が不安定となり、その際に利用者様と言い合いのトラブルになることが多い。現状手が出るほどではないため、様子を見ていく。</v>
      </c>
      <c r="GH19" s="4">
        <f ca="1">IFERROR(__xludf.DUMMYFUNCTION("""COMPUTED_VALUE"""),30)</f>
        <v>30</v>
      </c>
      <c r="GI19" s="4"/>
    </row>
    <row r="20" spans="1:191">
      <c r="A20" s="4"/>
      <c r="B20" s="4"/>
      <c r="C20" s="4" t="str">
        <f ca="1">IFERROR(__xludf.DUMMYFUNCTION("""COMPUTED_VALUE"""),"松田　昭三")</f>
        <v>松田　昭三</v>
      </c>
      <c r="D20" s="4" t="str">
        <f ca="1">IFERROR(__xludf.DUMMYFUNCTION("""COMPUTED_VALUE"""),"035a1387")</f>
        <v>035a1387</v>
      </c>
      <c r="E20" s="4"/>
      <c r="F20" s="4"/>
      <c r="G20" s="4"/>
      <c r="H20" s="4"/>
      <c r="I20" s="5">
        <f ca="1">IFERROR(__xludf.DUMMYFUNCTION("""COMPUTED_VALUE"""),45595)</f>
        <v>45595</v>
      </c>
      <c r="J20" s="4" t="str">
        <f ca="1">IFERROR(__xludf.DUMMYFUNCTION("""COMPUTED_VALUE"""),"山川　和輝")</f>
        <v>山川　和輝</v>
      </c>
      <c r="K20" s="4" t="str">
        <f ca="1">IFERROR(__xludf.DUMMYFUNCTION("""COMPUTED_VALUE"""),"新規")</f>
        <v>新規</v>
      </c>
      <c r="L20" s="4" t="str">
        <f ca="1">IFERROR(__xludf.DUMMYFUNCTION("""COMPUTED_VALUE"""),"入院先の病院")</f>
        <v>入院先の病院</v>
      </c>
      <c r="M20" s="4" t="str">
        <f ca="1">IFERROR(__xludf.DUMMYFUNCTION("""COMPUTED_VALUE"""),"もともと三重中央医療センターにて肺がん疑いで経過を見ていたところ、令和6年3月19日に腰痛のため三重中央医療センターにてCT検査の結果、肝門部胆管癌疑いと診断。年齢などを理由にそれ以上の検査は行わず、BSC方針となり、令和6年4月17日に緩和医療目的に七栗記念病院に入院。予後は月単位以上と予想されたため退院し令和6年8月13日にリハビリ目的で老健ロマンへ入所。老健ロマンでの入所期限により令和6年11月21日に安濃津ろまんへ入居となった。")</f>
        <v>もともと三重中央医療センターにて肺がん疑いで経過を見ていたところ、令和6年3月19日に腰痛のため三重中央医療センターにてCT検査の結果、肝門部胆管癌疑いと診断。年齢などを理由にそれ以上の検査は行わず、BSC方針となり、令和6年4月17日に緩和医療目的に七栗記念病院に入院。予後は月単位以上と予想されたため退院し令和6年8月13日にリハビリ目的で老健ロマンへ入所。老健ロマンでの入所期限により令和6年11月21日に安濃津ろまんへ入居となった。</v>
      </c>
      <c r="N20" s="4"/>
      <c r="O20" s="4"/>
      <c r="P20" s="4"/>
      <c r="Q20" s="4" t="str">
        <f ca="1">IFERROR(__xludf.DUMMYFUNCTION("""COMPUTED_VALUE"""),"入力")</f>
        <v>入力</v>
      </c>
      <c r="R20" s="4" t="str">
        <f ca="1">IFERROR(__xludf.DUMMYFUNCTION("""COMPUTED_VALUE"""),"要介護４")</f>
        <v>要介護４</v>
      </c>
      <c r="S20" s="4" t="str">
        <f ca="1">IFERROR(__xludf.DUMMYFUNCTION("""COMPUTED_VALUE"""),"令和6年6月12日")</f>
        <v>令和6年6月12日</v>
      </c>
      <c r="T20" s="4" t="str">
        <f ca="1">IFERROR(__xludf.DUMMYFUNCTION("""COMPUTED_VALUE"""),"令和6年3月21日")</f>
        <v>令和6年3月21日</v>
      </c>
      <c r="U20" s="4" t="str">
        <f ca="1">IFERROR(__xludf.DUMMYFUNCTION("""COMPUTED_VALUE"""),"令和7年3月31日")</f>
        <v>令和7年3月31日</v>
      </c>
      <c r="V20" s="4" t="str">
        <f ca="1">IFERROR(__xludf.DUMMYFUNCTION("""COMPUTED_VALUE"""),"２割負担")</f>
        <v>２割負担</v>
      </c>
      <c r="W20" s="4" t="str">
        <f ca="1">IFERROR(__xludf.DUMMYFUNCTION("""COMPUTED_VALUE"""),"後期高齢者医療保険")</f>
        <v>後期高齢者医療保険</v>
      </c>
      <c r="X20" s="4"/>
      <c r="Y20" s="4"/>
      <c r="Z20" s="4"/>
      <c r="AA20" s="4"/>
      <c r="AB20" s="4"/>
      <c r="AC20" s="4"/>
      <c r="AD20" s="4"/>
      <c r="AE20" s="4" t="str">
        <f ca="1">IFERROR(__xludf.DUMMYFUNCTION("""COMPUTED_VALUE"""),"入力")</f>
        <v>入力</v>
      </c>
      <c r="AF20" s="4" t="str">
        <f ca="1">IFERROR(__xludf.DUMMYFUNCTION("""COMPUTED_VALUE"""),"松田　茂")</f>
        <v>松田　茂</v>
      </c>
      <c r="AG20" s="4" t="str">
        <f ca="1">IFERROR(__xludf.DUMMYFUNCTION("""COMPUTED_VALUE"""),"長男")</f>
        <v>長男</v>
      </c>
      <c r="AH20" s="4"/>
      <c r="AI20" s="4" t="str">
        <f ca="1">IFERROR(__xludf.DUMMYFUNCTION("""COMPUTED_VALUE"""),"別居")</f>
        <v>別居</v>
      </c>
      <c r="AJ20" s="4" t="str">
        <f ca="1">IFERROR(__xludf.DUMMYFUNCTION("""COMPUTED_VALUE"""),"介護しない")</f>
        <v>介護しない</v>
      </c>
      <c r="AK20" s="4"/>
      <c r="AL20" s="4" t="str">
        <f ca="1">IFERROR(__xludf.DUMMYFUNCTION("""COMPUTED_VALUE"""),"080-9260-3000")</f>
        <v>080-9260-3000</v>
      </c>
      <c r="AM20" s="4" t="str">
        <f ca="1">IFERROR(__xludf.DUMMYFUNCTION("""COMPUTED_VALUE"""),"KP。千葉県在住")</f>
        <v>KP。千葉県在住</v>
      </c>
      <c r="AN20" s="4" t="str">
        <f ca="1">IFERROR(__xludf.DUMMYFUNCTION("""COMPUTED_VALUE"""),"松田　昭久")</f>
        <v>松田　昭久</v>
      </c>
      <c r="AO20" s="4" t="str">
        <f ca="1">IFERROR(__xludf.DUMMYFUNCTION("""COMPUTED_VALUE"""),"次男")</f>
        <v>次男</v>
      </c>
      <c r="AP20" s="4"/>
      <c r="AQ20" s="4" t="str">
        <f ca="1">IFERROR(__xludf.DUMMYFUNCTION("""COMPUTED_VALUE"""),"別居")</f>
        <v>別居</v>
      </c>
      <c r="AR20" s="4" t="str">
        <f ca="1">IFERROR(__xludf.DUMMYFUNCTION("""COMPUTED_VALUE"""),"介護しない")</f>
        <v>介護しない</v>
      </c>
      <c r="AS20" s="4"/>
      <c r="AT20" s="4" t="str">
        <f ca="1">IFERROR(__xludf.DUMMYFUNCTION("""COMPUTED_VALUE"""),"070-2226-7202")</f>
        <v>070-2226-7202</v>
      </c>
      <c r="AU20" s="4" t="str">
        <f ca="1">IFERROR(__xludf.DUMMYFUNCTION("""COMPUTED_VALUE"""),"静岡健在住")</f>
        <v>静岡健在住</v>
      </c>
      <c r="AV20" s="4"/>
      <c r="AW20" s="4"/>
      <c r="AX20" s="4"/>
      <c r="AY20" s="4"/>
      <c r="AZ20" s="4"/>
      <c r="BA20" s="4"/>
      <c r="BB20" s="4"/>
      <c r="BC20" s="4"/>
      <c r="BD20" s="4"/>
      <c r="BE20" s="4"/>
      <c r="BF20" s="4"/>
      <c r="BG20" s="4"/>
      <c r="BH20" s="4"/>
      <c r="BI20" s="4"/>
      <c r="BJ20" s="4"/>
      <c r="BK20" s="4"/>
      <c r="BL20" s="4"/>
      <c r="BM20" s="4"/>
      <c r="BN20" s="4"/>
      <c r="BO20" s="4"/>
      <c r="BP20" s="4"/>
      <c r="BQ20" s="4"/>
      <c r="BR20" s="4"/>
      <c r="BS20" s="4"/>
      <c r="BT20" s="4"/>
      <c r="BU20" s="4"/>
      <c r="BV20" s="4"/>
      <c r="BW20" s="4" t="str">
        <f ca="1">IFERROR(__xludf.DUMMYFUNCTION("""COMPUTED_VALUE"""),"入力")</f>
        <v>入力</v>
      </c>
      <c r="BX20" s="4" t="str">
        <f ca="1">IFERROR(__xludf.DUMMYFUNCTION("""COMPUTED_VALUE"""),"肝門部胆管癌")</f>
        <v>肝門部胆管癌</v>
      </c>
      <c r="BY20" s="4" t="str">
        <f ca="1">IFERROR(__xludf.DUMMYFUNCTION("""COMPUTED_VALUE"""),"令和6年4月5日")</f>
        <v>令和6年4月5日</v>
      </c>
      <c r="BZ20" s="4" t="str">
        <f ca="1">IFERROR(__xludf.DUMMYFUNCTION("""COMPUTED_VALUE"""),"サルコペニア")</f>
        <v>サルコペニア</v>
      </c>
      <c r="CA20" s="4" t="str">
        <f ca="1">IFERROR(__xludf.DUMMYFUNCTION("""COMPUTED_VALUE"""),"令和6年4月17日")</f>
        <v>令和6年4月17日</v>
      </c>
      <c r="CB20" s="4" t="str">
        <f ca="1">IFERROR(__xludf.DUMMYFUNCTION("""COMPUTED_VALUE"""),"癌性悪液質")</f>
        <v>癌性悪液質</v>
      </c>
      <c r="CC20" s="4" t="str">
        <f ca="1">IFERROR(__xludf.DUMMYFUNCTION("""COMPUTED_VALUE"""),"令和6年4月17日")</f>
        <v>令和6年4月17日</v>
      </c>
      <c r="CD20" s="4" t="str">
        <f ca="1">IFERROR(__xludf.DUMMYFUNCTION("""COMPUTED_VALUE"""),"癌性疼痛")</f>
        <v>癌性疼痛</v>
      </c>
      <c r="CE20" s="4" t="str">
        <f ca="1">IFERROR(__xludf.DUMMYFUNCTION("""COMPUTED_VALUE"""),"令和6年4月17日")</f>
        <v>令和6年4月17日</v>
      </c>
      <c r="CF20" s="4"/>
      <c r="CG20" s="4"/>
      <c r="CH20" s="4"/>
      <c r="CI20" s="4"/>
      <c r="CJ20" s="4" t="str">
        <f ca="1">IFERROR(__xludf.DUMMYFUNCTION("""COMPUTED_VALUE"""),"七栗記念病院へ1ヶ月に1度受診を行っており、その際に医療用麻薬を処方して頂いている。受診は千葉に住む長男様が三重県に来られ通院の付き添いを行う。移動は介護タクシーを利用。
次回の受診日は11/13AMとなっている。")</f>
        <v>七栗記念病院へ1ヶ月に1度受診を行っており、その際に医療用麻薬を処方して頂いている。受診は千葉に住む長男様が三重県に来られ通院の付き添いを行う。移動は介護タクシーを利用。
次回の受診日は11/13AMとなっている。</v>
      </c>
      <c r="CK20" s="4"/>
      <c r="CL20" s="4"/>
      <c r="CM20" s="4"/>
      <c r="CN20" s="4"/>
      <c r="CO20" s="4"/>
      <c r="CP20" s="4"/>
      <c r="CQ20" s="4"/>
      <c r="CR20" s="4"/>
      <c r="CS20" s="4" t="str">
        <f ca="1">IFERROR(__xludf.DUMMYFUNCTION("""COMPUTED_VALUE"""),"その他、大腸がん、腰椎第３圧迫骨折、腹部肥満、慢性胃炎、歯周病、真菌症、足白癬がある。")</f>
        <v>その他、大腸がん、腰椎第３圧迫骨折、腹部肥満、慢性胃炎、歯周病、真菌症、足白癬がある。</v>
      </c>
      <c r="CT20" s="4" t="str">
        <f ca="1">IFERROR(__xludf.DUMMYFUNCTION("""COMPUTED_VALUE"""),"医療用麻薬使用。12時間置きに1日2回内服しており、老健ロマンでは9：00，21：00で内服。
服薬は手渡しで自己にて内服可能。")</f>
        <v>医療用麻薬使用。12時間置きに1日2回内服しており、老健ロマンでは9：00，21：00で内服。
服薬は手渡しで自己にて内服可能。</v>
      </c>
      <c r="CU20" s="4"/>
      <c r="CV20" s="4"/>
      <c r="CW20" s="4"/>
      <c r="CX20" s="4" t="str">
        <f ca="1">IFERROR(__xludf.DUMMYFUNCTION("""COMPUTED_VALUE"""),"入力")</f>
        <v>入力</v>
      </c>
      <c r="CY20" s="4" t="str">
        <f ca="1">IFERROR(__xludf.DUMMYFUNCTION("""COMPUTED_VALUE"""),"無")</f>
        <v>無</v>
      </c>
      <c r="CZ20" s="4" t="str">
        <f ca="1">IFERROR(__xludf.DUMMYFUNCTION("""COMPUTED_VALUE"""),"無")</f>
        <v>無</v>
      </c>
      <c r="DA20" s="4" t="str">
        <f ca="1">IFERROR(__xludf.DUMMYFUNCTION("""COMPUTED_VALUE"""),"疼痛の看護")</f>
        <v>疼痛の看護</v>
      </c>
      <c r="DB20" s="4" t="str">
        <f ca="1">IFERROR(__xludf.DUMMYFUNCTION("""COMPUTED_VALUE"""),"特になし")</f>
        <v>特になし</v>
      </c>
      <c r="DC20" s="4" t="str">
        <f ca="1">IFERROR(__xludf.DUMMYFUNCTION("""COMPUTED_VALUE"""),"腰部、臀部に痛みあり")</f>
        <v>腰部、臀部に痛みあり</v>
      </c>
      <c r="DD20" s="4">
        <f ca="1">IFERROR(__xludf.DUMMYFUNCTION("""COMPUTED_VALUE"""),161)</f>
        <v>161</v>
      </c>
      <c r="DE20" s="4">
        <f ca="1">IFERROR(__xludf.DUMMYFUNCTION("""COMPUTED_VALUE"""),50)</f>
        <v>50</v>
      </c>
      <c r="DF20" s="4" t="str">
        <f ca="1">IFERROR(__xludf.DUMMYFUNCTION("""COMPUTED_VALUE"""),"正常")</f>
        <v>正常</v>
      </c>
      <c r="DG20" s="4" t="str">
        <f ca="1">IFERROR(__xludf.DUMMYFUNCTION("""COMPUTED_VALUE"""),"無")</f>
        <v>無</v>
      </c>
      <c r="DH20" s="4" t="str">
        <f ca="1">IFERROR(__xludf.DUMMYFUNCTION("""COMPUTED_VALUE"""),"正常")</f>
        <v>正常</v>
      </c>
      <c r="DI20" s="4" t="str">
        <f ca="1">IFERROR(__xludf.DUMMYFUNCTION("""COMPUTED_VALUE"""),"無")</f>
        <v>無</v>
      </c>
      <c r="DJ20" s="4" t="str">
        <f ca="1">IFERROR(__xludf.DUMMYFUNCTION("""COMPUTED_VALUE"""),"肝門部胆管癌により一時は七栗記念病院の緩和ケアへ転院したものの、状態は落ち着いており予後は月単位以上と診断があり、状態に変化が生じ始めるまでは安濃津ろまんへ入居することとなった。
医療用麻薬を使用。取り扱い・管理に注意が必要。
癌性疼痛で腰部、臀部に痛みがあるが、自制内。腰部の痛みが強い場合はご自身でコルセットを着用される。")</f>
        <v>肝門部胆管癌により一時は七栗記念病院の緩和ケアへ転院したものの、状態は落ち着いており予後は月単位以上と診断があり、状態に変化が生じ始めるまでは安濃津ろまんへ入居することとなった。
医療用麻薬を使用。取り扱い・管理に注意が必要。
癌性疼痛で腰部、臀部に痛みがあるが、自制内。腰部の痛みが強い場合はご自身でコルセットを着用される。</v>
      </c>
      <c r="DK20" s="4"/>
      <c r="DL20" s="4" t="str">
        <f ca="1">IFERROR(__xludf.DUMMYFUNCTION("""COMPUTED_VALUE"""),"入力")</f>
        <v>入力</v>
      </c>
      <c r="DM20" s="4" t="str">
        <f ca="1">IFERROR(__xludf.DUMMYFUNCTION("""COMPUTED_VALUE"""),"無")</f>
        <v>無</v>
      </c>
      <c r="DN20" s="4"/>
      <c r="DO20" s="4" t="str">
        <f ca="1">IFERROR(__xludf.DUMMYFUNCTION("""COMPUTED_VALUE"""),"無")</f>
        <v>無</v>
      </c>
      <c r="DP20" s="4" t="str">
        <f ca="1">IFERROR(__xludf.DUMMYFUNCTION("""COMPUTED_VALUE"""),"可能")</f>
        <v>可能</v>
      </c>
      <c r="DQ20" s="4" t="str">
        <f ca="1">IFERROR(__xludf.DUMMYFUNCTION("""COMPUTED_VALUE"""),"可能")</f>
        <v>可能</v>
      </c>
      <c r="DR20" s="4" t="str">
        <f ca="1">IFERROR(__xludf.DUMMYFUNCTION("""COMPUTED_VALUE"""),"物忘れ程度はあるものの認知機能の低下はほとんど見られない。95歳とは思えないほどにしっかりされている。")</f>
        <v>物忘れ程度はあるものの認知機能の低下はほとんど見られない。95歳とは思えないほどにしっかりされている。</v>
      </c>
      <c r="DS20" s="4"/>
      <c r="DT20" s="4"/>
      <c r="DU20" s="4" t="str">
        <f ca="1">IFERROR(__xludf.DUMMYFUNCTION("""COMPUTED_VALUE"""),"入力")</f>
        <v>入力</v>
      </c>
      <c r="DV20" s="4" t="str">
        <f ca="1">IFERROR(__xludf.DUMMYFUNCTION("""COMPUTED_VALUE"""),"何かにつかまればできる")</f>
        <v>何かにつかまればできる</v>
      </c>
      <c r="DW20" s="4" t="str">
        <f ca="1">IFERROR(__xludf.DUMMYFUNCTION("""COMPUTED_VALUE"""),"何かにつかまればできる")</f>
        <v>何かにつかまればできる</v>
      </c>
      <c r="DX20" s="4" t="str">
        <f ca="1">IFERROR(__xludf.DUMMYFUNCTION("""COMPUTED_VALUE"""),"自分の手で支えればできる")</f>
        <v>自分の手で支えればできる</v>
      </c>
      <c r="DY20" s="4" t="str">
        <f ca="1">IFERROR(__xludf.DUMMYFUNCTION("""COMPUTED_VALUE"""),"何かにつかまればできる")</f>
        <v>何かにつかまればできる</v>
      </c>
      <c r="DZ20" s="4" t="str">
        <f ca="1">IFERROR(__xludf.DUMMYFUNCTION("""COMPUTED_VALUE"""),"何か支えがあればできる")</f>
        <v>何か支えがあればできる</v>
      </c>
      <c r="EA20" s="4" t="str">
        <f ca="1">IFERROR(__xludf.DUMMYFUNCTION("""COMPUTED_VALUE"""),"自立")</f>
        <v>自立</v>
      </c>
      <c r="EB20" s="4" t="str">
        <f ca="1">IFERROR(__xludf.DUMMYFUNCTION("""COMPUTED_VALUE"""),"自立")</f>
        <v>自立</v>
      </c>
      <c r="EC20" s="4" t="str">
        <f ca="1">IFERROR(__xludf.DUMMYFUNCTION("""COMPUTED_VALUE"""),"車椅子")</f>
        <v>車椅子</v>
      </c>
      <c r="ED20" s="4" t="str">
        <f ca="1">IFERROR(__xludf.DUMMYFUNCTION("""COMPUTED_VALUE"""),"一部介助")</f>
        <v>一部介助</v>
      </c>
      <c r="EE20" s="4" t="str">
        <f ca="1">IFERROR(__xludf.DUMMYFUNCTION("""COMPUTED_VALUE"""),"車椅子")</f>
        <v>車椅子</v>
      </c>
      <c r="EF20" s="4" t="str">
        <f ca="1">IFERROR(__xludf.DUMMYFUNCTION("""COMPUTED_VALUE"""),"起居動作、基本動作はすべて自立で可能。")</f>
        <v>起居動作、基本動作はすべて自立で可能。</v>
      </c>
      <c r="EG20" s="4"/>
      <c r="EH20" s="4" t="str">
        <f ca="1">IFERROR(__xludf.DUMMYFUNCTION("""COMPUTED_VALUE"""),"入力")</f>
        <v>入力</v>
      </c>
      <c r="EI20" s="4" t="str">
        <f ca="1">IFERROR(__xludf.DUMMYFUNCTION("""COMPUTED_VALUE"""),"入力")</f>
        <v>入力</v>
      </c>
      <c r="EJ20" s="4" t="str">
        <f ca="1">IFERROR(__xludf.DUMMYFUNCTION("""COMPUTED_VALUE"""),"経口摂取")</f>
        <v>経口摂取</v>
      </c>
      <c r="EK20" s="4" t="str">
        <f ca="1">IFERROR(__xludf.DUMMYFUNCTION("""COMPUTED_VALUE"""),"自立")</f>
        <v>自立</v>
      </c>
      <c r="EL20" s="4" t="str">
        <f ca="1">IFERROR(__xludf.DUMMYFUNCTION("""COMPUTED_VALUE"""),"できる")</f>
        <v>できる</v>
      </c>
      <c r="EM20" s="4" t="str">
        <f ca="1">IFERROR(__xludf.DUMMYFUNCTION("""COMPUTED_VALUE"""),"軟飯")</f>
        <v>軟飯</v>
      </c>
      <c r="EN20" s="4" t="str">
        <f ca="1">IFERROR(__xludf.DUMMYFUNCTION("""COMPUTED_VALUE"""),"普通")</f>
        <v>普通</v>
      </c>
      <c r="EO20" s="4" t="str">
        <f ca="1">IFERROR(__xludf.DUMMYFUNCTION("""COMPUTED_VALUE"""),"無")</f>
        <v>無</v>
      </c>
      <c r="EP20" s="4" t="str">
        <f ca="1">IFERROR(__xludf.DUMMYFUNCTION("""COMPUTED_VALUE"""),"無")</f>
        <v>無</v>
      </c>
      <c r="EQ20" s="4" t="str">
        <f ca="1">IFERROR(__xludf.DUMMYFUNCTION("""COMPUTED_VALUE"""),"箸")</f>
        <v>箸</v>
      </c>
      <c r="ER20" s="4" t="str">
        <f ca="1">IFERROR(__xludf.DUMMYFUNCTION("""COMPUTED_VALUE"""),"食事は特に問題はなく、自己摂取で7～10割摂取される。")</f>
        <v>食事は特に問題はなく、自己摂取で7～10割摂取される。</v>
      </c>
      <c r="ES20" s="4"/>
      <c r="ET20" s="4" t="str">
        <f ca="1">IFERROR(__xludf.DUMMYFUNCTION("""COMPUTED_VALUE"""),"入力")</f>
        <v>入力</v>
      </c>
      <c r="EU20" s="4" t="str">
        <f ca="1">IFERROR(__xludf.DUMMYFUNCTION("""COMPUTED_VALUE"""),"自立")</f>
        <v>自立</v>
      </c>
      <c r="EV20" s="4" t="str">
        <f ca="1">IFERROR(__xludf.DUMMYFUNCTION("""COMPUTED_VALUE"""),"有")</f>
        <v>有</v>
      </c>
      <c r="EW20" s="4" t="str">
        <f ca="1">IFERROR(__xludf.DUMMYFUNCTION("""COMPUTED_VALUE"""),"無")</f>
        <v>無</v>
      </c>
      <c r="EX20" s="4"/>
      <c r="EY20" s="4"/>
      <c r="EZ20" s="4" t="str">
        <f ca="1">IFERROR(__xludf.DUMMYFUNCTION("""COMPUTED_VALUE"""),"口腔ケアもご自身できちんと行えており、口腔状態は清潔に保たれている。")</f>
        <v>口腔ケアもご自身できちんと行えており、口腔状態は清潔に保たれている。</v>
      </c>
      <c r="FA20" s="4"/>
      <c r="FB20" s="4" t="str">
        <f ca="1">IFERROR(__xludf.DUMMYFUNCTION("""COMPUTED_VALUE"""),"入力")</f>
        <v>入力</v>
      </c>
      <c r="FC20" s="4" t="str">
        <f ca="1">IFERROR(__xludf.DUMMYFUNCTION("""COMPUTED_VALUE"""),"一部介助")</f>
        <v>一部介助</v>
      </c>
      <c r="FD20" s="4" t="str">
        <f ca="1">IFERROR(__xludf.DUMMYFUNCTION("""COMPUTED_VALUE"""),"チェアー浴")</f>
        <v>チェアー浴</v>
      </c>
      <c r="FE20" s="4" t="str">
        <f ca="1">IFERROR(__xludf.DUMMYFUNCTION("""COMPUTED_VALUE"""),"無")</f>
        <v>無</v>
      </c>
      <c r="FF20" s="4"/>
      <c r="FG20" s="4" t="str">
        <f ca="1">IFERROR(__xludf.DUMMYFUNCTION("""COMPUTED_VALUE"""),"自立")</f>
        <v>自立</v>
      </c>
      <c r="FH20" s="4" t="str">
        <f ca="1">IFERROR(__xludf.DUMMYFUNCTION("""COMPUTED_VALUE"""),"見守り")</f>
        <v>見守り</v>
      </c>
      <c r="FI20" s="4" t="str">
        <f ca="1">IFERROR(__xludf.DUMMYFUNCTION("""COMPUTED_VALUE"""),"入浴ではチェアー浴を利用し、職員が洗い残しを確認。必要であれば介助を行う。
更衣はご自身で行うことができるが、下衣は見守りが必要。")</f>
        <v>入浴ではチェアー浴を利用し、職員が洗い残しを確認。必要であれば介助を行う。
更衣はご自身で行うことができるが、下衣は見守りが必要。</v>
      </c>
      <c r="FJ20" s="4"/>
      <c r="FK20" s="4" t="str">
        <f ca="1">IFERROR(__xludf.DUMMYFUNCTION("""COMPUTED_VALUE"""),"入力")</f>
        <v>入力</v>
      </c>
      <c r="FL20" s="4" t="str">
        <f ca="1">IFERROR(__xludf.DUMMYFUNCTION("""COMPUTED_VALUE"""),"自立")</f>
        <v>自立</v>
      </c>
      <c r="FM20" s="4" t="str">
        <f ca="1">IFERROR(__xludf.DUMMYFUNCTION("""COMPUTED_VALUE"""),"有")</f>
        <v>有</v>
      </c>
      <c r="FN20" s="4" t="str">
        <f ca="1">IFERROR(__xludf.DUMMYFUNCTION("""COMPUTED_VALUE"""),"有")</f>
        <v>有</v>
      </c>
      <c r="FO20" s="4" t="str">
        <f ca="1">IFERROR(__xludf.DUMMYFUNCTION("""COMPUTED_VALUE"""),"有")</f>
        <v>有</v>
      </c>
      <c r="FP20" s="4" t="str">
        <f ca="1">IFERROR(__xludf.DUMMYFUNCTION("""COMPUTED_VALUE"""),"無")</f>
        <v>無</v>
      </c>
      <c r="FQ20" s="4"/>
      <c r="FR20" s="4" t="str">
        <f ca="1">IFERROR(__xludf.DUMMYFUNCTION("""COMPUTED_VALUE"""),"トイレ")</f>
        <v>トイレ</v>
      </c>
      <c r="FS20" s="4" t="str">
        <f ca="1">IFERROR(__xludf.DUMMYFUNCTION("""COMPUTED_VALUE"""),"トイレ")</f>
        <v>トイレ</v>
      </c>
      <c r="FT20" s="4" t="str">
        <f ca="1">IFERROR(__xludf.DUMMYFUNCTION("""COMPUTED_VALUE"""),"リハビリパンツ")</f>
        <v>リハビリパンツ</v>
      </c>
      <c r="FU20" s="4" t="str">
        <f ca="1">IFERROR(__xludf.DUMMYFUNCTION("""COMPUTED_VALUE"""),"排泄もトイレでご自身で行えている。現在は右側に縦手すりが設置され、それを使用することで転倒なく可能。
時折失禁があるためリハビリパンツを使用。")</f>
        <v>排泄もトイレでご自身で行えている。現在は右側に縦手すりが設置され、それを使用することで転倒なく可能。
時折失禁があるためリハビリパンツを使用。</v>
      </c>
      <c r="FV20" s="4"/>
      <c r="FW20" s="4"/>
      <c r="FX20" s="4" t="str">
        <f ca="1">IFERROR(__xludf.DUMMYFUNCTION("""COMPUTED_VALUE"""),"入力")</f>
        <v>入力</v>
      </c>
      <c r="FY20" s="4" t="str">
        <f ca="1">IFERROR(__xludf.DUMMYFUNCTION("""COMPUTED_VALUE"""),"全介助")</f>
        <v>全介助</v>
      </c>
      <c r="FZ20" s="4" t="str">
        <f ca="1">IFERROR(__xludf.DUMMYFUNCTION("""COMPUTED_VALUE"""),"全介助")</f>
        <v>全介助</v>
      </c>
      <c r="GA20" s="4" t="str">
        <f ca="1">IFERROR(__xludf.DUMMYFUNCTION("""COMPUTED_VALUE"""),"全介助")</f>
        <v>全介助</v>
      </c>
      <c r="GB20" s="4" t="str">
        <f ca="1">IFERROR(__xludf.DUMMYFUNCTION("""COMPUTED_VALUE"""),"全介助")</f>
        <v>全介助</v>
      </c>
      <c r="GC20" s="4" t="str">
        <f ca="1">IFERROR(__xludf.DUMMYFUNCTION("""COMPUTED_VALUE"""),"全介助")</f>
        <v>全介助</v>
      </c>
      <c r="GD20" s="4" t="str">
        <f ca="1">IFERROR(__xludf.DUMMYFUNCTION("""COMPUTED_VALUE"""),"現在老健ロマンの施設サービスを受けている。安濃津ろまんへ入居後はこちらで行う。")</f>
        <v>現在老健ロマンの施設サービスを受けている。安濃津ろまんへ入居後はこちらで行う。</v>
      </c>
      <c r="GE20" s="4"/>
      <c r="GF20" s="4"/>
      <c r="GG20" s="4" t="str">
        <f ca="1">IFERROR(__xludf.DUMMYFUNCTION("""COMPUTED_VALUE"""),"長男、次男ともに遠方に住まれており、緊急時の対応は、ココロノカタチ杉崎様（090-2267-9262)となっている。
老健ロマンでは、リハビリで伝い歩行や前腕支持型歩行器を使用し歩行練習を行っている。安濃津ろまんへ入居後も現在のADL向上を目的に継続することが望ましい。
体調に異変があれば、七栗記念病院に連絡。ただし、ベッド調整を行う必要があるため早めに連絡を行う必要がある。
御本人様の生活の質を維持するためにも、
①現在のADLの維持
②疼痛コントロール　を最優先で考えていく必要がある。")</f>
        <v>長男、次男ともに遠方に住まれており、緊急時の対応は、ココロノカタチ杉崎様（090-2267-9262)となっている。
老健ロマンでは、リハビリで伝い歩行や前腕支持型歩行器を使用し歩行練習を行っている。安濃津ろまんへ入居後も現在のADL向上を目的に継続することが望ましい。
体調に異変があれば、七栗記念病院に連絡。ただし、ベッド調整を行う必要があるため早めに連絡を行う必要がある。
御本人様の生活の質を維持するためにも、
①現在のADLの維持
②疼痛コントロール　を最優先で考えていく必要がある。</v>
      </c>
      <c r="GH20" s="4">
        <f ca="1">IFERROR(__xludf.DUMMYFUNCTION("""COMPUTED_VALUE"""),30)</f>
        <v>30</v>
      </c>
      <c r="GI20" s="4"/>
    </row>
    <row r="21" spans="1:191">
      <c r="A21" s="4"/>
      <c r="B21" s="4"/>
      <c r="C21" s="4" t="str">
        <f ca="1">IFERROR(__xludf.DUMMYFUNCTION("""COMPUTED_VALUE"""),"前田　美恵子")</f>
        <v>前田　美恵子</v>
      </c>
      <c r="D21" s="4" t="str">
        <f ca="1">IFERROR(__xludf.DUMMYFUNCTION("""COMPUTED_VALUE"""),"7badf9fb")</f>
        <v>7badf9fb</v>
      </c>
      <c r="E21" s="4"/>
      <c r="F21" s="4"/>
      <c r="G21" s="4"/>
      <c r="H21" s="4"/>
      <c r="I21" s="5">
        <f ca="1">IFERROR(__xludf.DUMMYFUNCTION("""COMPUTED_VALUE"""),45599)</f>
        <v>45599</v>
      </c>
      <c r="J21" s="4" t="str">
        <f ca="1">IFERROR(__xludf.DUMMYFUNCTION("""COMPUTED_VALUE"""),"山川　和輝")</f>
        <v>山川　和輝</v>
      </c>
      <c r="K21" s="4" t="str">
        <f ca="1">IFERROR(__xludf.DUMMYFUNCTION("""COMPUTED_VALUE"""),"更新")</f>
        <v>更新</v>
      </c>
      <c r="L21" s="4" t="str">
        <f ca="1">IFERROR(__xludf.DUMMYFUNCTION("""COMPUTED_VALUE"""),"本人の居室")</f>
        <v>本人の居室</v>
      </c>
      <c r="M21" s="4" t="str">
        <f ca="1">IFERROR(__xludf.DUMMYFUNCTION("""COMPUTED_VALUE"""),"平成28年脳出血により鈴鹿回生病院に入院。その後、小山田病院に転院。平成30年に自宅退院となる。令和2年4月20日自宅で転倒し岩崎病院にて左大腿骨転子部骨折と診断され手術を施行。令和2年6月2日にリハビリ目的で第2岩崎病院に転院。令和3年9月4日に安濃津ろまんに入所となる。")</f>
        <v>平成28年脳出血により鈴鹿回生病院に入院。その後、小山田病院に転院。平成30年に自宅退院となる。令和2年4月20日自宅で転倒し岩崎病院にて左大腿骨転子部骨折と診断され手術を施行。令和2年6月2日にリハビリ目的で第2岩崎病院に転院。令和3年9月4日に安濃津ろまんに入所となる。</v>
      </c>
      <c r="N21" s="4"/>
      <c r="O21" s="4"/>
      <c r="P21" s="4"/>
      <c r="Q21" s="4" t="str">
        <f ca="1">IFERROR(__xludf.DUMMYFUNCTION("""COMPUTED_VALUE"""),"入力")</f>
        <v>入力</v>
      </c>
      <c r="R21" s="4" t="str">
        <f ca="1">IFERROR(__xludf.DUMMYFUNCTION("""COMPUTED_VALUE"""),"要介護４")</f>
        <v>要介護４</v>
      </c>
      <c r="S21" s="4" t="str">
        <f ca="1">IFERROR(__xludf.DUMMYFUNCTION("""COMPUTED_VALUE"""),"令和5年12月26日")</f>
        <v>令和5年12月26日</v>
      </c>
      <c r="T21" s="4" t="str">
        <f ca="1">IFERROR(__xludf.DUMMYFUNCTION("""COMPUTED_VALUE"""),"令和5年12月1日")</f>
        <v>令和5年12月1日</v>
      </c>
      <c r="U21" s="4" t="str">
        <f ca="1">IFERROR(__xludf.DUMMYFUNCTION("""COMPUTED_VALUE"""),"令和7年11月30日")</f>
        <v>令和7年11月30日</v>
      </c>
      <c r="V21" s="4" t="str">
        <f ca="1">IFERROR(__xludf.DUMMYFUNCTION("""COMPUTED_VALUE"""),"１割負担")</f>
        <v>１割負担</v>
      </c>
      <c r="W21" s="4" t="str">
        <f ca="1">IFERROR(__xludf.DUMMYFUNCTION("""COMPUTED_VALUE"""),"後期高齢者医療保険")</f>
        <v>後期高齢者医療保険</v>
      </c>
      <c r="X21" s="4" t="str">
        <f ca="1">IFERROR(__xludf.DUMMYFUNCTION("""COMPUTED_VALUE"""),"無")</f>
        <v>無</v>
      </c>
      <c r="Y21" s="4"/>
      <c r="Z21" s="4" t="str">
        <f ca="1">IFERROR(__xludf.DUMMYFUNCTION("""COMPUTED_VALUE"""),"無")</f>
        <v>無</v>
      </c>
      <c r="AA21" s="4" t="str">
        <f ca="1">IFERROR(__xludf.DUMMYFUNCTION("""COMPUTED_VALUE"""),"無")</f>
        <v>無</v>
      </c>
      <c r="AB21" s="4" t="str">
        <f ca="1">IFERROR(__xludf.DUMMYFUNCTION("""COMPUTED_VALUE"""),"B2")</f>
        <v>B2</v>
      </c>
      <c r="AC21" s="4" t="str">
        <f ca="1">IFERROR(__xludf.DUMMYFUNCTION("""COMPUTED_VALUE"""),"Ⅲb")</f>
        <v>Ⅲb</v>
      </c>
      <c r="AD21" s="4"/>
      <c r="AE21" s="4" t="str">
        <f ca="1">IFERROR(__xludf.DUMMYFUNCTION("""COMPUTED_VALUE"""),"入力")</f>
        <v>入力</v>
      </c>
      <c r="AF21" s="4" t="str">
        <f ca="1">IFERROR(__xludf.DUMMYFUNCTION("""COMPUTED_VALUE"""),"前田　政和")</f>
        <v>前田　政和</v>
      </c>
      <c r="AG21" s="4" t="str">
        <f ca="1">IFERROR(__xludf.DUMMYFUNCTION("""COMPUTED_VALUE"""),"長男")</f>
        <v>長男</v>
      </c>
      <c r="AH21" s="4"/>
      <c r="AI21" s="4" t="str">
        <f ca="1">IFERROR(__xludf.DUMMYFUNCTION("""COMPUTED_VALUE"""),"別居")</f>
        <v>別居</v>
      </c>
      <c r="AJ21" s="4" t="str">
        <f ca="1">IFERROR(__xludf.DUMMYFUNCTION("""COMPUTED_VALUE"""),"介護しない")</f>
        <v>介護しない</v>
      </c>
      <c r="AK21" s="4" t="str">
        <f ca="1">IFERROR(__xludf.DUMMYFUNCTION("""COMPUTED_VALUE"""),"無")</f>
        <v>無</v>
      </c>
      <c r="AL21" s="4" t="str">
        <f ca="1">IFERROR(__xludf.DUMMYFUNCTION("""COMPUTED_VALUE"""),"090-5634-4951")</f>
        <v>090-5634-4951</v>
      </c>
      <c r="AM21" s="4" t="str">
        <f ca="1">IFERROR(__xludf.DUMMYFUNCTION("""COMPUTED_VALUE"""),"KP。令和6年6月から無職")</f>
        <v>KP。令和6年6月から無職</v>
      </c>
      <c r="AN21" s="4"/>
      <c r="AO21" s="4"/>
      <c r="AP21" s="4"/>
      <c r="AQ21" s="4"/>
      <c r="AR21" s="4"/>
      <c r="AS21" s="4"/>
      <c r="AT21" s="4"/>
      <c r="AU21" s="4"/>
      <c r="AV21" s="4"/>
      <c r="AW21" s="4" t="str">
        <f ca="1">IFERROR(__xludf.DUMMYFUNCTION("""COMPUTED_VALUE"""),"入力")</f>
        <v>入力</v>
      </c>
      <c r="AX21" s="4" t="str">
        <f ca="1">IFERROR(__xludf.DUMMYFUNCTION("""COMPUTED_VALUE"""),"一人暮らし")</f>
        <v>一人暮らし</v>
      </c>
      <c r="AY21" s="4" t="str">
        <f ca="1">IFERROR(__xludf.DUMMYFUNCTION("""COMPUTED_VALUE"""),"集合住宅")</f>
        <v>集合住宅</v>
      </c>
      <c r="AZ21" s="4" t="str">
        <f ca="1">IFERROR(__xludf.DUMMYFUNCTION("""COMPUTED_VALUE"""),"エレベーター有")</f>
        <v>エレベーター有</v>
      </c>
      <c r="BA21" s="4" t="str">
        <f ca="1">IFERROR(__xludf.DUMMYFUNCTION("""COMPUTED_VALUE"""),"賃貸")</f>
        <v>賃貸</v>
      </c>
      <c r="BB21" s="4" t="str">
        <f ca="1">IFERROR(__xludf.DUMMYFUNCTION("""COMPUTED_VALUE"""),"有")</f>
        <v>有</v>
      </c>
      <c r="BC21" s="4" t="str">
        <f ca="1">IFERROR(__xludf.DUMMYFUNCTION("""COMPUTED_VALUE"""),"有")</f>
        <v>有</v>
      </c>
      <c r="BD21" s="4" t="str">
        <f ca="1">IFERROR(__xludf.DUMMYFUNCTION("""COMPUTED_VALUE"""),"洋式")</f>
        <v>洋式</v>
      </c>
      <c r="BE21" s="4" t="str">
        <f ca="1">IFERROR(__xludf.DUMMYFUNCTION("""COMPUTED_VALUE"""),"手すり有")</f>
        <v>手すり有</v>
      </c>
      <c r="BF21" s="4" t="str">
        <f ca="1">IFERROR(__xludf.DUMMYFUNCTION("""COMPUTED_VALUE"""),"段差有")</f>
        <v>段差有</v>
      </c>
      <c r="BG21" s="4" t="str">
        <f ca="1">IFERROR(__xludf.DUMMYFUNCTION("""COMPUTED_VALUE"""),"有")</f>
        <v>有</v>
      </c>
      <c r="BH21" s="4" t="str">
        <f ca="1">IFERROR(__xludf.DUMMYFUNCTION("""COMPUTED_VALUE"""),"手すり有")</f>
        <v>手すり有</v>
      </c>
      <c r="BI21" s="4" t="str">
        <f ca="1">IFERROR(__xludf.DUMMYFUNCTION("""COMPUTED_VALUE"""),"リクライニングベッド")</f>
        <v>リクライニングベッド</v>
      </c>
      <c r="BJ21" s="4" t="str">
        <f ca="1">IFERROR(__xludf.DUMMYFUNCTION("""COMPUTED_VALUE"""),"無")</f>
        <v>無</v>
      </c>
      <c r="BK21" s="4" t="str">
        <f ca="1">IFERROR(__xludf.DUMMYFUNCTION("""COMPUTED_VALUE"""),"無")</f>
        <v>無</v>
      </c>
      <c r="BL21" s="4" t="str">
        <f ca="1">IFERROR(__xludf.DUMMYFUNCTION("""COMPUTED_VALUE"""),"無")</f>
        <v>無</v>
      </c>
      <c r="BM21" s="4" t="str">
        <f ca="1">IFERROR(__xludf.DUMMYFUNCTION("""COMPUTED_VALUE"""),"無")</f>
        <v>無</v>
      </c>
      <c r="BN21" s="4"/>
      <c r="BO21" s="4" t="str">
        <f ca="1">IFERROR(__xludf.DUMMYFUNCTION("""COMPUTED_VALUE"""),"入力")</f>
        <v>入力</v>
      </c>
      <c r="BP21" s="4" t="str">
        <f ca="1">IFERROR(__xludf.DUMMYFUNCTION("""COMPUTED_VALUE"""),"訪問介護 , 訪問看護 , 通所介護")</f>
        <v>訪問介護 , 訪問看護 , 通所介護</v>
      </c>
      <c r="BQ21" s="4" t="str">
        <f ca="1">IFERROR(__xludf.DUMMYFUNCTION("""COMPUTED_VALUE"""),"車いす , 特殊寝台 , 特殊寝台付属品 , 床ずれ防止用具")</f>
        <v>車いす , 特殊寝台 , 特殊寝台付属品 , 床ずれ防止用具</v>
      </c>
      <c r="BR21" s="4" t="str">
        <f ca="1">IFERROR(__xludf.DUMMYFUNCTION("""COMPUTED_VALUE"""),"特になし")</f>
        <v>特になし</v>
      </c>
      <c r="BS21" s="4" t="str">
        <f ca="1">IFERROR(__xludf.DUMMYFUNCTION("""COMPUTED_VALUE"""),"オムツ支給 , 食事支援 , 排泄支援 , リネンリース , 洗濯")</f>
        <v>オムツ支給 , 食事支援 , 排泄支援 , リネンリース , 洗濯</v>
      </c>
      <c r="BT21" s="4" t="str">
        <f ca="1">IFERROR(__xludf.DUMMYFUNCTION("""COMPUTED_VALUE"""),"認知機能の低下によりコミュニケーションは難しい。")</f>
        <v>認知機能の低下によりコミュニケーションは難しい。</v>
      </c>
      <c r="BU21" s="4"/>
      <c r="BV21" s="4"/>
      <c r="BW21" s="4" t="str">
        <f ca="1">IFERROR(__xludf.DUMMYFUNCTION("""COMPUTED_VALUE"""),"入力")</f>
        <v>入力</v>
      </c>
      <c r="BX21" s="4" t="str">
        <f ca="1">IFERROR(__xludf.DUMMYFUNCTION("""COMPUTED_VALUE"""),"認知症")</f>
        <v>認知症</v>
      </c>
      <c r="BY21" s="4" t="str">
        <f ca="1">IFERROR(__xludf.DUMMYFUNCTION("""COMPUTED_VALUE"""),"不詳")</f>
        <v>不詳</v>
      </c>
      <c r="BZ21" s="4" t="str">
        <f ca="1">IFERROR(__xludf.DUMMYFUNCTION("""COMPUTED_VALUE"""),"高血圧症、脂質異常症")</f>
        <v>高血圧症、脂質異常症</v>
      </c>
      <c r="CA21" s="4" t="str">
        <f ca="1">IFERROR(__xludf.DUMMYFUNCTION("""COMPUTED_VALUE"""),"不詳")</f>
        <v>不詳</v>
      </c>
      <c r="CB21" s="4"/>
      <c r="CC21" s="4"/>
      <c r="CD21" s="4"/>
      <c r="CE21" s="4"/>
      <c r="CF21" s="4"/>
      <c r="CG21" s="4"/>
      <c r="CH21" s="4"/>
      <c r="CI21" s="4"/>
      <c r="CJ21" s="4" t="str">
        <f ca="1">IFERROR(__xludf.DUMMYFUNCTION("""COMPUTED_VALUE"""),"現在通院は行っていない。")</f>
        <v>現在通院は行っていない。</v>
      </c>
      <c r="CK21" s="4"/>
      <c r="CL21" s="4"/>
      <c r="CM21" s="4"/>
      <c r="CN21" s="4"/>
      <c r="CO21" s="4"/>
      <c r="CP21" s="4"/>
      <c r="CQ21" s="4"/>
      <c r="CR21" s="4"/>
      <c r="CS21" s="4" t="str">
        <f ca="1">IFERROR(__xludf.DUMMYFUNCTION("""COMPUTED_VALUE"""),"平成28年：脳出血、高次脳機能障害、失語症（鈴鹿回生病院→小山田病院）
令和2年：左大腿骨転子部骨折（岩崎病院→第2岩崎病院）
令和4年2月22日：胸椎圧迫骨折（新町整形）
令和5年11月11日：誤嚥性肺炎（津生協病院）")</f>
        <v>平成28年：脳出血、高次脳機能障害、失語症（鈴鹿回生病院→小山田病院）
令和2年：左大腿骨転子部骨折（岩崎病院→第2岩崎病院）
令和4年2月22日：胸椎圧迫骨折（新町整形）
令和5年11月11日：誤嚥性肺炎（津生協病院）</v>
      </c>
      <c r="CT21" s="4" t="str">
        <f ca="1">IFERROR(__xludf.DUMMYFUNCTION("""COMPUTED_VALUE"""),"ローレル薬局に居宅管理指導を受けており、服薬は施設管理となっている。内服時は袋を開封し薬を口まで運び飲んで頂いている。")</f>
        <v>ローレル薬局に居宅管理指導を受けており、服薬は施設管理となっている。内服時は袋を開封し薬を口まで運び飲んで頂いている。</v>
      </c>
      <c r="CU21" s="4"/>
      <c r="CV21" s="4"/>
      <c r="CW21" s="4"/>
      <c r="CX21" s="4" t="str">
        <f ca="1">IFERROR(__xludf.DUMMYFUNCTION("""COMPUTED_VALUE"""),"入力")</f>
        <v>入力</v>
      </c>
      <c r="CY21" s="4" t="str">
        <f ca="1">IFERROR(__xludf.DUMMYFUNCTION("""COMPUTED_VALUE"""),"無")</f>
        <v>無</v>
      </c>
      <c r="CZ21" s="4" t="str">
        <f ca="1">IFERROR(__xludf.DUMMYFUNCTION("""COMPUTED_VALUE"""),"無")</f>
        <v>無</v>
      </c>
      <c r="DA21" s="4" t="str">
        <f ca="1">IFERROR(__xludf.DUMMYFUNCTION("""COMPUTED_VALUE"""),"無")</f>
        <v>無</v>
      </c>
      <c r="DB21" s="4" t="str">
        <f ca="1">IFERROR(__xludf.DUMMYFUNCTION("""COMPUTED_VALUE"""),"精査困難")</f>
        <v>精査困難</v>
      </c>
      <c r="DC21" s="4" t="str">
        <f ca="1">IFERROR(__xludf.DUMMYFUNCTION("""COMPUTED_VALUE"""),"特になし")</f>
        <v>特になし</v>
      </c>
      <c r="DD21" s="4"/>
      <c r="DE21" s="4"/>
      <c r="DF21" s="4"/>
      <c r="DG21" s="4"/>
      <c r="DH21" s="4"/>
      <c r="DI21" s="4"/>
      <c r="DJ21" s="4" t="str">
        <f ca="1">IFERROR(__xludf.DUMMYFUNCTION("""COMPUTED_VALUE"""),"脳出血による高次脳機能障がいが強く、失語症や注意力低下が著明。麻痺はそれほど見られないものの精査は困難な状況。
転倒により胸椎圧迫骨折をされており、骨は弱く脆い状況ではあるものの最近は転倒もなく問題は見られない。
誤嚥性肺炎の既往があり、再発のリスクも高い状況。")</f>
        <v>脳出血による高次脳機能障がいが強く、失語症や注意力低下が著明。麻痺はそれほど見られないものの精査は困難な状況。
転倒により胸椎圧迫骨折をされており、骨は弱く脆い状況ではあるものの最近は転倒もなく問題は見られない。
誤嚥性肺炎の既往があり、再発のリスクも高い状況。</v>
      </c>
      <c r="DK21" s="4"/>
      <c r="DL21" s="4" t="str">
        <f ca="1">IFERROR(__xludf.DUMMYFUNCTION("""COMPUTED_VALUE"""),"入力")</f>
        <v>入力</v>
      </c>
      <c r="DM21" s="4" t="str">
        <f ca="1">IFERROR(__xludf.DUMMYFUNCTION("""COMPUTED_VALUE"""),"有")</f>
        <v>有</v>
      </c>
      <c r="DN21" s="4" t="str">
        <f ca="1">IFERROR(__xludf.DUMMYFUNCTION("""COMPUTED_VALUE"""),"重度")</f>
        <v>重度</v>
      </c>
      <c r="DO21" s="4" t="str">
        <f ca="1">IFERROR(__xludf.DUMMYFUNCTION("""COMPUTED_VALUE"""),"徘徊")</f>
        <v>徘徊</v>
      </c>
      <c r="DP21" s="4" t="str">
        <f ca="1">IFERROR(__xludf.DUMMYFUNCTION("""COMPUTED_VALUE"""),"全くできない")</f>
        <v>全くできない</v>
      </c>
      <c r="DQ21" s="4" t="str">
        <f ca="1">IFERROR(__xludf.DUMMYFUNCTION("""COMPUTED_VALUE"""),"全くできない")</f>
        <v>全くできない</v>
      </c>
      <c r="DR21" s="4" t="str">
        <f ca="1">IFERROR(__xludf.DUMMYFUNCTION("""COMPUTED_VALUE"""),"失語症に加え、認知機能の低下も強くコミュニケーションはほとんど取ることができない。返答は見られるものの、曖昧な返答である。")</f>
        <v>失語症に加え、認知機能の低下も強くコミュニケーションはほとんど取ることができない。返答は見られるものの、曖昧な返答である。</v>
      </c>
      <c r="DS21" s="4"/>
      <c r="DT21" s="4"/>
      <c r="DU21" s="4" t="str">
        <f ca="1">IFERROR(__xludf.DUMMYFUNCTION("""COMPUTED_VALUE"""),"入力")</f>
        <v>入力</v>
      </c>
      <c r="DV21" s="4" t="str">
        <f ca="1">IFERROR(__xludf.DUMMYFUNCTION("""COMPUTED_VALUE"""),"何かにつかまればできる")</f>
        <v>何かにつかまればできる</v>
      </c>
      <c r="DW21" s="4" t="str">
        <f ca="1">IFERROR(__xludf.DUMMYFUNCTION("""COMPUTED_VALUE"""),"何かにつかまればできる")</f>
        <v>何かにつかまればできる</v>
      </c>
      <c r="DX21" s="4" t="str">
        <f ca="1">IFERROR(__xludf.DUMMYFUNCTION("""COMPUTED_VALUE"""),"支えてもらえればできる")</f>
        <v>支えてもらえればできる</v>
      </c>
      <c r="DY21" s="4" t="str">
        <f ca="1">IFERROR(__xludf.DUMMYFUNCTION("""COMPUTED_VALUE"""),"できない")</f>
        <v>できない</v>
      </c>
      <c r="DZ21" s="4" t="str">
        <f ca="1">IFERROR(__xludf.DUMMYFUNCTION("""COMPUTED_VALUE"""),"できない")</f>
        <v>できない</v>
      </c>
      <c r="EA21" s="4" t="str">
        <f ca="1">IFERROR(__xludf.DUMMYFUNCTION("""COMPUTED_VALUE"""),"全介助")</f>
        <v>全介助</v>
      </c>
      <c r="EB21" s="4" t="str">
        <f ca="1">IFERROR(__xludf.DUMMYFUNCTION("""COMPUTED_VALUE"""),"一部介助")</f>
        <v>一部介助</v>
      </c>
      <c r="EC21" s="4" t="str">
        <f ca="1">IFERROR(__xludf.DUMMYFUNCTION("""COMPUTED_VALUE"""),"車椅子")</f>
        <v>車椅子</v>
      </c>
      <c r="ED21" s="4" t="str">
        <f ca="1">IFERROR(__xludf.DUMMYFUNCTION("""COMPUTED_VALUE"""),"全介助")</f>
        <v>全介助</v>
      </c>
      <c r="EE21" s="4" t="str">
        <f ca="1">IFERROR(__xludf.DUMMYFUNCTION("""COMPUTED_VALUE"""),"車椅子")</f>
        <v>車椅子</v>
      </c>
      <c r="EF21" s="4" t="str">
        <f ca="1">IFERROR(__xludf.DUMMYFUNCTION("""COMPUTED_VALUE"""),"起居動作はベッド柵等につかまることでご自身で行えているが、起立や立位保持、移乗に関しては、職員による介助が必要な状況。
車椅子へ座ってしまえばご自身で車いすを操作し移動できるが、周りを見ずに車いすを動かそうとするため他利用者と接触を防ぐ必要があり見守りを要す。")</f>
        <v>起居動作はベッド柵等につかまることでご自身で行えているが、起立や立位保持、移乗に関しては、職員による介助が必要な状況。
車椅子へ座ってしまえばご自身で車いすを操作し移動できるが、周りを見ずに車いすを動かそうとするため他利用者と接触を防ぐ必要があり見守りを要す。</v>
      </c>
      <c r="EG21" s="4"/>
      <c r="EH21" s="4" t="str">
        <f ca="1">IFERROR(__xludf.DUMMYFUNCTION("""COMPUTED_VALUE"""),"入力")</f>
        <v>入力</v>
      </c>
      <c r="EI21" s="4" t="str">
        <f ca="1">IFERROR(__xludf.DUMMYFUNCTION("""COMPUTED_VALUE"""),"入力")</f>
        <v>入力</v>
      </c>
      <c r="EJ21" s="4" t="str">
        <f ca="1">IFERROR(__xludf.DUMMYFUNCTION("""COMPUTED_VALUE"""),"経口摂取")</f>
        <v>経口摂取</v>
      </c>
      <c r="EK21" s="4" t="str">
        <f ca="1">IFERROR(__xludf.DUMMYFUNCTION("""COMPUTED_VALUE"""),"一部介助")</f>
        <v>一部介助</v>
      </c>
      <c r="EL21" s="4" t="str">
        <f ca="1">IFERROR(__xludf.DUMMYFUNCTION("""COMPUTED_VALUE"""),"見守り等が必要")</f>
        <v>見守り等が必要</v>
      </c>
      <c r="EM21" s="4" t="str">
        <f ca="1">IFERROR(__xludf.DUMMYFUNCTION("""COMPUTED_VALUE"""),"全粥")</f>
        <v>全粥</v>
      </c>
      <c r="EN21" s="4" t="str">
        <f ca="1">IFERROR(__xludf.DUMMYFUNCTION("""COMPUTED_VALUE"""),"キザミ")</f>
        <v>キザミ</v>
      </c>
      <c r="EO21" s="4" t="str">
        <f ca="1">IFERROR(__xludf.DUMMYFUNCTION("""COMPUTED_VALUE"""),"有")</f>
        <v>有</v>
      </c>
      <c r="EP21" s="4" t="str">
        <f ca="1">IFERROR(__xludf.DUMMYFUNCTION("""COMPUTED_VALUE"""),"無")</f>
        <v>無</v>
      </c>
      <c r="EQ21" s="4" t="str">
        <f ca="1">IFERROR(__xludf.DUMMYFUNCTION("""COMPUTED_VALUE"""),"スプーン , エプロン")</f>
        <v>スプーン , エプロン</v>
      </c>
      <c r="ER21" s="4" t="str">
        <f ca="1">IFERROR(__xludf.DUMMYFUNCTION("""COMPUTED_VALUE"""),"嚥下機能の低下があるため食事形態は全粥、キザミ（とろみ餡かけ）となっている。食事開始時はスプーンを用いて食べることができるが、徐々に素手で食べようとされる。一口量が多く勢いよく食べるため窒息の危険性も高い。制御が聞かないため常に見守りを要す。食べこぼしが多いためエプロンの装着が必要な状況。")</f>
        <v>嚥下機能の低下があるため食事形態は全粥、キザミ（とろみ餡かけ）となっている。食事開始時はスプーンを用いて食べることができるが、徐々に素手で食べようとされる。一口量が多く勢いよく食べるため窒息の危険性も高い。制御が聞かないため常に見守りを要す。食べこぼしが多いためエプロンの装着が必要な状況。</v>
      </c>
      <c r="ES21" s="4"/>
      <c r="ET21" s="4" t="str">
        <f ca="1">IFERROR(__xludf.DUMMYFUNCTION("""COMPUTED_VALUE"""),"入力")</f>
        <v>入力</v>
      </c>
      <c r="EU21" s="4" t="str">
        <f ca="1">IFERROR(__xludf.DUMMYFUNCTION("""COMPUTED_VALUE"""),"全介助")</f>
        <v>全介助</v>
      </c>
      <c r="EV21" s="4" t="str">
        <f ca="1">IFERROR(__xludf.DUMMYFUNCTION("""COMPUTED_VALUE"""),"有")</f>
        <v>有</v>
      </c>
      <c r="EW21" s="4" t="str">
        <f ca="1">IFERROR(__xludf.DUMMYFUNCTION("""COMPUTED_VALUE"""),"無")</f>
        <v>無</v>
      </c>
      <c r="EX21" s="4"/>
      <c r="EY21" s="4"/>
      <c r="EZ21" s="4" t="str">
        <f ca="1">IFERROR(__xludf.DUMMYFUNCTION("""COMPUTED_VALUE"""),"口腔ケアはご自身で行うことができないため介助が必要。現在はデイサービスを毎日利用しているため、デイ利用時に口腔ケアを行う。自歯はあるもののほとんど抜け落ちている。")</f>
        <v>口腔ケアはご自身で行うことができないため介助が必要。現在はデイサービスを毎日利用しているため、デイ利用時に口腔ケアを行う。自歯はあるもののほとんど抜け落ちている。</v>
      </c>
      <c r="FA21" s="4"/>
      <c r="FB21" s="4" t="str">
        <f ca="1">IFERROR(__xludf.DUMMYFUNCTION("""COMPUTED_VALUE"""),"入力")</f>
        <v>入力</v>
      </c>
      <c r="FC21" s="4" t="str">
        <f ca="1">IFERROR(__xludf.DUMMYFUNCTION("""COMPUTED_VALUE"""),"全介助")</f>
        <v>全介助</v>
      </c>
      <c r="FD21" s="4" t="str">
        <f ca="1">IFERROR(__xludf.DUMMYFUNCTION("""COMPUTED_VALUE"""),"チェアー浴")</f>
        <v>チェアー浴</v>
      </c>
      <c r="FE21" s="4" t="str">
        <f ca="1">IFERROR(__xludf.DUMMYFUNCTION("""COMPUTED_VALUE"""),"無")</f>
        <v>無</v>
      </c>
      <c r="FF21" s="4"/>
      <c r="FG21" s="4" t="str">
        <f ca="1">IFERROR(__xludf.DUMMYFUNCTION("""COMPUTED_VALUE"""),"全介助")</f>
        <v>全介助</v>
      </c>
      <c r="FH21" s="4" t="str">
        <f ca="1">IFERROR(__xludf.DUMMYFUNCTION("""COMPUTED_VALUE"""),"全介助")</f>
        <v>全介助</v>
      </c>
      <c r="FI21" s="4" t="str">
        <f ca="1">IFERROR(__xludf.DUMMYFUNCTION("""COMPUTED_VALUE"""),"入浴はデイサービス利用時に週3回入浴されている。指示が入らないため職員が洗身、更衣の介助を行う。")</f>
        <v>入浴はデイサービス利用時に週3回入浴されている。指示が入らないため職員が洗身、更衣の介助を行う。</v>
      </c>
      <c r="FJ21" s="4"/>
      <c r="FK21" s="4" t="str">
        <f ca="1">IFERROR(__xludf.DUMMYFUNCTION("""COMPUTED_VALUE"""),"入力")</f>
        <v>入力</v>
      </c>
      <c r="FL21" s="4" t="str">
        <f ca="1">IFERROR(__xludf.DUMMYFUNCTION("""COMPUTED_VALUE"""),"全介助")</f>
        <v>全介助</v>
      </c>
      <c r="FM21" s="4" t="str">
        <f ca="1">IFERROR(__xludf.DUMMYFUNCTION("""COMPUTED_VALUE"""),"無")</f>
        <v>無</v>
      </c>
      <c r="FN21" s="4" t="str">
        <f ca="1">IFERROR(__xludf.DUMMYFUNCTION("""COMPUTED_VALUE"""),"有")</f>
        <v>有</v>
      </c>
      <c r="FO21" s="4" t="str">
        <f ca="1">IFERROR(__xludf.DUMMYFUNCTION("""COMPUTED_VALUE"""),"無")</f>
        <v>無</v>
      </c>
      <c r="FP21" s="4" t="str">
        <f ca="1">IFERROR(__xludf.DUMMYFUNCTION("""COMPUTED_VALUE"""),"有")</f>
        <v>有</v>
      </c>
      <c r="FQ21" s="4"/>
      <c r="FR21" s="4" t="str">
        <f ca="1">IFERROR(__xludf.DUMMYFUNCTION("""COMPUTED_VALUE"""),"オムツ")</f>
        <v>オムツ</v>
      </c>
      <c r="FS21" s="4" t="str">
        <f ca="1">IFERROR(__xludf.DUMMYFUNCTION("""COMPUTED_VALUE"""),"オムツ")</f>
        <v>オムツ</v>
      </c>
      <c r="FT21" s="4" t="str">
        <f ca="1">IFERROR(__xludf.DUMMYFUNCTION("""COMPUTED_VALUE"""),"紙おむつ , 大パット")</f>
        <v>紙おむつ , 大パット</v>
      </c>
      <c r="FU21" s="4" t="str">
        <f ca="1">IFERROR(__xludf.DUMMYFUNCTION("""COMPUTED_VALUE"""),"排泄はパット内にされるため1日に5回交換を行っている。オムツや便いじりが多かったことで現在は介護衣を着用されている。1回の尿量は多く失禁も時折見られている。")</f>
        <v>排泄はパット内にされるため1日に5回交換を行っている。オムツや便いじりが多かったことで現在は介護衣を着用されている。1回の尿量は多く失禁も時折見られている。</v>
      </c>
      <c r="FV21" s="4"/>
      <c r="FW21" s="4"/>
      <c r="FX21" s="4" t="str">
        <f ca="1">IFERROR(__xludf.DUMMYFUNCTION("""COMPUTED_VALUE"""),"入力")</f>
        <v>入力</v>
      </c>
      <c r="FY21" s="4" t="str">
        <f ca="1">IFERROR(__xludf.DUMMYFUNCTION("""COMPUTED_VALUE"""),"全介助")</f>
        <v>全介助</v>
      </c>
      <c r="FZ21" s="4" t="str">
        <f ca="1">IFERROR(__xludf.DUMMYFUNCTION("""COMPUTED_VALUE"""),"全介助")</f>
        <v>全介助</v>
      </c>
      <c r="GA21" s="4" t="str">
        <f ca="1">IFERROR(__xludf.DUMMYFUNCTION("""COMPUTED_VALUE"""),"全介助")</f>
        <v>全介助</v>
      </c>
      <c r="GB21" s="4" t="str">
        <f ca="1">IFERROR(__xludf.DUMMYFUNCTION("""COMPUTED_VALUE"""),"全介助")</f>
        <v>全介助</v>
      </c>
      <c r="GC21" s="4" t="str">
        <f ca="1">IFERROR(__xludf.DUMMYFUNCTION("""COMPUTED_VALUE"""),"全介助")</f>
        <v>全介助</v>
      </c>
      <c r="GD21" s="4" t="str">
        <f ca="1">IFERROR(__xludf.DUMMYFUNCTION("""COMPUTED_VALUE"""),"IADLはすべて介助が必要で、KPの息子様や施設サービスを受けている。")</f>
        <v>IADLはすべて介助が必要で、KPの息子様や施設サービスを受けている。</v>
      </c>
      <c r="GE21" s="4"/>
      <c r="GF21" s="4"/>
      <c r="GG21" s="4" t="str">
        <f ca="1">IFERROR(__xludf.DUMMYFUNCTION("""COMPUTED_VALUE"""),"高次脳機能障害や注意力障がい、認知機能の低下により危険認識力が低く、もともと転倒が多く見られていたが、現在はベッドで過ごされる際意は、4点柵で対応し、車いすに座る際は、安全ベルトを着用。また終日介護衣を着用している。ご家族様へ身体拘束の同意は頂いている。")</f>
        <v>高次脳機能障害や注意力障がい、認知機能の低下により危険認識力が低く、もともと転倒が多く見られていたが、現在はベッドで過ごされる際意は、4点柵で対応し、車いすに座る際は、安全ベルトを着用。また終日介護衣を着用している。ご家族様へ身体拘束の同意は頂いている。</v>
      </c>
      <c r="GH21" s="4">
        <f ca="1">IFERROR(__xludf.DUMMYFUNCTION("""COMPUTED_VALUE"""),30)</f>
        <v>30</v>
      </c>
      <c r="GI21" s="4"/>
    </row>
    <row r="22" spans="1:191">
      <c r="A22" s="4"/>
      <c r="B22" s="4"/>
      <c r="C22" s="4" t="str">
        <f ca="1">IFERROR(__xludf.DUMMYFUNCTION("""COMPUTED_VALUE"""),"豊田　眞喜子")</f>
        <v>豊田　眞喜子</v>
      </c>
      <c r="D22" s="4" t="str">
        <f ca="1">IFERROR(__xludf.DUMMYFUNCTION("""COMPUTED_VALUE"""),"46a58b06")</f>
        <v>46a58b06</v>
      </c>
      <c r="E22" s="4"/>
      <c r="F22" s="4"/>
      <c r="G22" s="4"/>
      <c r="H22" s="4"/>
      <c r="I22" s="5">
        <f ca="1">IFERROR(__xludf.DUMMYFUNCTION("""COMPUTED_VALUE"""),45599)</f>
        <v>45599</v>
      </c>
      <c r="J22" s="4" t="str">
        <f ca="1">IFERROR(__xludf.DUMMYFUNCTION("""COMPUTED_VALUE"""),"山川　和輝")</f>
        <v>山川　和輝</v>
      </c>
      <c r="K22" s="4" t="str">
        <f ca="1">IFERROR(__xludf.DUMMYFUNCTION("""COMPUTED_VALUE"""),"更新")</f>
        <v>更新</v>
      </c>
      <c r="L22" s="4" t="str">
        <f ca="1">IFERROR(__xludf.DUMMYFUNCTION("""COMPUTED_VALUE"""),"本人の居室")</f>
        <v>本人の居室</v>
      </c>
      <c r="M22" s="4" t="str">
        <f ca="1">IFERROR(__xludf.DUMMYFUNCTION("""COMPUTED_VALUE"""),"自宅で夫と２人暮らし。夫は自立で、日常的なお世話は夫が行っていた。令和4年4月26日に３８度の熱発があり、近所の内科に受診。5月12日、受診先から永井病院を進められ、誤嚥性肺炎のため永井病院へ入院となった。認知機能の低下により食事に拒否があり、6月9日に胃ろう造設となった。その後6月17日に回復期へ移動する。自宅では生活が困難であることから、令和4年7月25日に旦那様と共に２人部屋や入居となった。")</f>
        <v>自宅で夫と２人暮らし。夫は自立で、日常的なお世話は夫が行っていた。令和4年4月26日に３８度の熱発があり、近所の内科に受診。5月12日、受診先から永井病院を進められ、誤嚥性肺炎のため永井病院へ入院となった。認知機能の低下により食事に拒否があり、6月9日に胃ろう造設となった。その後6月17日に回復期へ移動する。自宅では生活が困難であることから、令和4年7月25日に旦那様と共に２人部屋や入居となった。</v>
      </c>
      <c r="N22" s="4"/>
      <c r="O22" s="4"/>
      <c r="P22" s="4"/>
      <c r="Q22" s="4" t="str">
        <f ca="1">IFERROR(__xludf.DUMMYFUNCTION("""COMPUTED_VALUE"""),"入力")</f>
        <v>入力</v>
      </c>
      <c r="R22" s="4" t="str">
        <f ca="1">IFERROR(__xludf.DUMMYFUNCTION("""COMPUTED_VALUE"""),"要介護５")</f>
        <v>要介護５</v>
      </c>
      <c r="S22" s="4" t="str">
        <f ca="1">IFERROR(__xludf.DUMMYFUNCTION("""COMPUTED_VALUE"""),"令和5年6月1日")</f>
        <v>令和5年6月1日</v>
      </c>
      <c r="T22" s="4" t="str">
        <f ca="1">IFERROR(__xludf.DUMMYFUNCTION("""COMPUTED_VALUE"""),"令和5年6月1日")</f>
        <v>令和5年6月1日</v>
      </c>
      <c r="U22" s="4" t="str">
        <f ca="1">IFERROR(__xludf.DUMMYFUNCTION("""COMPUTED_VALUE"""),"令和7年5月31日")</f>
        <v>令和7年5月31日</v>
      </c>
      <c r="V22" s="4" t="str">
        <f ca="1">IFERROR(__xludf.DUMMYFUNCTION("""COMPUTED_VALUE"""),"１割負担")</f>
        <v>１割負担</v>
      </c>
      <c r="W22" s="4" t="str">
        <f ca="1">IFERROR(__xludf.DUMMYFUNCTION("""COMPUTED_VALUE"""),"後期高齢者医療保険")</f>
        <v>後期高齢者医療保険</v>
      </c>
      <c r="X22" s="4" t="str">
        <f ca="1">IFERROR(__xludf.DUMMYFUNCTION("""COMPUTED_VALUE"""),"無")</f>
        <v>無</v>
      </c>
      <c r="Y22" s="4"/>
      <c r="Z22" s="4" t="str">
        <f ca="1">IFERROR(__xludf.DUMMYFUNCTION("""COMPUTED_VALUE"""),"無")</f>
        <v>無</v>
      </c>
      <c r="AA22" s="4" t="str">
        <f ca="1">IFERROR(__xludf.DUMMYFUNCTION("""COMPUTED_VALUE"""),"無")</f>
        <v>無</v>
      </c>
      <c r="AB22" s="4" t="str">
        <f ca="1">IFERROR(__xludf.DUMMYFUNCTION("""COMPUTED_VALUE"""),"C1")</f>
        <v>C1</v>
      </c>
      <c r="AC22" s="4" t="str">
        <f ca="1">IFERROR(__xludf.DUMMYFUNCTION("""COMPUTED_VALUE"""),"Ⅳ")</f>
        <v>Ⅳ</v>
      </c>
      <c r="AD22" s="4"/>
      <c r="AE22" s="4" t="str">
        <f ca="1">IFERROR(__xludf.DUMMYFUNCTION("""COMPUTED_VALUE"""),"入力")</f>
        <v>入力</v>
      </c>
      <c r="AF22" s="4" t="str">
        <f ca="1">IFERROR(__xludf.DUMMYFUNCTION("""COMPUTED_VALUE"""),"豊田　尚美")</f>
        <v>豊田　尚美</v>
      </c>
      <c r="AG22" s="4" t="str">
        <f ca="1">IFERROR(__xludf.DUMMYFUNCTION("""COMPUTED_VALUE"""),"長男妻")</f>
        <v>長男妻</v>
      </c>
      <c r="AH22" s="4"/>
      <c r="AI22" s="4" t="str">
        <f ca="1">IFERROR(__xludf.DUMMYFUNCTION("""COMPUTED_VALUE"""),"別居")</f>
        <v>別居</v>
      </c>
      <c r="AJ22" s="4" t="str">
        <f ca="1">IFERROR(__xludf.DUMMYFUNCTION("""COMPUTED_VALUE"""),"介護する")</f>
        <v>介護する</v>
      </c>
      <c r="AK22" s="4" t="str">
        <f ca="1">IFERROR(__xludf.DUMMYFUNCTION("""COMPUTED_VALUE"""),"無")</f>
        <v>無</v>
      </c>
      <c r="AL22" s="4" t="str">
        <f ca="1">IFERROR(__xludf.DUMMYFUNCTION("""COMPUTED_VALUE"""),"090-7855-3371")</f>
        <v>090-7855-3371</v>
      </c>
      <c r="AM22" s="4" t="str">
        <f ca="1">IFERROR(__xludf.DUMMYFUNCTION("""COMPUTED_VALUE"""),"連絡先1番")</f>
        <v>連絡先1番</v>
      </c>
      <c r="AN22" s="4" t="str">
        <f ca="1">IFERROR(__xludf.DUMMYFUNCTION("""COMPUTED_VALUE"""),"豊田　孝典")</f>
        <v>豊田　孝典</v>
      </c>
      <c r="AO22" s="4" t="str">
        <f ca="1">IFERROR(__xludf.DUMMYFUNCTION("""COMPUTED_VALUE"""),"長男")</f>
        <v>長男</v>
      </c>
      <c r="AP22" s="4"/>
      <c r="AQ22" s="4" t="str">
        <f ca="1">IFERROR(__xludf.DUMMYFUNCTION("""COMPUTED_VALUE"""),"別居")</f>
        <v>別居</v>
      </c>
      <c r="AR22" s="4" t="str">
        <f ca="1">IFERROR(__xludf.DUMMYFUNCTION("""COMPUTED_VALUE"""),"介護する")</f>
        <v>介護する</v>
      </c>
      <c r="AS22" s="4"/>
      <c r="AT22" s="4" t="str">
        <f ca="1">IFERROR(__xludf.DUMMYFUNCTION("""COMPUTED_VALUE"""),"090-5772-4017")</f>
        <v>090-5772-4017</v>
      </c>
      <c r="AU22" s="4" t="str">
        <f ca="1">IFERROR(__xludf.DUMMYFUNCTION("""COMPUTED_VALUE"""),"KP")</f>
        <v>KP</v>
      </c>
      <c r="AV22" s="4"/>
      <c r="AW22" s="4" t="str">
        <f ca="1">IFERROR(__xludf.DUMMYFUNCTION("""COMPUTED_VALUE"""),"入力")</f>
        <v>入力</v>
      </c>
      <c r="AX22" s="4" t="str">
        <f ca="1">IFERROR(__xludf.DUMMYFUNCTION("""COMPUTED_VALUE"""),"一人暮らし")</f>
        <v>一人暮らし</v>
      </c>
      <c r="AY22" s="4" t="str">
        <f ca="1">IFERROR(__xludf.DUMMYFUNCTION("""COMPUTED_VALUE"""),"集合住宅")</f>
        <v>集合住宅</v>
      </c>
      <c r="AZ22" s="4" t="str">
        <f ca="1">IFERROR(__xludf.DUMMYFUNCTION("""COMPUTED_VALUE"""),"エレベーター有")</f>
        <v>エレベーター有</v>
      </c>
      <c r="BA22" s="4" t="str">
        <f ca="1">IFERROR(__xludf.DUMMYFUNCTION("""COMPUTED_VALUE"""),"賃貸")</f>
        <v>賃貸</v>
      </c>
      <c r="BB22" s="4" t="str">
        <f ca="1">IFERROR(__xludf.DUMMYFUNCTION("""COMPUTED_VALUE"""),"有")</f>
        <v>有</v>
      </c>
      <c r="BC22" s="4" t="str">
        <f ca="1">IFERROR(__xludf.DUMMYFUNCTION("""COMPUTED_VALUE"""),"有")</f>
        <v>有</v>
      </c>
      <c r="BD22" s="4" t="str">
        <f ca="1">IFERROR(__xludf.DUMMYFUNCTION("""COMPUTED_VALUE"""),"洋式")</f>
        <v>洋式</v>
      </c>
      <c r="BE22" s="4" t="str">
        <f ca="1">IFERROR(__xludf.DUMMYFUNCTION("""COMPUTED_VALUE"""),"手すり有")</f>
        <v>手すり有</v>
      </c>
      <c r="BF22" s="4" t="str">
        <f ca="1">IFERROR(__xludf.DUMMYFUNCTION("""COMPUTED_VALUE"""),"段差無")</f>
        <v>段差無</v>
      </c>
      <c r="BG22" s="4" t="str">
        <f ca="1">IFERROR(__xludf.DUMMYFUNCTION("""COMPUTED_VALUE"""),"有")</f>
        <v>有</v>
      </c>
      <c r="BH22" s="4" t="str">
        <f ca="1">IFERROR(__xludf.DUMMYFUNCTION("""COMPUTED_VALUE"""),"手すり有")</f>
        <v>手すり有</v>
      </c>
      <c r="BI22" s="4" t="str">
        <f ca="1">IFERROR(__xludf.DUMMYFUNCTION("""COMPUTED_VALUE"""),"リクライニングベッド")</f>
        <v>リクライニングベッド</v>
      </c>
      <c r="BJ22" s="4" t="str">
        <f ca="1">IFERROR(__xludf.DUMMYFUNCTION("""COMPUTED_VALUE"""),"無")</f>
        <v>無</v>
      </c>
      <c r="BK22" s="4" t="str">
        <f ca="1">IFERROR(__xludf.DUMMYFUNCTION("""COMPUTED_VALUE"""),"無")</f>
        <v>無</v>
      </c>
      <c r="BL22" s="4" t="str">
        <f ca="1">IFERROR(__xludf.DUMMYFUNCTION("""COMPUTED_VALUE"""),"無")</f>
        <v>無</v>
      </c>
      <c r="BM22" s="4" t="str">
        <f ca="1">IFERROR(__xludf.DUMMYFUNCTION("""COMPUTED_VALUE"""),"無")</f>
        <v>無</v>
      </c>
      <c r="BN22" s="4"/>
      <c r="BO22" s="4" t="str">
        <f ca="1">IFERROR(__xludf.DUMMYFUNCTION("""COMPUTED_VALUE"""),"入力")</f>
        <v>入力</v>
      </c>
      <c r="BP22" s="4" t="str">
        <f ca="1">IFERROR(__xludf.DUMMYFUNCTION("""COMPUTED_VALUE"""),"訪問介護 , 訪問看護 , 通所介護")</f>
        <v>訪問介護 , 訪問看護 , 通所介護</v>
      </c>
      <c r="BQ22" s="4" t="str">
        <f ca="1">IFERROR(__xludf.DUMMYFUNCTION("""COMPUTED_VALUE"""),"車いす , 車いす付属品 , 特殊寝台 , 特殊寝台付属品 , 床ずれ防止用具")</f>
        <v>車いす , 車いす付属品 , 特殊寝台 , 特殊寝台付属品 , 床ずれ防止用具</v>
      </c>
      <c r="BR22" s="4" t="str">
        <f ca="1">IFERROR(__xludf.DUMMYFUNCTION("""COMPUTED_VALUE"""),"特になし")</f>
        <v>特になし</v>
      </c>
      <c r="BS22" s="4" t="str">
        <f ca="1">IFERROR(__xludf.DUMMYFUNCTION("""COMPUTED_VALUE"""),"オムツ支給 , 食事支援 , 排泄支援 , リネンリース , 洗濯")</f>
        <v>オムツ支給 , 食事支援 , 排泄支援 , リネンリース , 洗濯</v>
      </c>
      <c r="BT22" s="4" t="str">
        <f ca="1">IFERROR(__xludf.DUMMYFUNCTION("""COMPUTED_VALUE"""),"デイサービスを利用されているが他者とコミュニケーションはあまり積極的に取らない。")</f>
        <v>デイサービスを利用されているが他者とコミュニケーションはあまり積極的に取らない。</v>
      </c>
      <c r="BU22" s="4"/>
      <c r="BV22" s="4"/>
      <c r="BW22" s="4" t="str">
        <f ca="1">IFERROR(__xludf.DUMMYFUNCTION("""COMPUTED_VALUE"""),"入力")</f>
        <v>入力</v>
      </c>
      <c r="BX22" s="4" t="str">
        <f ca="1">IFERROR(__xludf.DUMMYFUNCTION("""COMPUTED_VALUE"""),"肺がん")</f>
        <v>肺がん</v>
      </c>
      <c r="BY22" s="4" t="str">
        <f ca="1">IFERROR(__xludf.DUMMYFUNCTION("""COMPUTED_VALUE"""),"令和6年1月26日")</f>
        <v>令和6年1月26日</v>
      </c>
      <c r="BZ22" s="4" t="str">
        <f ca="1">IFERROR(__xludf.DUMMYFUNCTION("""COMPUTED_VALUE"""),"誤嚥性肺炎（胃瘻造設）")</f>
        <v>誤嚥性肺炎（胃瘻造設）</v>
      </c>
      <c r="CA22" s="4" t="str">
        <f ca="1">IFERROR(__xludf.DUMMYFUNCTION("""COMPUTED_VALUE"""),"令和4年5月12日")</f>
        <v>令和4年5月12日</v>
      </c>
      <c r="CB22" s="4" t="str">
        <f ca="1">IFERROR(__xludf.DUMMYFUNCTION("""COMPUTED_VALUE"""),"重度の認知症")</f>
        <v>重度の認知症</v>
      </c>
      <c r="CC22" s="4" t="str">
        <f ca="1">IFERROR(__xludf.DUMMYFUNCTION("""COMPUTED_VALUE"""),"不詳")</f>
        <v>不詳</v>
      </c>
      <c r="CD22" s="4"/>
      <c r="CE22" s="4"/>
      <c r="CF22" s="4"/>
      <c r="CG22" s="4"/>
      <c r="CH22" s="4"/>
      <c r="CI22" s="4"/>
      <c r="CJ22" s="4" t="str">
        <f ca="1">IFERROR(__xludf.DUMMYFUNCTION("""COMPUTED_VALUE"""),"現在、肺がんの経過観察のため永井病院に通院を行っている。それ以外は加藤医院で往診を受けている。")</f>
        <v>現在、肺がんの経過観察のため永井病院に通院を行っている。それ以外は加藤医院で往診を受けている。</v>
      </c>
      <c r="CK22" s="4"/>
      <c r="CL22" s="4"/>
      <c r="CM22" s="4"/>
      <c r="CN22" s="4"/>
      <c r="CO22" s="4"/>
      <c r="CP22" s="4"/>
      <c r="CQ22" s="4"/>
      <c r="CR22" s="4"/>
      <c r="CS22" s="4" t="str">
        <f ca="1">IFERROR(__xludf.DUMMYFUNCTION("""COMPUTED_VALUE"""),"令和3年8月：左大腿骨頸部骨折
令和4年9月：帯状疱疹")</f>
        <v>令和3年8月：左大腿骨頸部骨折
令和4年9月：帯状疱疹</v>
      </c>
      <c r="CT22" s="4" t="str">
        <f ca="1">IFERROR(__xludf.DUMMYFUNCTION("""COMPUTED_VALUE"""),"ローレル薬局を契約され、居宅療養指導を受けている。内服は胃ろうから栄養とともに注入している。")</f>
        <v>ローレル薬局を契約され、居宅療養指導を受けている。内服は胃ろうから栄養とともに注入している。</v>
      </c>
      <c r="CU22" s="4"/>
      <c r="CV22" s="4"/>
      <c r="CW22" s="4"/>
      <c r="CX22" s="4" t="str">
        <f ca="1">IFERROR(__xludf.DUMMYFUNCTION("""COMPUTED_VALUE"""),"入力")</f>
        <v>入力</v>
      </c>
      <c r="CY22" s="4" t="str">
        <f ca="1">IFERROR(__xludf.DUMMYFUNCTION("""COMPUTED_VALUE"""),"湿疹 , かゆみ")</f>
        <v>湿疹 , かゆみ</v>
      </c>
      <c r="CZ22" s="4" t="str">
        <f ca="1">IFERROR(__xludf.DUMMYFUNCTION("""COMPUTED_VALUE"""),"無")</f>
        <v>無</v>
      </c>
      <c r="DA22" s="4" t="str">
        <f ca="1">IFERROR(__xludf.DUMMYFUNCTION("""COMPUTED_VALUE"""),"経管栄養")</f>
        <v>経管栄養</v>
      </c>
      <c r="DB22" s="4" t="str">
        <f ca="1">IFERROR(__xludf.DUMMYFUNCTION("""COMPUTED_VALUE"""),"特になし")</f>
        <v>特になし</v>
      </c>
      <c r="DC22" s="4" t="str">
        <f ca="1">IFERROR(__xludf.DUMMYFUNCTION("""COMPUTED_VALUE"""),"特になし")</f>
        <v>特になし</v>
      </c>
      <c r="DD22" s="4"/>
      <c r="DE22" s="4"/>
      <c r="DF22" s="4" t="str">
        <f ca="1">IFERROR(__xludf.DUMMYFUNCTION("""COMPUTED_VALUE"""),"大きい字は可")</f>
        <v>大きい字は可</v>
      </c>
      <c r="DG22" s="4" t="str">
        <f ca="1">IFERROR(__xludf.DUMMYFUNCTION("""COMPUTED_VALUE"""),"無")</f>
        <v>無</v>
      </c>
      <c r="DH22" s="4" t="str">
        <f ca="1">IFERROR(__xludf.DUMMYFUNCTION("""COMPUTED_VALUE"""),"大きい声は可")</f>
        <v>大きい声は可</v>
      </c>
      <c r="DI22" s="4" t="str">
        <f ca="1">IFERROR(__xludf.DUMMYFUNCTION("""COMPUTED_VALUE"""),"無")</f>
        <v>無</v>
      </c>
      <c r="DJ22" s="4" t="str">
        <f ca="1">IFERROR(__xludf.DUMMYFUNCTION("""COMPUTED_VALUE"""),"誤嚥性肺炎により胃瘻を造設しており、胃ろうから栄養を注入している。また令和6年1月に肺がんが見つかり増悪傾向。定期的に永井病院に受診を行い、経過観察を行っている。またガンの進行により今後は緩和ケアも視野に入れている。
現在床ずれはないが、寝た状態が続いているため床ずれが生じやすい状態となっている。痒みや湿疹などの皮膚トラブルも見られる。")</f>
        <v>誤嚥性肺炎により胃瘻を造設しており、胃ろうから栄養を注入している。また令和6年1月に肺がんが見つかり増悪傾向。定期的に永井病院に受診を行い、経過観察を行っている。またガンの進行により今後は緩和ケアも視野に入れている。
現在床ずれはないが、寝た状態が続いているため床ずれが生じやすい状態となっている。痒みや湿疹などの皮膚トラブルも見られる。</v>
      </c>
      <c r="DK22" s="4"/>
      <c r="DL22" s="4" t="str">
        <f ca="1">IFERROR(__xludf.DUMMYFUNCTION("""COMPUTED_VALUE"""),"入力")</f>
        <v>入力</v>
      </c>
      <c r="DM22" s="4" t="str">
        <f ca="1">IFERROR(__xludf.DUMMYFUNCTION("""COMPUTED_VALUE"""),"有")</f>
        <v>有</v>
      </c>
      <c r="DN22" s="4" t="str">
        <f ca="1">IFERROR(__xludf.DUMMYFUNCTION("""COMPUTED_VALUE"""),"重度")</f>
        <v>重度</v>
      </c>
      <c r="DO22" s="4" t="str">
        <f ca="1">IFERROR(__xludf.DUMMYFUNCTION("""COMPUTED_VALUE"""),"大声・奇声 , 暴力 , 暴言 , 介護抵抗")</f>
        <v>大声・奇声 , 暴力 , 暴言 , 介護抵抗</v>
      </c>
      <c r="DP22" s="4" t="str">
        <f ca="1">IFERROR(__xludf.DUMMYFUNCTION("""COMPUTED_VALUE"""),"やや不自由")</f>
        <v>やや不自由</v>
      </c>
      <c r="DQ22" s="4" t="str">
        <f ca="1">IFERROR(__xludf.DUMMYFUNCTION("""COMPUTED_VALUE"""),"やや不自由")</f>
        <v>やや不自由</v>
      </c>
      <c r="DR22" s="4" t="str">
        <f ca="1">IFERROR(__xludf.DUMMYFUNCTION("""COMPUTED_VALUE"""),"認知機能の低下によりコミュニケーションは取りにくい。また介護拒否が見られ、排泄交換や胃ろう時、入浴時など介助が必要な場面で、大声や暴言暴力行為も見られる。旦那様の協力のもと生活されている。")</f>
        <v>認知機能の低下によりコミュニケーションは取りにくい。また介護拒否が見られ、排泄交換や胃ろう時、入浴時など介助が必要な場面で、大声や暴言暴力行為も見られる。旦那様の協力のもと生活されている。</v>
      </c>
      <c r="DS22" s="4"/>
      <c r="DT22" s="4"/>
      <c r="DU22" s="4" t="str">
        <f ca="1">IFERROR(__xludf.DUMMYFUNCTION("""COMPUTED_VALUE"""),"入力")</f>
        <v>入力</v>
      </c>
      <c r="DV22" s="4" t="str">
        <f ca="1">IFERROR(__xludf.DUMMYFUNCTION("""COMPUTED_VALUE"""),"できない")</f>
        <v>できない</v>
      </c>
      <c r="DW22" s="4" t="str">
        <f ca="1">IFERROR(__xludf.DUMMYFUNCTION("""COMPUTED_VALUE"""),"できない")</f>
        <v>できない</v>
      </c>
      <c r="DX22" s="4" t="str">
        <f ca="1">IFERROR(__xludf.DUMMYFUNCTION("""COMPUTED_VALUE"""),"できない")</f>
        <v>できない</v>
      </c>
      <c r="DY22" s="4" t="str">
        <f ca="1">IFERROR(__xludf.DUMMYFUNCTION("""COMPUTED_VALUE"""),"できない")</f>
        <v>できない</v>
      </c>
      <c r="DZ22" s="4" t="str">
        <f ca="1">IFERROR(__xludf.DUMMYFUNCTION("""COMPUTED_VALUE"""),"できない")</f>
        <v>できない</v>
      </c>
      <c r="EA22" s="4" t="str">
        <f ca="1">IFERROR(__xludf.DUMMYFUNCTION("""COMPUTED_VALUE"""),"全介助")</f>
        <v>全介助</v>
      </c>
      <c r="EB22" s="4" t="str">
        <f ca="1">IFERROR(__xludf.DUMMYFUNCTION("""COMPUTED_VALUE"""),"全介助")</f>
        <v>全介助</v>
      </c>
      <c r="EC22" s="4" t="str">
        <f ca="1">IFERROR(__xludf.DUMMYFUNCTION("""COMPUTED_VALUE"""),"車椅子")</f>
        <v>車椅子</v>
      </c>
      <c r="ED22" s="4" t="str">
        <f ca="1">IFERROR(__xludf.DUMMYFUNCTION("""COMPUTED_VALUE"""),"全介助")</f>
        <v>全介助</v>
      </c>
      <c r="EE22" s="4" t="str">
        <f ca="1">IFERROR(__xludf.DUMMYFUNCTION("""COMPUTED_VALUE"""),"車椅子")</f>
        <v>車椅子</v>
      </c>
      <c r="EF22" s="4" t="str">
        <f ca="1">IFERROR(__xludf.DUMMYFUNCTION("""COMPUTED_VALUE"""),"基本動作、移乗はすべて全介助。ベッドから車いすへの移乗は、柵などにつかまるとつっぱる（拒否）ため、２人介助で行っている。体重は軽いため慣れれば１人で可能。
もともとは普通型車いすを使用されていたが、最近では座位保持で疲労が強くなるためリクライニング車椅子を使用している・")</f>
        <v>基本動作、移乗はすべて全介助。ベッドから車いすへの移乗は、柵などにつかまるとつっぱる（拒否）ため、２人介助で行っている。体重は軽いため慣れれば１人で可能。
もともとは普通型車いすを使用されていたが、最近では座位保持で疲労が強くなるためリクライニング車椅子を使用している・</v>
      </c>
      <c r="EG22" s="4"/>
      <c r="EH22" s="4" t="str">
        <f ca="1">IFERROR(__xludf.DUMMYFUNCTION("""COMPUTED_VALUE"""),"入力")</f>
        <v>入力</v>
      </c>
      <c r="EI22" s="4" t="str">
        <f ca="1">IFERROR(__xludf.DUMMYFUNCTION("""COMPUTED_VALUE"""),"入力")</f>
        <v>入力</v>
      </c>
      <c r="EJ22" s="4" t="str">
        <f ca="1">IFERROR(__xludf.DUMMYFUNCTION("""COMPUTED_VALUE"""),"経管栄養（胃ろう）")</f>
        <v>経管栄養（胃ろう）</v>
      </c>
      <c r="EK22" s="4" t="str">
        <f ca="1">IFERROR(__xludf.DUMMYFUNCTION("""COMPUTED_VALUE"""),"全介助")</f>
        <v>全介助</v>
      </c>
      <c r="EL22" s="4" t="str">
        <f ca="1">IFERROR(__xludf.DUMMYFUNCTION("""COMPUTED_VALUE"""),"できない")</f>
        <v>できない</v>
      </c>
      <c r="EM22" s="4"/>
      <c r="EN22" s="4"/>
      <c r="EO22" s="4" t="str">
        <f ca="1">IFERROR(__xludf.DUMMYFUNCTION("""COMPUTED_VALUE"""),"有")</f>
        <v>有</v>
      </c>
      <c r="EP22" s="4" t="str">
        <f ca="1">IFERROR(__xludf.DUMMYFUNCTION("""COMPUTED_VALUE"""),"有")</f>
        <v>有</v>
      </c>
      <c r="EQ22" s="4"/>
      <c r="ER22" s="4" t="str">
        <f ca="1">IFERROR(__xludf.DUMMYFUNCTION("""COMPUTED_VALUE"""),"食事は胃ろうからの経管栄養となっている。喉や口の力はある程度残存しており、唾液でむせることは少ない。")</f>
        <v>食事は胃ろうからの経管栄養となっている。喉や口の力はある程度残存しており、唾液でむせることは少ない。</v>
      </c>
      <c r="ES22" s="4"/>
      <c r="ET22" s="4" t="str">
        <f ca="1">IFERROR(__xludf.DUMMYFUNCTION("""COMPUTED_VALUE"""),"入力")</f>
        <v>入力</v>
      </c>
      <c r="EU22" s="4" t="str">
        <f ca="1">IFERROR(__xludf.DUMMYFUNCTION("""COMPUTED_VALUE"""),"全介助")</f>
        <v>全介助</v>
      </c>
      <c r="EV22" s="4"/>
      <c r="EW22" s="4"/>
      <c r="EX22" s="4"/>
      <c r="EY22" s="4"/>
      <c r="EZ22" s="4" t="str">
        <f ca="1">IFERROR(__xludf.DUMMYFUNCTION("""COMPUTED_VALUE"""),"胃瘻からの栄養注入時に口腔スポンジを用いて口腔ケアを行っている。誤嚥性肺炎のリスクも高いため口腔ケアの必要性は高い。")</f>
        <v>胃瘻からの栄養注入時に口腔スポンジを用いて口腔ケアを行っている。誤嚥性肺炎のリスクも高いため口腔ケアの必要性は高い。</v>
      </c>
      <c r="FA22" s="4"/>
      <c r="FB22" s="4" t="str">
        <f ca="1">IFERROR(__xludf.DUMMYFUNCTION("""COMPUTED_VALUE"""),"入力")</f>
        <v>入力</v>
      </c>
      <c r="FC22" s="4" t="str">
        <f ca="1">IFERROR(__xludf.DUMMYFUNCTION("""COMPUTED_VALUE"""),"全介助")</f>
        <v>全介助</v>
      </c>
      <c r="FD22" s="4" t="str">
        <f ca="1">IFERROR(__xludf.DUMMYFUNCTION("""COMPUTED_VALUE"""),"寝台浴")</f>
        <v>寝台浴</v>
      </c>
      <c r="FE22" s="4" t="str">
        <f ca="1">IFERROR(__xludf.DUMMYFUNCTION("""COMPUTED_VALUE"""),"無")</f>
        <v>無</v>
      </c>
      <c r="FF22" s="4"/>
      <c r="FG22" s="4" t="str">
        <f ca="1">IFERROR(__xludf.DUMMYFUNCTION("""COMPUTED_VALUE"""),"全介助")</f>
        <v>全介助</v>
      </c>
      <c r="FH22" s="4" t="str">
        <f ca="1">IFERROR(__xludf.DUMMYFUNCTION("""COMPUTED_VALUE"""),"全介助")</f>
        <v>全介助</v>
      </c>
      <c r="FI22" s="4" t="str">
        <f ca="1">IFERROR(__xludf.DUMMYFUNCTION("""COMPUTED_VALUE"""),"入浴はデイサービスでミスト浴全介助。胃ろう部分の洗浄は普通のボディーソープで行っている。
着替えは拒否が強いため、入浴時のみで実施。")</f>
        <v>入浴はデイサービスでミスト浴全介助。胃ろう部分の洗浄は普通のボディーソープで行っている。
着替えは拒否が強いため、入浴時のみで実施。</v>
      </c>
      <c r="FJ22" s="4"/>
      <c r="FK22" s="4" t="str">
        <f ca="1">IFERROR(__xludf.DUMMYFUNCTION("""COMPUTED_VALUE"""),"入力")</f>
        <v>入力</v>
      </c>
      <c r="FL22" s="4" t="str">
        <f ca="1">IFERROR(__xludf.DUMMYFUNCTION("""COMPUTED_VALUE"""),"全介助")</f>
        <v>全介助</v>
      </c>
      <c r="FM22" s="4" t="str">
        <f ca="1">IFERROR(__xludf.DUMMYFUNCTION("""COMPUTED_VALUE"""),"無")</f>
        <v>無</v>
      </c>
      <c r="FN22" s="4" t="str">
        <f ca="1">IFERROR(__xludf.DUMMYFUNCTION("""COMPUTED_VALUE"""),"無")</f>
        <v>無</v>
      </c>
      <c r="FO22" s="4" t="str">
        <f ca="1">IFERROR(__xludf.DUMMYFUNCTION("""COMPUTED_VALUE"""),"無")</f>
        <v>無</v>
      </c>
      <c r="FP22" s="4" t="str">
        <f ca="1">IFERROR(__xludf.DUMMYFUNCTION("""COMPUTED_VALUE"""),"無")</f>
        <v>無</v>
      </c>
      <c r="FQ22" s="4"/>
      <c r="FR22" s="4" t="str">
        <f ca="1">IFERROR(__xludf.DUMMYFUNCTION("""COMPUTED_VALUE"""),"オムツ")</f>
        <v>オムツ</v>
      </c>
      <c r="FS22" s="4" t="str">
        <f ca="1">IFERROR(__xludf.DUMMYFUNCTION("""COMPUTED_VALUE"""),"オムツ")</f>
        <v>オムツ</v>
      </c>
      <c r="FT22" s="4" t="str">
        <f ca="1">IFERROR(__xludf.DUMMYFUNCTION("""COMPUTED_VALUE"""),"紙おむつ , 大パット")</f>
        <v>紙おむつ , 大パット</v>
      </c>
      <c r="FU22" s="4" t="str">
        <f ca="1">IFERROR(__xludf.DUMMYFUNCTION("""COMPUTED_VALUE"""),"尿便意の訴えはなし。
終日オムツを使用し、全介助で交換を行う。拒否が強く、交換に時間を要す。
便に関しては、基本的には2～3日に1回は出ている。2日程度でないときは、経管栄養時に水分を多めに注入している。また3日以上でない場合は下剤を使用している。浣腸や摘便は行っていない。")</f>
        <v>尿便意の訴えはなし。
終日オムツを使用し、全介助で交換を行う。拒否が強く、交換に時間を要す。
便に関しては、基本的には2～3日に1回は出ている。2日程度でないときは、経管栄養時に水分を多めに注入している。また3日以上でない場合は下剤を使用している。浣腸や摘便は行っていない。</v>
      </c>
      <c r="FV22" s="4"/>
      <c r="FW22" s="4"/>
      <c r="FX22" s="4" t="str">
        <f ca="1">IFERROR(__xludf.DUMMYFUNCTION("""COMPUTED_VALUE"""),"入力")</f>
        <v>入力</v>
      </c>
      <c r="FY22" s="4" t="str">
        <f ca="1">IFERROR(__xludf.DUMMYFUNCTION("""COMPUTED_VALUE"""),"全介助")</f>
        <v>全介助</v>
      </c>
      <c r="FZ22" s="4" t="str">
        <f ca="1">IFERROR(__xludf.DUMMYFUNCTION("""COMPUTED_VALUE"""),"全介助")</f>
        <v>全介助</v>
      </c>
      <c r="GA22" s="4" t="str">
        <f ca="1">IFERROR(__xludf.DUMMYFUNCTION("""COMPUTED_VALUE"""),"全介助")</f>
        <v>全介助</v>
      </c>
      <c r="GB22" s="4" t="str">
        <f ca="1">IFERROR(__xludf.DUMMYFUNCTION("""COMPUTED_VALUE"""),"全介助")</f>
        <v>全介助</v>
      </c>
      <c r="GC22" s="4" t="str">
        <f ca="1">IFERROR(__xludf.DUMMYFUNCTION("""COMPUTED_VALUE"""),"全介助")</f>
        <v>全介助</v>
      </c>
      <c r="GD22" s="4" t="str">
        <f ca="1">IFERROR(__xludf.DUMMYFUNCTION("""COMPUTED_VALUE"""),"IADLは旦那様が協力して頂いたり、施設サービスを利用されている。")</f>
        <v>IADLは旦那様が協力して頂いたり、施設サービスを利用されている。</v>
      </c>
      <c r="GE22" s="4"/>
      <c r="GF22" s="4"/>
      <c r="GG22" s="4" t="str">
        <f ca="1">IFERROR(__xludf.DUMMYFUNCTION("""COMPUTED_VALUE"""),"肺がんの進行があり、進行に伴い身体状況の悪化、痛みの増悪等あれば七栗記念病院の緩和ケアも検討している。")</f>
        <v>肺がんの進行があり、進行に伴い身体状況の悪化、痛みの増悪等あれば七栗記念病院の緩和ケアも検討している。</v>
      </c>
      <c r="GH22" s="4">
        <f ca="1">IFERROR(__xludf.DUMMYFUNCTION("""COMPUTED_VALUE"""),30)</f>
        <v>30</v>
      </c>
      <c r="GI22" s="4"/>
    </row>
    <row r="23" spans="1:191">
      <c r="A23" s="4"/>
      <c r="B23" s="4"/>
      <c r="C23" s="4" t="str">
        <f ca="1">IFERROR(__xludf.DUMMYFUNCTION("""COMPUTED_VALUE"""),"山分　とめの")</f>
        <v>山分　とめの</v>
      </c>
      <c r="D23" s="4" t="str">
        <f ca="1">IFERROR(__xludf.DUMMYFUNCTION("""COMPUTED_VALUE"""),"db8d5cde")</f>
        <v>db8d5cde</v>
      </c>
      <c r="E23" s="4"/>
      <c r="F23" s="4"/>
      <c r="G23" s="4"/>
      <c r="H23" s="4"/>
      <c r="I23" s="5">
        <f ca="1">IFERROR(__xludf.DUMMYFUNCTION("""COMPUTED_VALUE"""),45610)</f>
        <v>45610</v>
      </c>
      <c r="J23" s="4" t="str">
        <f ca="1">IFERROR(__xludf.DUMMYFUNCTION("""COMPUTED_VALUE"""),"山川　和輝")</f>
        <v>山川　和輝</v>
      </c>
      <c r="K23" s="4" t="str">
        <f ca="1">IFERROR(__xludf.DUMMYFUNCTION("""COMPUTED_VALUE"""),"更新")</f>
        <v>更新</v>
      </c>
      <c r="L23" s="4" t="str">
        <f ca="1">IFERROR(__xludf.DUMMYFUNCTION("""COMPUTED_VALUE"""),"本人の居室")</f>
        <v>本人の居室</v>
      </c>
      <c r="M23" s="4" t="str">
        <f ca="1">IFERROR(__xludf.DUMMYFUNCTION("""COMPUTED_VALUE"""),"自宅にて独居生活。夏頃から体調を崩しがちになったり、認知症が進んでいた。令和5年10月に自宅にて転倒し、鈴鹿中央総合病院に搬送。右大腿骨頸部骨折と診断され手術を行うこととなった。令和5年11月10日にリハビリ目的で第二岩崎病院へ転院。ADL低下や認知症進行が見られる現状で自宅生活は難しいため、令和6年1月5日に安濃津ろまんへ入居することとなった。")</f>
        <v>自宅にて独居生活。夏頃から体調を崩しがちになったり、認知症が進んでいた。令和5年10月に自宅にて転倒し、鈴鹿中央総合病院に搬送。右大腿骨頸部骨折と診断され手術を行うこととなった。令和5年11月10日にリハビリ目的で第二岩崎病院へ転院。ADL低下や認知症進行が見られる現状で自宅生活は難しいため、令和6年1月5日に安濃津ろまんへ入居することとなった。</v>
      </c>
      <c r="N23" s="4" t="str">
        <f ca="1">IFERROR(__xludf.DUMMYFUNCTION("""COMPUTED_VALUE"""),"リハビリを継続して転倒せずに安心して生活したいと思っています。")</f>
        <v>リハビリを継続して転倒せずに安心して生活したいと思っています。</v>
      </c>
      <c r="O23" s="4" t="str">
        <f ca="1">IFERROR(__xludf.DUMMYFUNCTION("""COMPUTED_VALUE"""),"もう自宅での独居生活は難しいと思っています。安心できる環境で快適に生活してほしいと思っています。")</f>
        <v>もう自宅での独居生活は難しいと思っています。安心できる環境で快適に生活してほしいと思っています。</v>
      </c>
      <c r="P23" s="4"/>
      <c r="Q23" s="4" t="str">
        <f ca="1">IFERROR(__xludf.DUMMYFUNCTION("""COMPUTED_VALUE"""),"入力")</f>
        <v>入力</v>
      </c>
      <c r="R23" s="4" t="str">
        <f ca="1">IFERROR(__xludf.DUMMYFUNCTION("""COMPUTED_VALUE"""),"要介護１")</f>
        <v>要介護１</v>
      </c>
      <c r="S23" s="4" t="str">
        <f ca="1">IFERROR(__xludf.DUMMYFUNCTION("""COMPUTED_VALUE"""),"令和6年8月7日")</f>
        <v>令和6年8月7日</v>
      </c>
      <c r="T23" s="4" t="str">
        <f ca="1">IFERROR(__xludf.DUMMYFUNCTION("""COMPUTED_VALUE"""),"令和6年8月1日")</f>
        <v>令和6年8月1日</v>
      </c>
      <c r="U23" s="4" t="str">
        <f ca="1">IFERROR(__xludf.DUMMYFUNCTION("""COMPUTED_VALUE"""),"令和10年7月31日")</f>
        <v>令和10年7月31日</v>
      </c>
      <c r="V23" s="4" t="str">
        <f ca="1">IFERROR(__xludf.DUMMYFUNCTION("""COMPUTED_VALUE"""),"１割負担")</f>
        <v>１割負担</v>
      </c>
      <c r="W23" s="4" t="str">
        <f ca="1">IFERROR(__xludf.DUMMYFUNCTION("""COMPUTED_VALUE"""),"後期高齢者医療保険")</f>
        <v>後期高齢者医療保険</v>
      </c>
      <c r="X23" s="4" t="str">
        <f ca="1">IFERROR(__xludf.DUMMYFUNCTION("""COMPUTED_VALUE"""),"無")</f>
        <v>無</v>
      </c>
      <c r="Y23" s="4"/>
      <c r="Z23" s="4" t="str">
        <f ca="1">IFERROR(__xludf.DUMMYFUNCTION("""COMPUTED_VALUE"""),"無")</f>
        <v>無</v>
      </c>
      <c r="AA23" s="4" t="str">
        <f ca="1">IFERROR(__xludf.DUMMYFUNCTION("""COMPUTED_VALUE"""),"無")</f>
        <v>無</v>
      </c>
      <c r="AB23" s="4"/>
      <c r="AC23" s="4"/>
      <c r="AD23" s="4"/>
      <c r="AE23" s="4" t="str">
        <f ca="1">IFERROR(__xludf.DUMMYFUNCTION("""COMPUTED_VALUE"""),"入力")</f>
        <v>入力</v>
      </c>
      <c r="AF23" s="4" t="str">
        <f ca="1">IFERROR(__xludf.DUMMYFUNCTION("""COMPUTED_VALUE"""),"髙﨑　美樹")</f>
        <v>髙﨑　美樹</v>
      </c>
      <c r="AG23" s="4" t="str">
        <f ca="1">IFERROR(__xludf.DUMMYFUNCTION("""COMPUTED_VALUE"""),"次女")</f>
        <v>次女</v>
      </c>
      <c r="AH23" s="4"/>
      <c r="AI23" s="4" t="str">
        <f ca="1">IFERROR(__xludf.DUMMYFUNCTION("""COMPUTED_VALUE"""),"別居")</f>
        <v>別居</v>
      </c>
      <c r="AJ23" s="4" t="str">
        <f ca="1">IFERROR(__xludf.DUMMYFUNCTION("""COMPUTED_VALUE"""),"介護する")</f>
        <v>介護する</v>
      </c>
      <c r="AK23" s="4" t="str">
        <f ca="1">IFERROR(__xludf.DUMMYFUNCTION("""COMPUTED_VALUE"""),"無")</f>
        <v>無</v>
      </c>
      <c r="AL23" s="4" t="str">
        <f ca="1">IFERROR(__xludf.DUMMYFUNCTION("""COMPUTED_VALUE"""),"090-6611-1011")</f>
        <v>090-6611-1011</v>
      </c>
      <c r="AM23" s="4" t="str">
        <f ca="1">IFERROR(__xludf.DUMMYFUNCTION("""COMPUTED_VALUE"""),"津市在住。KP")</f>
        <v>津市在住。KP</v>
      </c>
      <c r="AN23" s="4" t="str">
        <f ca="1">IFERROR(__xludf.DUMMYFUNCTION("""COMPUTED_VALUE"""),"森西　アケミ")</f>
        <v>森西　アケミ</v>
      </c>
      <c r="AO23" s="4" t="str">
        <f ca="1">IFERROR(__xludf.DUMMYFUNCTION("""COMPUTED_VALUE"""),"長女")</f>
        <v>長女</v>
      </c>
      <c r="AP23" s="4"/>
      <c r="AQ23" s="4" t="str">
        <f ca="1">IFERROR(__xludf.DUMMYFUNCTION("""COMPUTED_VALUE"""),"別居")</f>
        <v>別居</v>
      </c>
      <c r="AR23" s="4" t="str">
        <f ca="1">IFERROR(__xludf.DUMMYFUNCTION("""COMPUTED_VALUE"""),"介護する")</f>
        <v>介護する</v>
      </c>
      <c r="AS23" s="4" t="str">
        <f ca="1">IFERROR(__xludf.DUMMYFUNCTION("""COMPUTED_VALUE"""),"無")</f>
        <v>無</v>
      </c>
      <c r="AT23" s="4" t="str">
        <f ca="1">IFERROR(__xludf.DUMMYFUNCTION("""COMPUTED_VALUE"""),"090-7300-7479")</f>
        <v>090-7300-7479</v>
      </c>
      <c r="AU23" s="4"/>
      <c r="AV23" s="4"/>
      <c r="AW23" s="4" t="str">
        <f ca="1">IFERROR(__xludf.DUMMYFUNCTION("""COMPUTED_VALUE"""),"入力")</f>
        <v>入力</v>
      </c>
      <c r="AX23" s="4" t="str">
        <f ca="1">IFERROR(__xludf.DUMMYFUNCTION("""COMPUTED_VALUE"""),"一人暮らし")</f>
        <v>一人暮らし</v>
      </c>
      <c r="AY23" s="4" t="str">
        <f ca="1">IFERROR(__xludf.DUMMYFUNCTION("""COMPUTED_VALUE"""),"集合住宅")</f>
        <v>集合住宅</v>
      </c>
      <c r="AZ23" s="4" t="str">
        <f ca="1">IFERROR(__xludf.DUMMYFUNCTION("""COMPUTED_VALUE"""),"エレベーター有")</f>
        <v>エレベーター有</v>
      </c>
      <c r="BA23" s="4" t="str">
        <f ca="1">IFERROR(__xludf.DUMMYFUNCTION("""COMPUTED_VALUE"""),"賃貸")</f>
        <v>賃貸</v>
      </c>
      <c r="BB23" s="4" t="str">
        <f ca="1">IFERROR(__xludf.DUMMYFUNCTION("""COMPUTED_VALUE"""),"有")</f>
        <v>有</v>
      </c>
      <c r="BC23" s="4" t="str">
        <f ca="1">IFERROR(__xludf.DUMMYFUNCTION("""COMPUTED_VALUE"""),"有")</f>
        <v>有</v>
      </c>
      <c r="BD23" s="4" t="str">
        <f ca="1">IFERROR(__xludf.DUMMYFUNCTION("""COMPUTED_VALUE"""),"洋式")</f>
        <v>洋式</v>
      </c>
      <c r="BE23" s="4" t="str">
        <f ca="1">IFERROR(__xludf.DUMMYFUNCTION("""COMPUTED_VALUE"""),"手すり有")</f>
        <v>手すり有</v>
      </c>
      <c r="BF23" s="4" t="str">
        <f ca="1">IFERROR(__xludf.DUMMYFUNCTION("""COMPUTED_VALUE"""),"段差無")</f>
        <v>段差無</v>
      </c>
      <c r="BG23" s="4" t="str">
        <f ca="1">IFERROR(__xludf.DUMMYFUNCTION("""COMPUTED_VALUE"""),"有")</f>
        <v>有</v>
      </c>
      <c r="BH23" s="4" t="str">
        <f ca="1">IFERROR(__xludf.DUMMYFUNCTION("""COMPUTED_VALUE"""),"手すり有")</f>
        <v>手すり有</v>
      </c>
      <c r="BI23" s="4" t="str">
        <f ca="1">IFERROR(__xludf.DUMMYFUNCTION("""COMPUTED_VALUE"""),"リクライニングベッド")</f>
        <v>リクライニングベッド</v>
      </c>
      <c r="BJ23" s="4" t="str">
        <f ca="1">IFERROR(__xludf.DUMMYFUNCTION("""COMPUTED_VALUE"""),"無")</f>
        <v>無</v>
      </c>
      <c r="BK23" s="4" t="str">
        <f ca="1">IFERROR(__xludf.DUMMYFUNCTION("""COMPUTED_VALUE"""),"無")</f>
        <v>無</v>
      </c>
      <c r="BL23" s="4" t="str">
        <f ca="1">IFERROR(__xludf.DUMMYFUNCTION("""COMPUTED_VALUE"""),"無")</f>
        <v>無</v>
      </c>
      <c r="BM23" s="4" t="str">
        <f ca="1">IFERROR(__xludf.DUMMYFUNCTION("""COMPUTED_VALUE"""),"無")</f>
        <v>無</v>
      </c>
      <c r="BN23" s="4"/>
      <c r="BO23" s="4" t="str">
        <f ca="1">IFERROR(__xludf.DUMMYFUNCTION("""COMPUTED_VALUE"""),"入力")</f>
        <v>入力</v>
      </c>
      <c r="BP23" s="4" t="str">
        <f ca="1">IFERROR(__xludf.DUMMYFUNCTION("""COMPUTED_VALUE"""),"訪問介護 , 訪問看護 , 通所介護")</f>
        <v>訪問介護 , 訪問看護 , 通所介護</v>
      </c>
      <c r="BQ23" s="4" t="str">
        <f ca="1">IFERROR(__xludf.DUMMYFUNCTION("""COMPUTED_VALUE"""),"手すり")</f>
        <v>手すり</v>
      </c>
      <c r="BR23" s="4" t="str">
        <f ca="1">IFERROR(__xludf.DUMMYFUNCTION("""COMPUTED_VALUE"""),"特になし")</f>
        <v>特になし</v>
      </c>
      <c r="BS23" s="4" t="str">
        <f ca="1">IFERROR(__xludf.DUMMYFUNCTION("""COMPUTED_VALUE"""),"食事支援 , 排泄支援 , リネンリース , 洗濯")</f>
        <v>食事支援 , 排泄支援 , リネンリース , 洗濯</v>
      </c>
      <c r="BT23" s="4" t="str">
        <f ca="1">IFERROR(__xludf.DUMMYFUNCTION("""COMPUTED_VALUE"""),"デイサービスで他の利用者様との交流もある。")</f>
        <v>デイサービスで他の利用者様との交流もある。</v>
      </c>
      <c r="BU23" s="4"/>
      <c r="BV23" s="4"/>
      <c r="BW23" s="4" t="str">
        <f ca="1">IFERROR(__xludf.DUMMYFUNCTION("""COMPUTED_VALUE"""),"入力")</f>
        <v>入力</v>
      </c>
      <c r="BX23" s="4" t="str">
        <f ca="1">IFERROR(__xludf.DUMMYFUNCTION("""COMPUTED_VALUE"""),"高血圧症")</f>
        <v>高血圧症</v>
      </c>
      <c r="BY23" s="4" t="str">
        <f ca="1">IFERROR(__xludf.DUMMYFUNCTION("""COMPUTED_VALUE"""),"不詳")</f>
        <v>不詳</v>
      </c>
      <c r="BZ23" s="4" t="str">
        <f ca="1">IFERROR(__xludf.DUMMYFUNCTION("""COMPUTED_VALUE"""),"アルツハイマー型認知症")</f>
        <v>アルツハイマー型認知症</v>
      </c>
      <c r="CA23" s="4" t="str">
        <f ca="1">IFERROR(__xludf.DUMMYFUNCTION("""COMPUTED_VALUE"""),"不詳")</f>
        <v>不詳</v>
      </c>
      <c r="CB23" s="4"/>
      <c r="CC23" s="4"/>
      <c r="CD23" s="4"/>
      <c r="CE23" s="4"/>
      <c r="CF23" s="4"/>
      <c r="CG23" s="4"/>
      <c r="CH23" s="4"/>
      <c r="CI23" s="4"/>
      <c r="CJ23" s="4" t="str">
        <f ca="1">IFERROR(__xludf.DUMMYFUNCTION("""COMPUTED_VALUE"""),"現在通院は行っておらず、加藤医院による往診を受けている。")</f>
        <v>現在通院は行っておらず、加藤医院による往診を受けている。</v>
      </c>
      <c r="CK23" s="4"/>
      <c r="CL23" s="4"/>
      <c r="CM23" s="4"/>
      <c r="CN23" s="4"/>
      <c r="CO23" s="4"/>
      <c r="CP23" s="4"/>
      <c r="CQ23" s="4"/>
      <c r="CR23" s="4"/>
      <c r="CS23" s="4" t="str">
        <f ca="1">IFERROR(__xludf.DUMMYFUNCTION("""COMPUTED_VALUE"""),"令和5年10月、右大腿骨頸部骨折にて人工骨頭置換術施行")</f>
        <v>令和5年10月、右大腿骨頸部骨折にて人工骨頭置換術施行</v>
      </c>
      <c r="CT23" s="4" t="str">
        <f ca="1">IFERROR(__xludf.DUMMYFUNCTION("""COMPUTED_VALUE"""),"ローレル薬局を契約し、薬局と看護師が服薬管理を行う。配薬はヘルパーで行っており、袋を開封してお渡しすると内服される。")</f>
        <v>ローレル薬局を契約し、薬局と看護師が服薬管理を行う。配薬はヘルパーで行っており、袋を開封してお渡しすると内服される。</v>
      </c>
      <c r="CU23" s="4"/>
      <c r="CV23" s="4"/>
      <c r="CW23" s="4"/>
      <c r="CX23" s="4" t="str">
        <f ca="1">IFERROR(__xludf.DUMMYFUNCTION("""COMPUTED_VALUE"""),"入力")</f>
        <v>入力</v>
      </c>
      <c r="CY23" s="4" t="str">
        <f ca="1">IFERROR(__xludf.DUMMYFUNCTION("""COMPUTED_VALUE"""),"無")</f>
        <v>無</v>
      </c>
      <c r="CZ23" s="4" t="str">
        <f ca="1">IFERROR(__xludf.DUMMYFUNCTION("""COMPUTED_VALUE"""),"無")</f>
        <v>無</v>
      </c>
      <c r="DA23" s="4" t="str">
        <f ca="1">IFERROR(__xludf.DUMMYFUNCTION("""COMPUTED_VALUE"""),"無")</f>
        <v>無</v>
      </c>
      <c r="DB23" s="4" t="str">
        <f ca="1">IFERROR(__xludf.DUMMYFUNCTION("""COMPUTED_VALUE"""),"特になし")</f>
        <v>特になし</v>
      </c>
      <c r="DC23" s="4" t="str">
        <f ca="1">IFERROR(__xludf.DUMMYFUNCTION("""COMPUTED_VALUE"""),"特になし")</f>
        <v>特になし</v>
      </c>
      <c r="DD23" s="4"/>
      <c r="DE23" s="4"/>
      <c r="DF23" s="4" t="str">
        <f ca="1">IFERROR(__xludf.DUMMYFUNCTION("""COMPUTED_VALUE"""),"大きい字は可")</f>
        <v>大きい字は可</v>
      </c>
      <c r="DG23" s="4" t="str">
        <f ca="1">IFERROR(__xludf.DUMMYFUNCTION("""COMPUTED_VALUE"""),"有")</f>
        <v>有</v>
      </c>
      <c r="DH23" s="4" t="str">
        <f ca="1">IFERROR(__xludf.DUMMYFUNCTION("""COMPUTED_VALUE"""),"大きい声は可")</f>
        <v>大きい声は可</v>
      </c>
      <c r="DI23" s="4" t="str">
        <f ca="1">IFERROR(__xludf.DUMMYFUNCTION("""COMPUTED_VALUE"""),"無")</f>
        <v>無</v>
      </c>
      <c r="DJ23" s="4" t="str">
        <f ca="1">IFERROR(__xludf.DUMMYFUNCTION("""COMPUTED_VALUE"""),"血圧は140～160台とやや高値であるが内服で安定している。食欲も良好で健康状態は良好に保たれている。
大腿部に関しては、痛みはないが脱臼リスクはあるため注意が必要である。")</f>
        <v>血圧は140～160台とやや高値であるが内服で安定している。食欲も良好で健康状態は良好に保たれている。
大腿部に関しては、痛みはないが脱臼リスクはあるため注意が必要である。</v>
      </c>
      <c r="DK23" s="4"/>
      <c r="DL23" s="4" t="str">
        <f ca="1">IFERROR(__xludf.DUMMYFUNCTION("""COMPUTED_VALUE"""),"入力")</f>
        <v>入力</v>
      </c>
      <c r="DM23" s="4" t="str">
        <f ca="1">IFERROR(__xludf.DUMMYFUNCTION("""COMPUTED_VALUE"""),"有")</f>
        <v>有</v>
      </c>
      <c r="DN23" s="4" t="str">
        <f ca="1">IFERROR(__xludf.DUMMYFUNCTION("""COMPUTED_VALUE"""),"軽度")</f>
        <v>軽度</v>
      </c>
      <c r="DO23" s="4" t="str">
        <f ca="1">IFERROR(__xludf.DUMMYFUNCTION("""COMPUTED_VALUE"""),"無")</f>
        <v>無</v>
      </c>
      <c r="DP23" s="4" t="str">
        <f ca="1">IFERROR(__xludf.DUMMYFUNCTION("""COMPUTED_VALUE"""),"可能")</f>
        <v>可能</v>
      </c>
      <c r="DQ23" s="4" t="str">
        <f ca="1">IFERROR(__xludf.DUMMYFUNCTION("""COMPUTED_VALUE"""),"可能")</f>
        <v>可能</v>
      </c>
      <c r="DR23" s="4" t="str">
        <f ca="1">IFERROR(__xludf.DUMMYFUNCTION("""COMPUTED_VALUE"""),"アルツハイマー型認知症の診断はあるものの、日常生活に支障が出るほどではない。")</f>
        <v>アルツハイマー型認知症の診断はあるものの、日常生活に支障が出るほどではない。</v>
      </c>
      <c r="DS23" s="4"/>
      <c r="DT23" s="4"/>
      <c r="DU23" s="4" t="str">
        <f ca="1">IFERROR(__xludf.DUMMYFUNCTION("""COMPUTED_VALUE"""),"入力")</f>
        <v>入力</v>
      </c>
      <c r="DV23" s="4" t="str">
        <f ca="1">IFERROR(__xludf.DUMMYFUNCTION("""COMPUTED_VALUE"""),"何かにつかまればできる")</f>
        <v>何かにつかまればできる</v>
      </c>
      <c r="DW23" s="4" t="str">
        <f ca="1">IFERROR(__xludf.DUMMYFUNCTION("""COMPUTED_VALUE"""),"何かにつかまればできる")</f>
        <v>何かにつかまればできる</v>
      </c>
      <c r="DX23" s="4" t="str">
        <f ca="1">IFERROR(__xludf.DUMMYFUNCTION("""COMPUTED_VALUE"""),"自分の手で支えればできる")</f>
        <v>自分の手で支えればできる</v>
      </c>
      <c r="DY23" s="4" t="str">
        <f ca="1">IFERROR(__xludf.DUMMYFUNCTION("""COMPUTED_VALUE"""),"何かにつかまればできる")</f>
        <v>何かにつかまればできる</v>
      </c>
      <c r="DZ23" s="4" t="str">
        <f ca="1">IFERROR(__xludf.DUMMYFUNCTION("""COMPUTED_VALUE"""),"何か支えがあればできる")</f>
        <v>何か支えがあればできる</v>
      </c>
      <c r="EA23" s="4" t="str">
        <f ca="1">IFERROR(__xludf.DUMMYFUNCTION("""COMPUTED_VALUE"""),"自立")</f>
        <v>自立</v>
      </c>
      <c r="EB23" s="4" t="str">
        <f ca="1">IFERROR(__xludf.DUMMYFUNCTION("""COMPUTED_VALUE"""),"自立")</f>
        <v>自立</v>
      </c>
      <c r="EC23" s="4" t="str">
        <f ca="1">IFERROR(__xludf.DUMMYFUNCTION("""COMPUTED_VALUE"""),"歩行器")</f>
        <v>歩行器</v>
      </c>
      <c r="ED23" s="4" t="str">
        <f ca="1">IFERROR(__xludf.DUMMYFUNCTION("""COMPUTED_VALUE"""),"一部介助")</f>
        <v>一部介助</v>
      </c>
      <c r="EE23" s="4" t="str">
        <f ca="1">IFERROR(__xludf.DUMMYFUNCTION("""COMPUTED_VALUE"""),"歩行器")</f>
        <v>歩行器</v>
      </c>
      <c r="EF23" s="4" t="str">
        <f ca="1">IFERROR(__xludf.DUMMYFUNCTION("""COMPUTED_VALUE"""),"起居動作は何かにつかまることで安定してご自身で行うことが可能。移動は室内であれば独歩でも可能。廊下等、長い距離を移動する際はきちんとシルバーカーを用いられる。
現在の身体機能維持のためにリハビリを受けている。")</f>
        <v>起居動作は何かにつかまることで安定してご自身で行うことが可能。移動は室内であれば独歩でも可能。廊下等、長い距離を移動する際はきちんとシルバーカーを用いられる。
現在の身体機能維持のためにリハビリを受けている。</v>
      </c>
      <c r="EG23" s="4"/>
      <c r="EH23" s="4" t="str">
        <f ca="1">IFERROR(__xludf.DUMMYFUNCTION("""COMPUTED_VALUE"""),"入力")</f>
        <v>入力</v>
      </c>
      <c r="EI23" s="4" t="str">
        <f ca="1">IFERROR(__xludf.DUMMYFUNCTION("""COMPUTED_VALUE"""),"入力")</f>
        <v>入力</v>
      </c>
      <c r="EJ23" s="4" t="str">
        <f ca="1">IFERROR(__xludf.DUMMYFUNCTION("""COMPUTED_VALUE"""),"経口摂取")</f>
        <v>経口摂取</v>
      </c>
      <c r="EK23" s="4" t="str">
        <f ca="1">IFERROR(__xludf.DUMMYFUNCTION("""COMPUTED_VALUE"""),"自立")</f>
        <v>自立</v>
      </c>
      <c r="EL23" s="4" t="str">
        <f ca="1">IFERROR(__xludf.DUMMYFUNCTION("""COMPUTED_VALUE"""),"できる")</f>
        <v>できる</v>
      </c>
      <c r="EM23" s="4" t="str">
        <f ca="1">IFERROR(__xludf.DUMMYFUNCTION("""COMPUTED_VALUE"""),"軟飯")</f>
        <v>軟飯</v>
      </c>
      <c r="EN23" s="4" t="str">
        <f ca="1">IFERROR(__xludf.DUMMYFUNCTION("""COMPUTED_VALUE"""),"一口大")</f>
        <v>一口大</v>
      </c>
      <c r="EO23" s="4" t="str">
        <f ca="1">IFERROR(__xludf.DUMMYFUNCTION("""COMPUTED_VALUE"""),"無")</f>
        <v>無</v>
      </c>
      <c r="EP23" s="4" t="str">
        <f ca="1">IFERROR(__xludf.DUMMYFUNCTION("""COMPUTED_VALUE"""),"無")</f>
        <v>無</v>
      </c>
      <c r="EQ23" s="4" t="str">
        <f ca="1">IFERROR(__xludf.DUMMYFUNCTION("""COMPUTED_VALUE"""),"箸 , スプーン")</f>
        <v>箸 , スプーン</v>
      </c>
      <c r="ER23" s="4" t="str">
        <f ca="1">IFERROR(__xludf.DUMMYFUNCTION("""COMPUTED_VALUE"""),"食事に関しては特に問題は見られない。")</f>
        <v>食事に関しては特に問題は見られない。</v>
      </c>
      <c r="ES23" s="4"/>
      <c r="ET23" s="4" t="str">
        <f ca="1">IFERROR(__xludf.DUMMYFUNCTION("""COMPUTED_VALUE"""),"入力")</f>
        <v>入力</v>
      </c>
      <c r="EU23" s="4" t="str">
        <f ca="1">IFERROR(__xludf.DUMMYFUNCTION("""COMPUTED_VALUE"""),"自立")</f>
        <v>自立</v>
      </c>
      <c r="EV23" s="4" t="str">
        <f ca="1">IFERROR(__xludf.DUMMYFUNCTION("""COMPUTED_VALUE"""),"有")</f>
        <v>有</v>
      </c>
      <c r="EW23" s="4"/>
      <c r="EX23" s="4"/>
      <c r="EY23" s="4"/>
      <c r="EZ23" s="4" t="str">
        <f ca="1">IFERROR(__xludf.DUMMYFUNCTION("""COMPUTED_VALUE"""),"口腔衛生に関しては、ご自身で歯みがきを行っており、現状特に問題は見られていない。")</f>
        <v>口腔衛生に関しては、ご自身で歯みがきを行っており、現状特に問題は見られていない。</v>
      </c>
      <c r="FA23" s="4"/>
      <c r="FB23" s="4" t="str">
        <f ca="1">IFERROR(__xludf.DUMMYFUNCTION("""COMPUTED_VALUE"""),"入力")</f>
        <v>入力</v>
      </c>
      <c r="FC23" s="4" t="str">
        <f ca="1">IFERROR(__xludf.DUMMYFUNCTION("""COMPUTED_VALUE"""),"一部介助")</f>
        <v>一部介助</v>
      </c>
      <c r="FD23" s="4" t="str">
        <f ca="1">IFERROR(__xludf.DUMMYFUNCTION("""COMPUTED_VALUE"""),"チェアー浴")</f>
        <v>チェアー浴</v>
      </c>
      <c r="FE23" s="4" t="str">
        <f ca="1">IFERROR(__xludf.DUMMYFUNCTION("""COMPUTED_VALUE"""),"無")</f>
        <v>無</v>
      </c>
      <c r="FF23" s="4"/>
      <c r="FG23" s="4" t="str">
        <f ca="1">IFERROR(__xludf.DUMMYFUNCTION("""COMPUTED_VALUE"""),"見守り")</f>
        <v>見守り</v>
      </c>
      <c r="FH23" s="4" t="str">
        <f ca="1">IFERROR(__xludf.DUMMYFUNCTION("""COMPUTED_VALUE"""),"一部介助")</f>
        <v>一部介助</v>
      </c>
      <c r="FI23" s="4" t="str">
        <f ca="1">IFERROR(__xludf.DUMMYFUNCTION("""COMPUTED_VALUE"""),"入浴はデイサービス利用時に大浴場にて入浴を行っている。背中や足もとなどご自身で洗えない部分については介助を要しているが、概ねご自身で洗身される。
更衣の上衣は見守りで可能も、下衣は転倒防止のため介助を行っている。")</f>
        <v>入浴はデイサービス利用時に大浴場にて入浴を行っている。背中や足もとなどご自身で洗えない部分については介助を要しているが、概ねご自身で洗身される。
更衣の上衣は見守りで可能も、下衣は転倒防止のため介助を行っている。</v>
      </c>
      <c r="FJ23" s="4"/>
      <c r="FK23" s="4" t="str">
        <f ca="1">IFERROR(__xludf.DUMMYFUNCTION("""COMPUTED_VALUE"""),"入力")</f>
        <v>入力</v>
      </c>
      <c r="FL23" s="4" t="str">
        <f ca="1">IFERROR(__xludf.DUMMYFUNCTION("""COMPUTED_VALUE"""),"自立")</f>
        <v>自立</v>
      </c>
      <c r="FM23" s="4" t="str">
        <f ca="1">IFERROR(__xludf.DUMMYFUNCTION("""COMPUTED_VALUE"""),"有")</f>
        <v>有</v>
      </c>
      <c r="FN23" s="4" t="str">
        <f ca="1">IFERROR(__xludf.DUMMYFUNCTION("""COMPUTED_VALUE"""),"有")</f>
        <v>有</v>
      </c>
      <c r="FO23" s="4" t="str">
        <f ca="1">IFERROR(__xludf.DUMMYFUNCTION("""COMPUTED_VALUE"""),"有")</f>
        <v>有</v>
      </c>
      <c r="FP23" s="4" t="str">
        <f ca="1">IFERROR(__xludf.DUMMYFUNCTION("""COMPUTED_VALUE"""),"無")</f>
        <v>無</v>
      </c>
      <c r="FQ23" s="4"/>
      <c r="FR23" s="4" t="str">
        <f ca="1">IFERROR(__xludf.DUMMYFUNCTION("""COMPUTED_VALUE"""),"トイレ")</f>
        <v>トイレ</v>
      </c>
      <c r="FS23" s="4" t="str">
        <f ca="1">IFERROR(__xludf.DUMMYFUNCTION("""COMPUTED_VALUE"""),"トイレ")</f>
        <v>トイレ</v>
      </c>
      <c r="FT23" s="4" t="str">
        <f ca="1">IFERROR(__xludf.DUMMYFUNCTION("""COMPUTED_VALUE"""),"リハビリパンツ")</f>
        <v>リハビリパンツ</v>
      </c>
      <c r="FU23" s="4" t="str">
        <f ca="1">IFERROR(__xludf.DUMMYFUNCTION("""COMPUTED_VALUE"""),"排泄はご自身で居室内にあるトイレを使用される。時折尿失禁はあるもののご自身で交換される。
ベッドまで汚染されることはほとんどない。")</f>
        <v>排泄はご自身で居室内にあるトイレを使用される。時折尿失禁はあるもののご自身で交換される。
ベッドまで汚染されることはほとんどない。</v>
      </c>
      <c r="FV23" s="4"/>
      <c r="FW23" s="4"/>
      <c r="FX23" s="4" t="str">
        <f ca="1">IFERROR(__xludf.DUMMYFUNCTION("""COMPUTED_VALUE"""),"入力")</f>
        <v>入力</v>
      </c>
      <c r="FY23" s="4" t="str">
        <f ca="1">IFERROR(__xludf.DUMMYFUNCTION("""COMPUTED_VALUE"""),"全介助")</f>
        <v>全介助</v>
      </c>
      <c r="FZ23" s="4" t="str">
        <f ca="1">IFERROR(__xludf.DUMMYFUNCTION("""COMPUTED_VALUE"""),"全介助")</f>
        <v>全介助</v>
      </c>
      <c r="GA23" s="4" t="str">
        <f ca="1">IFERROR(__xludf.DUMMYFUNCTION("""COMPUTED_VALUE"""),"全介助")</f>
        <v>全介助</v>
      </c>
      <c r="GB23" s="4" t="str">
        <f ca="1">IFERROR(__xludf.DUMMYFUNCTION("""COMPUTED_VALUE"""),"全介助")</f>
        <v>全介助</v>
      </c>
      <c r="GC23" s="4" t="str">
        <f ca="1">IFERROR(__xludf.DUMMYFUNCTION("""COMPUTED_VALUE"""),"全介助")</f>
        <v>全介助</v>
      </c>
      <c r="GD23" s="4" t="str">
        <f ca="1">IFERROR(__xludf.DUMMYFUNCTION("""COMPUTED_VALUE"""),"IADLはご家族様や施設サービスを利用している。")</f>
        <v>IADLはご家族様や施設サービスを利用している。</v>
      </c>
      <c r="GE23" s="4"/>
      <c r="GF23" s="4"/>
      <c r="GG23" s="4" t="str">
        <f ca="1">IFERROR(__xludf.DUMMYFUNCTION("""COMPUTED_VALUE"""),"特になし")</f>
        <v>特になし</v>
      </c>
      <c r="GH23" s="4">
        <f ca="1">IFERROR(__xludf.DUMMYFUNCTION("""COMPUTED_VALUE"""),30)</f>
        <v>30</v>
      </c>
      <c r="GI23" s="4"/>
    </row>
    <row r="24" spans="1:191">
      <c r="A24" s="4"/>
      <c r="B24" s="4"/>
      <c r="C24" s="4" t="str">
        <f ca="1">IFERROR(__xludf.DUMMYFUNCTION("""COMPUTED_VALUE"""),"中村　あゑ子")</f>
        <v>中村　あゑ子</v>
      </c>
      <c r="D24" s="4" t="str">
        <f ca="1">IFERROR(__xludf.DUMMYFUNCTION("""COMPUTED_VALUE"""),"892157f4")</f>
        <v>892157f4</v>
      </c>
      <c r="E24" s="4"/>
      <c r="F24" s="4"/>
      <c r="G24" s="4"/>
      <c r="H24" s="4"/>
      <c r="I24" s="5">
        <f ca="1">IFERROR(__xludf.DUMMYFUNCTION("""COMPUTED_VALUE"""),45613)</f>
        <v>45613</v>
      </c>
      <c r="J24" s="4" t="str">
        <f ca="1">IFERROR(__xludf.DUMMYFUNCTION("""COMPUTED_VALUE"""),"山川　和輝")</f>
        <v>山川　和輝</v>
      </c>
      <c r="K24" s="4" t="str">
        <f ca="1">IFERROR(__xludf.DUMMYFUNCTION("""COMPUTED_VALUE"""),"退院")</f>
        <v>退院</v>
      </c>
      <c r="L24" s="4" t="str">
        <f ca="1">IFERROR(__xludf.DUMMYFUNCTION("""COMPUTED_VALUE"""),"本人の居室")</f>
        <v>本人の居室</v>
      </c>
      <c r="M24" s="4" t="str">
        <f ca="1">IFERROR(__xludf.DUMMYFUNCTION("""COMPUTED_VALUE"""),"青森県に生まれ、高校卒業後東京で看護師見習いとして就職。その後、事務職をされていた。ご主人と結婚後、平成元年まで津市に住み、津商業高校で事務職として働き、その後名古屋へ転居しご主人と2人暮らしされていた。令和元年6月にご主人が末期がんで七栗記念病院に入院し、それに伴い名古屋での暮らしができないため昭和ろまんのショートステイを利用されていた。利用中の令和元年9月にご主人が亡くなり昭和ろまんに入居。その後安濃津ろまんへ入居となった。")</f>
        <v>青森県に生まれ、高校卒業後東京で看護師見習いとして就職。その後、事務職をされていた。ご主人と結婚後、平成元年まで津市に住み、津商業高校で事務職として働き、その後名古屋へ転居しご主人と2人暮らしされていた。令和元年6月にご主人が末期がんで七栗記念病院に入院し、それに伴い名古屋での暮らしができないため昭和ろまんのショートステイを利用されていた。利用中の令和元年9月にご主人が亡くなり昭和ろまんに入居。その後安濃津ろまんへ入居となった。</v>
      </c>
      <c r="N24" s="4" t="str">
        <f ca="1">IFERROR(__xludf.DUMMYFUNCTION("""COMPUTED_VALUE"""),"いつまでも健康で活気のある生活をし続けたいです。")</f>
        <v>いつまでも健康で活気のある生活をし続けたいです。</v>
      </c>
      <c r="O24" s="4" t="str">
        <f ca="1">IFERROR(__xludf.DUMMYFUNCTION("""COMPUTED_VALUE"""),"自宅での生活は無理なので、施設で安心して生活してほしいと思っています。")</f>
        <v>自宅での生活は無理なので、施設で安心して生活してほしいと思っています。</v>
      </c>
      <c r="P24" s="4"/>
      <c r="Q24" s="4" t="str">
        <f ca="1">IFERROR(__xludf.DUMMYFUNCTION("""COMPUTED_VALUE"""),"入力")</f>
        <v>入力</v>
      </c>
      <c r="R24" s="4" t="str">
        <f ca="1">IFERROR(__xludf.DUMMYFUNCTION("""COMPUTED_VALUE"""),"要介護２")</f>
        <v>要介護２</v>
      </c>
      <c r="S24" s="4" t="str">
        <f ca="1">IFERROR(__xludf.DUMMYFUNCTION("""COMPUTED_VALUE"""),"令和6年4月2日")</f>
        <v>令和6年4月2日</v>
      </c>
      <c r="T24" s="4" t="str">
        <f ca="1">IFERROR(__xludf.DUMMYFUNCTION("""COMPUTED_VALUE"""),"令和6年3月1日")</f>
        <v>令和6年3月1日</v>
      </c>
      <c r="U24" s="4" t="str">
        <f ca="1">IFERROR(__xludf.DUMMYFUNCTION("""COMPUTED_VALUE"""),"令和8年2月28日")</f>
        <v>令和8年2月28日</v>
      </c>
      <c r="V24" s="4" t="str">
        <f ca="1">IFERROR(__xludf.DUMMYFUNCTION("""COMPUTED_VALUE"""),"１割負担")</f>
        <v>１割負担</v>
      </c>
      <c r="W24" s="4" t="str">
        <f ca="1">IFERROR(__xludf.DUMMYFUNCTION("""COMPUTED_VALUE"""),"後期高齢者医療保険")</f>
        <v>後期高齢者医療保険</v>
      </c>
      <c r="X24" s="4" t="str">
        <f ca="1">IFERROR(__xludf.DUMMYFUNCTION("""COMPUTED_VALUE"""),"無")</f>
        <v>無</v>
      </c>
      <c r="Y24" s="4"/>
      <c r="Z24" s="4" t="str">
        <f ca="1">IFERROR(__xludf.DUMMYFUNCTION("""COMPUTED_VALUE"""),"無")</f>
        <v>無</v>
      </c>
      <c r="AA24" s="4" t="str">
        <f ca="1">IFERROR(__xludf.DUMMYFUNCTION("""COMPUTED_VALUE"""),"無")</f>
        <v>無</v>
      </c>
      <c r="AB24" s="4" t="str">
        <f ca="1">IFERROR(__xludf.DUMMYFUNCTION("""COMPUTED_VALUE"""),"A2")</f>
        <v>A2</v>
      </c>
      <c r="AC24" s="4" t="str">
        <f ca="1">IFERROR(__xludf.DUMMYFUNCTION("""COMPUTED_VALUE"""),"Ⅱb")</f>
        <v>Ⅱb</v>
      </c>
      <c r="AD24" s="4"/>
      <c r="AE24" s="4" t="str">
        <f ca="1">IFERROR(__xludf.DUMMYFUNCTION("""COMPUTED_VALUE"""),"入力")</f>
        <v>入力</v>
      </c>
      <c r="AF24" s="4" t="str">
        <f ca="1">IFERROR(__xludf.DUMMYFUNCTION("""COMPUTED_VALUE"""),"中村　みち")</f>
        <v>中村　みち</v>
      </c>
      <c r="AG24" s="4" t="str">
        <f ca="1">IFERROR(__xludf.DUMMYFUNCTION("""COMPUTED_VALUE"""),"長男の嫁")</f>
        <v>長男の嫁</v>
      </c>
      <c r="AH24" s="4"/>
      <c r="AI24" s="4" t="str">
        <f ca="1">IFERROR(__xludf.DUMMYFUNCTION("""COMPUTED_VALUE"""),"別居")</f>
        <v>別居</v>
      </c>
      <c r="AJ24" s="4" t="str">
        <f ca="1">IFERROR(__xludf.DUMMYFUNCTION("""COMPUTED_VALUE"""),"介護する")</f>
        <v>介護する</v>
      </c>
      <c r="AK24" s="4" t="str">
        <f ca="1">IFERROR(__xludf.DUMMYFUNCTION("""COMPUTED_VALUE"""),"無")</f>
        <v>無</v>
      </c>
      <c r="AL24" s="4" t="str">
        <f ca="1">IFERROR(__xludf.DUMMYFUNCTION("""COMPUTED_VALUE"""),"090-5611-3408")</f>
        <v>090-5611-3408</v>
      </c>
      <c r="AM24" s="4" t="str">
        <f ca="1">IFERROR(__xludf.DUMMYFUNCTION("""COMPUTED_VALUE"""),"KP")</f>
        <v>KP</v>
      </c>
      <c r="AN24" s="4" t="str">
        <f ca="1">IFERROR(__xludf.DUMMYFUNCTION("""COMPUTED_VALUE"""),"中村　哲郎")</f>
        <v>中村　哲郎</v>
      </c>
      <c r="AO24" s="4" t="str">
        <f ca="1">IFERROR(__xludf.DUMMYFUNCTION("""COMPUTED_VALUE"""),"長男")</f>
        <v>長男</v>
      </c>
      <c r="AP24" s="4"/>
      <c r="AQ24" s="4" t="str">
        <f ca="1">IFERROR(__xludf.DUMMYFUNCTION("""COMPUTED_VALUE"""),"別居")</f>
        <v>別居</v>
      </c>
      <c r="AR24" s="4" t="str">
        <f ca="1">IFERROR(__xludf.DUMMYFUNCTION("""COMPUTED_VALUE"""),"介護しない")</f>
        <v>介護しない</v>
      </c>
      <c r="AS24" s="4" t="str">
        <f ca="1">IFERROR(__xludf.DUMMYFUNCTION("""COMPUTED_VALUE"""),"有")</f>
        <v>有</v>
      </c>
      <c r="AT24" s="4" t="str">
        <f ca="1">IFERROR(__xludf.DUMMYFUNCTION("""COMPUTED_VALUE"""),"090-4114-8174")</f>
        <v>090-4114-8174</v>
      </c>
      <c r="AU24" s="4"/>
      <c r="AV24" s="4"/>
      <c r="AW24" s="4" t="str">
        <f ca="1">IFERROR(__xludf.DUMMYFUNCTION("""COMPUTED_VALUE"""),"入力")</f>
        <v>入力</v>
      </c>
      <c r="AX24" s="4" t="str">
        <f ca="1">IFERROR(__xludf.DUMMYFUNCTION("""COMPUTED_VALUE"""),"一人暮らし")</f>
        <v>一人暮らし</v>
      </c>
      <c r="AY24" s="4" t="str">
        <f ca="1">IFERROR(__xludf.DUMMYFUNCTION("""COMPUTED_VALUE"""),"集合住宅")</f>
        <v>集合住宅</v>
      </c>
      <c r="AZ24" s="4" t="str">
        <f ca="1">IFERROR(__xludf.DUMMYFUNCTION("""COMPUTED_VALUE"""),"エレベーター有")</f>
        <v>エレベーター有</v>
      </c>
      <c r="BA24" s="4" t="str">
        <f ca="1">IFERROR(__xludf.DUMMYFUNCTION("""COMPUTED_VALUE"""),"賃貸")</f>
        <v>賃貸</v>
      </c>
      <c r="BB24" s="4" t="str">
        <f ca="1">IFERROR(__xludf.DUMMYFUNCTION("""COMPUTED_VALUE"""),"有")</f>
        <v>有</v>
      </c>
      <c r="BC24" s="4" t="str">
        <f ca="1">IFERROR(__xludf.DUMMYFUNCTION("""COMPUTED_VALUE"""),"有")</f>
        <v>有</v>
      </c>
      <c r="BD24" s="4" t="str">
        <f ca="1">IFERROR(__xludf.DUMMYFUNCTION("""COMPUTED_VALUE"""),"洋式")</f>
        <v>洋式</v>
      </c>
      <c r="BE24" s="4" t="str">
        <f ca="1">IFERROR(__xludf.DUMMYFUNCTION("""COMPUTED_VALUE"""),"手すり有")</f>
        <v>手すり有</v>
      </c>
      <c r="BF24" s="4" t="str">
        <f ca="1">IFERROR(__xludf.DUMMYFUNCTION("""COMPUTED_VALUE"""),"段差無")</f>
        <v>段差無</v>
      </c>
      <c r="BG24" s="4" t="str">
        <f ca="1">IFERROR(__xludf.DUMMYFUNCTION("""COMPUTED_VALUE"""),"無")</f>
        <v>無</v>
      </c>
      <c r="BH24" s="4"/>
      <c r="BI24" s="4" t="str">
        <f ca="1">IFERROR(__xludf.DUMMYFUNCTION("""COMPUTED_VALUE"""),"リクライニングベッド")</f>
        <v>リクライニングベッド</v>
      </c>
      <c r="BJ24" s="4" t="str">
        <f ca="1">IFERROR(__xludf.DUMMYFUNCTION("""COMPUTED_VALUE"""),"無")</f>
        <v>無</v>
      </c>
      <c r="BK24" s="4" t="str">
        <f ca="1">IFERROR(__xludf.DUMMYFUNCTION("""COMPUTED_VALUE"""),"無")</f>
        <v>無</v>
      </c>
      <c r="BL24" s="4" t="str">
        <f ca="1">IFERROR(__xludf.DUMMYFUNCTION("""COMPUTED_VALUE"""),"無")</f>
        <v>無</v>
      </c>
      <c r="BM24" s="4" t="str">
        <f ca="1">IFERROR(__xludf.DUMMYFUNCTION("""COMPUTED_VALUE"""),"無")</f>
        <v>無</v>
      </c>
      <c r="BN24" s="4"/>
      <c r="BO24" s="4" t="str">
        <f ca="1">IFERROR(__xludf.DUMMYFUNCTION("""COMPUTED_VALUE"""),"入力")</f>
        <v>入力</v>
      </c>
      <c r="BP24" s="4" t="str">
        <f ca="1">IFERROR(__xludf.DUMMYFUNCTION("""COMPUTED_VALUE"""),"訪問介護 , 訪問看護 , 通所介護")</f>
        <v>訪問介護 , 訪問看護 , 通所介護</v>
      </c>
      <c r="BQ24" s="4" t="str">
        <f ca="1">IFERROR(__xludf.DUMMYFUNCTION("""COMPUTED_VALUE"""),"特殊寝台 , 特殊寝台付属品")</f>
        <v>特殊寝台 , 特殊寝台付属品</v>
      </c>
      <c r="BR24" s="4" t="str">
        <f ca="1">IFERROR(__xludf.DUMMYFUNCTION("""COMPUTED_VALUE"""),"特になし")</f>
        <v>特になし</v>
      </c>
      <c r="BS24" s="4" t="str">
        <f ca="1">IFERROR(__xludf.DUMMYFUNCTION("""COMPUTED_VALUE"""),"食事支援 , 排泄支援 , リネンリース , 洗濯")</f>
        <v>食事支援 , 排泄支援 , リネンリース , 洗濯</v>
      </c>
      <c r="BT24" s="4" t="str">
        <f ca="1">IFERROR(__xludf.DUMMYFUNCTION("""COMPUTED_VALUE"""),"他利用者様とトラブルになることも多くある。詳細は認知機能面で記載。")</f>
        <v>他利用者様とトラブルになることも多くある。詳細は認知機能面で記載。</v>
      </c>
      <c r="BU24" s="4"/>
      <c r="BV24" s="4"/>
      <c r="BW24" s="4" t="str">
        <f ca="1">IFERROR(__xludf.DUMMYFUNCTION("""COMPUTED_VALUE"""),"入力")</f>
        <v>入力</v>
      </c>
      <c r="BX24" s="4" t="str">
        <f ca="1">IFERROR(__xludf.DUMMYFUNCTION("""COMPUTED_VALUE"""),"肺炎、心不全")</f>
        <v>肺炎、心不全</v>
      </c>
      <c r="BY24" s="4" t="str">
        <f ca="1">IFERROR(__xludf.DUMMYFUNCTION("""COMPUTED_VALUE"""),"令和6年11月2日")</f>
        <v>令和6年11月2日</v>
      </c>
      <c r="BZ24" s="4" t="str">
        <f ca="1">IFERROR(__xludf.DUMMYFUNCTION("""COMPUTED_VALUE"""),"アルツハイマー型認知症")</f>
        <v>アルツハイマー型認知症</v>
      </c>
      <c r="CA24" s="4" t="str">
        <f ca="1">IFERROR(__xludf.DUMMYFUNCTION("""COMPUTED_VALUE"""),"不詳")</f>
        <v>不詳</v>
      </c>
      <c r="CB24" s="4"/>
      <c r="CC24" s="4"/>
      <c r="CD24" s="4"/>
      <c r="CE24" s="4"/>
      <c r="CF24" s="4"/>
      <c r="CG24" s="4"/>
      <c r="CH24" s="4"/>
      <c r="CI24" s="4"/>
      <c r="CJ24" s="4" t="str">
        <f ca="1">IFERROR(__xludf.DUMMYFUNCTION("""COMPUTED_VALUE"""),"現在通院は行っておらず、加藤医院による往診を受けている。")</f>
        <v>現在通院は行っておらず、加藤医院による往診を受けている。</v>
      </c>
      <c r="CK24" s="4"/>
      <c r="CL24" s="4"/>
      <c r="CM24" s="4"/>
      <c r="CN24" s="4"/>
      <c r="CO24" s="4"/>
      <c r="CP24" s="4"/>
      <c r="CQ24" s="4"/>
      <c r="CR24" s="4"/>
      <c r="CS24" s="4" t="str">
        <f ca="1">IFERROR(__xludf.DUMMYFUNCTION("""COMPUTED_VALUE"""),"時期は不詳であるが、心房細動や脂質異常症がある。")</f>
        <v>時期は不詳であるが、心房細動や脂質異常症がある。</v>
      </c>
      <c r="CT24" s="4" t="str">
        <f ca="1">IFERROR(__xludf.DUMMYFUNCTION("""COMPUTED_VALUE"""),"ローレル薬局契約しており、薬局と施設看護師が服薬管理を行っている。内服は袋を開封し薬を手渡ししている。")</f>
        <v>ローレル薬局契約しており、薬局と施設看護師が服薬管理を行っている。内服は袋を開封し薬を手渡ししている。</v>
      </c>
      <c r="CU24" s="4"/>
      <c r="CV24" s="4"/>
      <c r="CW24" s="4"/>
      <c r="CX24" s="4" t="str">
        <f ca="1">IFERROR(__xludf.DUMMYFUNCTION("""COMPUTED_VALUE"""),"入力")</f>
        <v>入力</v>
      </c>
      <c r="CY24" s="4" t="str">
        <f ca="1">IFERROR(__xludf.DUMMYFUNCTION("""COMPUTED_VALUE"""),"無")</f>
        <v>無</v>
      </c>
      <c r="CZ24" s="4" t="str">
        <f ca="1">IFERROR(__xludf.DUMMYFUNCTION("""COMPUTED_VALUE"""),"無")</f>
        <v>無</v>
      </c>
      <c r="DA24" s="4" t="str">
        <f ca="1">IFERROR(__xludf.DUMMYFUNCTION("""COMPUTED_VALUE"""),"無")</f>
        <v>無</v>
      </c>
      <c r="DB24" s="4" t="str">
        <f ca="1">IFERROR(__xludf.DUMMYFUNCTION("""COMPUTED_VALUE"""),"特になし")</f>
        <v>特になし</v>
      </c>
      <c r="DC24" s="4" t="str">
        <f ca="1">IFERROR(__xludf.DUMMYFUNCTION("""COMPUTED_VALUE"""),"特になし")</f>
        <v>特になし</v>
      </c>
      <c r="DD24" s="4"/>
      <c r="DE24" s="4"/>
      <c r="DF24" s="4" t="str">
        <f ca="1">IFERROR(__xludf.DUMMYFUNCTION("""COMPUTED_VALUE"""),"正常")</f>
        <v>正常</v>
      </c>
      <c r="DG24" s="4" t="str">
        <f ca="1">IFERROR(__xludf.DUMMYFUNCTION("""COMPUTED_VALUE"""),"有")</f>
        <v>有</v>
      </c>
      <c r="DH24" s="4" t="str">
        <f ca="1">IFERROR(__xludf.DUMMYFUNCTION("""COMPUTED_VALUE"""),"正常")</f>
        <v>正常</v>
      </c>
      <c r="DI24" s="4" t="str">
        <f ca="1">IFERROR(__xludf.DUMMYFUNCTION("""COMPUTED_VALUE"""),"無")</f>
        <v>無</v>
      </c>
      <c r="DJ24" s="4" t="str">
        <f ca="1">IFERROR(__xludf.DUMMYFUNCTION("""COMPUTED_VALUE"""),"令和6年11月2日に酸素飽和度77％と低値でぐったりされていたため三重中央医療センターに搬送。肺炎、心不全の診断となり状態が落ち着いたため11月15日に安濃津ろまんへ再入居となった。
その他、アルツハイマー型認知症、脂質異常症、心房細動があり、定期的な往診を受けている。服薬管理はできないため、施設管理となっている。")</f>
        <v>令和6年11月2日に酸素飽和度77％と低値でぐったりされていたため三重中央医療センターに搬送。肺炎、心不全の診断となり状態が落ち着いたため11月15日に安濃津ろまんへ再入居となった。
その他、アルツハイマー型認知症、脂質異常症、心房細動があり、定期的な往診を受けている。服薬管理はできないため、施設管理となっている。</v>
      </c>
      <c r="DK24" s="4"/>
      <c r="DL24" s="4" t="str">
        <f ca="1">IFERROR(__xludf.DUMMYFUNCTION("""COMPUTED_VALUE"""),"入力")</f>
        <v>入力</v>
      </c>
      <c r="DM24" s="4" t="str">
        <f ca="1">IFERROR(__xludf.DUMMYFUNCTION("""COMPUTED_VALUE"""),"有")</f>
        <v>有</v>
      </c>
      <c r="DN24" s="4" t="str">
        <f ca="1">IFERROR(__xludf.DUMMYFUNCTION("""COMPUTED_VALUE"""),"中等度")</f>
        <v>中等度</v>
      </c>
      <c r="DO24" s="4" t="str">
        <f ca="1">IFERROR(__xludf.DUMMYFUNCTION("""COMPUTED_VALUE"""),"被害妄想 , 大声・奇声 , 暴力 , 暴言 , 不穏")</f>
        <v>被害妄想 , 大声・奇声 , 暴力 , 暴言 , 不穏</v>
      </c>
      <c r="DP24" s="4" t="str">
        <f ca="1">IFERROR(__xludf.DUMMYFUNCTION("""COMPUTED_VALUE"""),"可能")</f>
        <v>可能</v>
      </c>
      <c r="DQ24" s="4" t="str">
        <f ca="1">IFERROR(__xludf.DUMMYFUNCTION("""COMPUTED_VALUE"""),"可能")</f>
        <v>可能</v>
      </c>
      <c r="DR24" s="4" t="str">
        <f ca="1">IFERROR(__xludf.DUMMYFUNCTION("""COMPUTED_VALUE"""),"認知機能はアルツハイマー型認知症があり、短期記憶が出来ず、その場の話はできるがすぐに忘れて何回も同じことをいう。長谷川式スケール　11点（令和元年9月）
また時折スイッチが入ると不穏状態が強くなり、他の利用者や職員に対して、大声を出したり暴言を言われることがある。以前は利用者様と言い合いになった際に手が出てしまったことはあったが最近では見られない。
廊下の徘徊や、空腹感により他の利用者の居室を訪問し、冷蔵庫や棚にある食べ物を勝手に食べてしまう。")</f>
        <v>認知機能はアルツハイマー型認知症があり、短期記憶が出来ず、その場の話はできるがすぐに忘れて何回も同じことをいう。長谷川式スケール　11点（令和元年9月）
また時折スイッチが入ると不穏状態が強くなり、他の利用者や職員に対して、大声を出したり暴言を言われることがある。以前は利用者様と言い合いになった際に手が出てしまったことはあったが最近では見られない。
廊下の徘徊や、空腹感により他の利用者の居室を訪問し、冷蔵庫や棚にある食べ物を勝手に食べてしまう。</v>
      </c>
      <c r="DS24" s="4"/>
      <c r="DT24" s="4"/>
      <c r="DU24" s="4" t="str">
        <f ca="1">IFERROR(__xludf.DUMMYFUNCTION("""COMPUTED_VALUE"""),"入力")</f>
        <v>入力</v>
      </c>
      <c r="DV24" s="4" t="str">
        <f ca="1">IFERROR(__xludf.DUMMYFUNCTION("""COMPUTED_VALUE"""),"何かにつかまればできる")</f>
        <v>何かにつかまればできる</v>
      </c>
      <c r="DW24" s="4" t="str">
        <f ca="1">IFERROR(__xludf.DUMMYFUNCTION("""COMPUTED_VALUE"""),"何かにつかまればできる")</f>
        <v>何かにつかまればできる</v>
      </c>
      <c r="DX24" s="4" t="str">
        <f ca="1">IFERROR(__xludf.DUMMYFUNCTION("""COMPUTED_VALUE"""),"できる")</f>
        <v>できる</v>
      </c>
      <c r="DY24" s="4" t="str">
        <f ca="1">IFERROR(__xludf.DUMMYFUNCTION("""COMPUTED_VALUE"""),"何かにつかまればできる")</f>
        <v>何かにつかまればできる</v>
      </c>
      <c r="DZ24" s="4" t="str">
        <f ca="1">IFERROR(__xludf.DUMMYFUNCTION("""COMPUTED_VALUE"""),"支えなしでできる")</f>
        <v>支えなしでできる</v>
      </c>
      <c r="EA24" s="4" t="str">
        <f ca="1">IFERROR(__xludf.DUMMYFUNCTION("""COMPUTED_VALUE"""),"自立")</f>
        <v>自立</v>
      </c>
      <c r="EB24" s="4" t="str">
        <f ca="1">IFERROR(__xludf.DUMMYFUNCTION("""COMPUTED_VALUE"""),"自立")</f>
        <v>自立</v>
      </c>
      <c r="EC24" s="4" t="str">
        <f ca="1">IFERROR(__xludf.DUMMYFUNCTION("""COMPUTED_VALUE"""),"独歩")</f>
        <v>独歩</v>
      </c>
      <c r="ED24" s="4" t="str">
        <f ca="1">IFERROR(__xludf.DUMMYFUNCTION("""COMPUTED_VALUE"""),"自立")</f>
        <v>自立</v>
      </c>
      <c r="EE24" s="4" t="str">
        <f ca="1">IFERROR(__xludf.DUMMYFUNCTION("""COMPUTED_VALUE"""),"独歩")</f>
        <v>独歩</v>
      </c>
      <c r="EF24" s="4" t="str">
        <f ca="1">IFERROR(__xludf.DUMMYFUNCTION("""COMPUTED_VALUE"""),"起居動作、移動ともに特に問題はなく安定されている。")</f>
        <v>起居動作、移動ともに特に問題はなく安定されている。</v>
      </c>
      <c r="EG24" s="4"/>
      <c r="EH24" s="4" t="str">
        <f ca="1">IFERROR(__xludf.DUMMYFUNCTION("""COMPUTED_VALUE"""),"入力")</f>
        <v>入力</v>
      </c>
      <c r="EI24" s="4" t="str">
        <f ca="1">IFERROR(__xludf.DUMMYFUNCTION("""COMPUTED_VALUE"""),"入力")</f>
        <v>入力</v>
      </c>
      <c r="EJ24" s="4" t="str">
        <f ca="1">IFERROR(__xludf.DUMMYFUNCTION("""COMPUTED_VALUE"""),"経口摂取")</f>
        <v>経口摂取</v>
      </c>
      <c r="EK24" s="4" t="str">
        <f ca="1">IFERROR(__xludf.DUMMYFUNCTION("""COMPUTED_VALUE"""),"自立")</f>
        <v>自立</v>
      </c>
      <c r="EL24" s="4" t="str">
        <f ca="1">IFERROR(__xludf.DUMMYFUNCTION("""COMPUTED_VALUE"""),"できる")</f>
        <v>できる</v>
      </c>
      <c r="EM24" s="4" t="str">
        <f ca="1">IFERROR(__xludf.DUMMYFUNCTION("""COMPUTED_VALUE"""),"軟飯")</f>
        <v>軟飯</v>
      </c>
      <c r="EN24" s="4" t="str">
        <f ca="1">IFERROR(__xludf.DUMMYFUNCTION("""COMPUTED_VALUE"""),"普通")</f>
        <v>普通</v>
      </c>
      <c r="EO24" s="4" t="str">
        <f ca="1">IFERROR(__xludf.DUMMYFUNCTION("""COMPUTED_VALUE"""),"無")</f>
        <v>無</v>
      </c>
      <c r="EP24" s="4" t="str">
        <f ca="1">IFERROR(__xludf.DUMMYFUNCTION("""COMPUTED_VALUE"""),"無")</f>
        <v>無</v>
      </c>
      <c r="EQ24" s="4" t="str">
        <f ca="1">IFERROR(__xludf.DUMMYFUNCTION("""COMPUTED_VALUE"""),"箸 , スプーン")</f>
        <v>箸 , スプーン</v>
      </c>
      <c r="ER24" s="4" t="str">
        <f ca="1">IFERROR(__xludf.DUMMYFUNCTION("""COMPUTED_VALUE"""),"食事も特に問題は見られない。普段から空腹感が強いため主食は大盛としている。また今回入院先で血液検査等を行ったところ、栄養状態が悪いと指摘があった。")</f>
        <v>食事も特に問題は見られない。普段から空腹感が強いため主食は大盛としている。また今回入院先で血液検査等を行ったところ、栄養状態が悪いと指摘があった。</v>
      </c>
      <c r="ES24" s="4"/>
      <c r="ET24" s="4" t="str">
        <f ca="1">IFERROR(__xludf.DUMMYFUNCTION("""COMPUTED_VALUE"""),"入力")</f>
        <v>入力</v>
      </c>
      <c r="EU24" s="4" t="str">
        <f ca="1">IFERROR(__xludf.DUMMYFUNCTION("""COMPUTED_VALUE"""),"自立")</f>
        <v>自立</v>
      </c>
      <c r="EV24" s="4" t="str">
        <f ca="1">IFERROR(__xludf.DUMMYFUNCTION("""COMPUTED_VALUE"""),"無")</f>
        <v>無</v>
      </c>
      <c r="EW24" s="4" t="str">
        <f ca="1">IFERROR(__xludf.DUMMYFUNCTION("""COMPUTED_VALUE"""),"有")</f>
        <v>有</v>
      </c>
      <c r="EX24" s="4" t="str">
        <f ca="1">IFERROR(__xludf.DUMMYFUNCTION("""COMPUTED_VALUE"""),"総義歯")</f>
        <v>総義歯</v>
      </c>
      <c r="EY24" s="4" t="str">
        <f ca="1">IFERROR(__xludf.DUMMYFUNCTION("""COMPUTED_VALUE"""),"上下")</f>
        <v>上下</v>
      </c>
      <c r="EZ24" s="4" t="str">
        <f ca="1">IFERROR(__xludf.DUMMYFUNCTION("""COMPUTED_VALUE"""),"自歯はなく総義歯となっている。本人曰く、義歯の洗浄は、義歯を外して歯ブラシを使用して水洗いを行っている。と言われている。認知症も重度のため毎日洗浄ができているかは不明。
ご家族様より、口腔ケア・チェックを訪問歯科に依頼の希望があったため、ナカハマデンタルに依頼を行う。")</f>
        <v>自歯はなく総義歯となっている。本人曰く、義歯の洗浄は、義歯を外して歯ブラシを使用して水洗いを行っている。と言われている。認知症も重度のため毎日洗浄ができているかは不明。
ご家族様より、口腔ケア・チェックを訪問歯科に依頼の希望があったため、ナカハマデンタルに依頼を行う。</v>
      </c>
      <c r="FA24" s="4"/>
      <c r="FB24" s="4" t="str">
        <f ca="1">IFERROR(__xludf.DUMMYFUNCTION("""COMPUTED_VALUE"""),"入力")</f>
        <v>入力</v>
      </c>
      <c r="FC24" s="4" t="str">
        <f ca="1">IFERROR(__xludf.DUMMYFUNCTION("""COMPUTED_VALUE"""),"一部介助")</f>
        <v>一部介助</v>
      </c>
      <c r="FD24" s="4" t="str">
        <f ca="1">IFERROR(__xludf.DUMMYFUNCTION("""COMPUTED_VALUE"""),"チェアー浴")</f>
        <v>チェアー浴</v>
      </c>
      <c r="FE24" s="4" t="str">
        <f ca="1">IFERROR(__xludf.DUMMYFUNCTION("""COMPUTED_VALUE"""),"無")</f>
        <v>無</v>
      </c>
      <c r="FF24" s="4"/>
      <c r="FG24" s="4" t="str">
        <f ca="1">IFERROR(__xludf.DUMMYFUNCTION("""COMPUTED_VALUE"""),"自立")</f>
        <v>自立</v>
      </c>
      <c r="FH24" s="4" t="str">
        <f ca="1">IFERROR(__xludf.DUMMYFUNCTION("""COMPUTED_VALUE"""),"見守り")</f>
        <v>見守り</v>
      </c>
      <c r="FI24" s="4" t="str">
        <f ca="1">IFERROR(__xludf.DUMMYFUNCTION("""COMPUTED_VALUE"""),"入浴はデイサービス利用時に大浴場にて入浴されているが、背中など自身で洗えない部分については介助を受けているものの、概ね自立して可能。
更衣は上衣は自立で可能だが下衣は見守りが必要な状態。")</f>
        <v>入浴はデイサービス利用時に大浴場にて入浴されているが、背中など自身で洗えない部分については介助を受けているものの、概ね自立して可能。
更衣は上衣は自立で可能だが下衣は見守りが必要な状態。</v>
      </c>
      <c r="FJ24" s="4"/>
      <c r="FK24" s="4" t="str">
        <f ca="1">IFERROR(__xludf.DUMMYFUNCTION("""COMPUTED_VALUE"""),"入力")</f>
        <v>入力</v>
      </c>
      <c r="FL24" s="4" t="str">
        <f ca="1">IFERROR(__xludf.DUMMYFUNCTION("""COMPUTED_VALUE"""),"自立")</f>
        <v>自立</v>
      </c>
      <c r="FM24" s="4" t="str">
        <f ca="1">IFERROR(__xludf.DUMMYFUNCTION("""COMPUTED_VALUE"""),"有")</f>
        <v>有</v>
      </c>
      <c r="FN24" s="4" t="str">
        <f ca="1">IFERROR(__xludf.DUMMYFUNCTION("""COMPUTED_VALUE"""),"無")</f>
        <v>無</v>
      </c>
      <c r="FO24" s="4" t="str">
        <f ca="1">IFERROR(__xludf.DUMMYFUNCTION("""COMPUTED_VALUE"""),"有")</f>
        <v>有</v>
      </c>
      <c r="FP24" s="4" t="str">
        <f ca="1">IFERROR(__xludf.DUMMYFUNCTION("""COMPUTED_VALUE"""),"無")</f>
        <v>無</v>
      </c>
      <c r="FQ24" s="4"/>
      <c r="FR24" s="4" t="str">
        <f ca="1">IFERROR(__xludf.DUMMYFUNCTION("""COMPUTED_VALUE"""),"トイレ")</f>
        <v>トイレ</v>
      </c>
      <c r="FS24" s="4" t="str">
        <f ca="1">IFERROR(__xludf.DUMMYFUNCTION("""COMPUTED_VALUE"""),"トイレ")</f>
        <v>トイレ</v>
      </c>
      <c r="FT24" s="4" t="str">
        <f ca="1">IFERROR(__xludf.DUMMYFUNCTION("""COMPUTED_VALUE"""),"リハビリパンツ")</f>
        <v>リハビリパンツ</v>
      </c>
      <c r="FU24" s="4" t="str">
        <f ca="1">IFERROR(__xludf.DUMMYFUNCTION("""COMPUTED_VALUE"""),"排泄はトイレでご自身で行えている。現状失禁もなく過ごされている。")</f>
        <v>排泄はトイレでご自身で行えている。現状失禁もなく過ごされている。</v>
      </c>
      <c r="FV24" s="4"/>
      <c r="FW24" s="4"/>
      <c r="FX24" s="4" t="str">
        <f ca="1">IFERROR(__xludf.DUMMYFUNCTION("""COMPUTED_VALUE"""),"入力")</f>
        <v>入力</v>
      </c>
      <c r="FY24" s="4" t="str">
        <f ca="1">IFERROR(__xludf.DUMMYFUNCTION("""COMPUTED_VALUE"""),"全介助")</f>
        <v>全介助</v>
      </c>
      <c r="FZ24" s="4" t="str">
        <f ca="1">IFERROR(__xludf.DUMMYFUNCTION("""COMPUTED_VALUE"""),"全介助")</f>
        <v>全介助</v>
      </c>
      <c r="GA24" s="4" t="str">
        <f ca="1">IFERROR(__xludf.DUMMYFUNCTION("""COMPUTED_VALUE"""),"全介助")</f>
        <v>全介助</v>
      </c>
      <c r="GB24" s="4" t="str">
        <f ca="1">IFERROR(__xludf.DUMMYFUNCTION("""COMPUTED_VALUE"""),"全介助")</f>
        <v>全介助</v>
      </c>
      <c r="GC24" s="4" t="str">
        <f ca="1">IFERROR(__xludf.DUMMYFUNCTION("""COMPUTED_VALUE"""),"全介助")</f>
        <v>全介助</v>
      </c>
      <c r="GD24" s="4" t="str">
        <f ca="1">IFERROR(__xludf.DUMMYFUNCTION("""COMPUTED_VALUE"""),"ご家族様の支援や、施設サービスを利用して過ごされている。")</f>
        <v>ご家族様の支援や、施設サービスを利用して過ごされている。</v>
      </c>
      <c r="GE24" s="4"/>
      <c r="GF24" s="4"/>
      <c r="GG24" s="4" t="str">
        <f ca="1">IFERROR(__xludf.DUMMYFUNCTION("""COMPUTED_VALUE"""),"特になし。")</f>
        <v>特になし。</v>
      </c>
      <c r="GH24" s="4">
        <f ca="1">IFERROR(__xludf.DUMMYFUNCTION("""COMPUTED_VALUE"""),30)</f>
        <v>30</v>
      </c>
      <c r="GI24" s="4"/>
    </row>
    <row r="25" spans="1:191">
      <c r="A25" s="4"/>
      <c r="B25" s="4"/>
      <c r="C25" s="4" t="str">
        <f ca="1">IFERROR(__xludf.DUMMYFUNCTION("""COMPUTED_VALUE"""),"坂下　惠子")</f>
        <v>坂下　惠子</v>
      </c>
      <c r="D25" s="4" t="str">
        <f ca="1">IFERROR(__xludf.DUMMYFUNCTION("""COMPUTED_VALUE"""),"857ad30f")</f>
        <v>857ad30f</v>
      </c>
      <c r="E25" s="4"/>
      <c r="F25" s="4"/>
      <c r="G25" s="4"/>
      <c r="H25" s="4"/>
      <c r="I25" s="5">
        <f ca="1">IFERROR(__xludf.DUMMYFUNCTION("""COMPUTED_VALUE"""),45616)</f>
        <v>45616</v>
      </c>
      <c r="J25" s="4" t="str">
        <f ca="1">IFERROR(__xludf.DUMMYFUNCTION("""COMPUTED_VALUE"""),"山川　和輝")</f>
        <v>山川　和輝</v>
      </c>
      <c r="K25" s="4" t="str">
        <f ca="1">IFERROR(__xludf.DUMMYFUNCTION("""COMPUTED_VALUE"""),"更新")</f>
        <v>更新</v>
      </c>
      <c r="L25" s="4" t="str">
        <f ca="1">IFERROR(__xludf.DUMMYFUNCTION("""COMPUTED_VALUE"""),"本人の居室")</f>
        <v>本人の居室</v>
      </c>
      <c r="M25" s="4" t="str">
        <f ca="1">IFERROR(__xludf.DUMMYFUNCTION("""COMPUTED_VALUE"""),"自宅で独居生活。近くに暮らす長女様が買い物等の支援を行っている。現病歴は骨粗鬆症と高血圧があり、定期的に病院受診をしている。昨年３月、コロナワクチン接種の副作用で高熱が続き、それ以来食欲が減退し食事をしっかりとることができなくなり、体重が減少し下肢筋力も低下している。そのため、動くことも少なくなり、人と接する機会も減っている。このままではどんどん体重が減少し、寝たきりになってしまうのでは。と家族は心配しているおり、安濃津ろまんへ入居することとなった。")</f>
        <v>自宅で独居生活。近くに暮らす長女様が買い物等の支援を行っている。現病歴は骨粗鬆症と高血圧があり、定期的に病院受診をしている。昨年３月、コロナワクチン接種の副作用で高熱が続き、それ以来食欲が減退し食事をしっかりとることができなくなり、体重が減少し下肢筋力も低下している。そのため、動くことも少なくなり、人と接する機会も減っている。このままではどんどん体重が減少し、寝たきりになってしまうのでは。と家族は心配しているおり、安濃津ろまんへ入居することとなった。</v>
      </c>
      <c r="N25" s="4" t="str">
        <f ca="1">IFERROR(__xludf.DUMMYFUNCTION("""COMPUTED_VALUE"""),"動いた時に息苦しさが強く心配ですが、先生からはしっかり食事を食べて、しっかり運動するようにと言われていますので、頑張っています。")</f>
        <v>動いた時に息苦しさが強く心配ですが、先生からはしっかり食事を食べて、しっかり運動するようにと言われていますので、頑張っています。</v>
      </c>
      <c r="O25" s="4" t="str">
        <f ca="1">IFERROR(__xludf.DUMMYFUNCTION("""COMPUTED_VALUE"""),"体力が落ちて行かないか心配しています。これからも安心してここで生活してもらいたいと思います。")</f>
        <v>体力が落ちて行かないか心配しています。これからも安心してここで生活してもらいたいと思います。</v>
      </c>
      <c r="P25" s="4"/>
      <c r="Q25" s="4" t="str">
        <f ca="1">IFERROR(__xludf.DUMMYFUNCTION("""COMPUTED_VALUE"""),"入力")</f>
        <v>入力</v>
      </c>
      <c r="R25" s="4" t="str">
        <f ca="1">IFERROR(__xludf.DUMMYFUNCTION("""COMPUTED_VALUE"""),"要介護１")</f>
        <v>要介護１</v>
      </c>
      <c r="S25" s="4" t="str">
        <f ca="1">IFERROR(__xludf.DUMMYFUNCTION("""COMPUTED_VALUE"""),"令和6年11月7日")</f>
        <v>令和6年11月7日</v>
      </c>
      <c r="T25" s="4" t="str">
        <f ca="1">IFERROR(__xludf.DUMMYFUNCTION("""COMPUTED_VALUE"""),"令和6年11月1日")</f>
        <v>令和6年11月1日</v>
      </c>
      <c r="U25" s="4" t="str">
        <f ca="1">IFERROR(__xludf.DUMMYFUNCTION("""COMPUTED_VALUE"""),"令和9年10月31日")</f>
        <v>令和9年10月31日</v>
      </c>
      <c r="V25" s="4" t="str">
        <f ca="1">IFERROR(__xludf.DUMMYFUNCTION("""COMPUTED_VALUE"""),"１割負担")</f>
        <v>１割負担</v>
      </c>
      <c r="W25" s="4" t="str">
        <f ca="1">IFERROR(__xludf.DUMMYFUNCTION("""COMPUTED_VALUE"""),"後期高齢者医療保険")</f>
        <v>後期高齢者医療保険</v>
      </c>
      <c r="X25" s="4" t="str">
        <f ca="1">IFERROR(__xludf.DUMMYFUNCTION("""COMPUTED_VALUE"""),"無")</f>
        <v>無</v>
      </c>
      <c r="Y25" s="4"/>
      <c r="Z25" s="4" t="str">
        <f ca="1">IFERROR(__xludf.DUMMYFUNCTION("""COMPUTED_VALUE"""),"無")</f>
        <v>無</v>
      </c>
      <c r="AA25" s="4" t="str">
        <f ca="1">IFERROR(__xludf.DUMMYFUNCTION("""COMPUTED_VALUE"""),"無")</f>
        <v>無</v>
      </c>
      <c r="AB25" s="4" t="str">
        <f ca="1">IFERROR(__xludf.DUMMYFUNCTION("""COMPUTED_VALUE"""),"A2")</f>
        <v>A2</v>
      </c>
      <c r="AC25" s="4" t="str">
        <f ca="1">IFERROR(__xludf.DUMMYFUNCTION("""COMPUTED_VALUE"""),"Ⅱa")</f>
        <v>Ⅱa</v>
      </c>
      <c r="AD25" s="4"/>
      <c r="AE25" s="4" t="str">
        <f ca="1">IFERROR(__xludf.DUMMYFUNCTION("""COMPUTED_VALUE"""),"入力")</f>
        <v>入力</v>
      </c>
      <c r="AF25" s="4" t="str">
        <f ca="1">IFERROR(__xludf.DUMMYFUNCTION("""COMPUTED_VALUE"""),"佐野　佳子")</f>
        <v>佐野　佳子</v>
      </c>
      <c r="AG25" s="4" t="str">
        <f ca="1">IFERROR(__xludf.DUMMYFUNCTION("""COMPUTED_VALUE"""),"長女")</f>
        <v>長女</v>
      </c>
      <c r="AH25" s="4"/>
      <c r="AI25" s="4" t="str">
        <f ca="1">IFERROR(__xludf.DUMMYFUNCTION("""COMPUTED_VALUE"""),"別居")</f>
        <v>別居</v>
      </c>
      <c r="AJ25" s="4" t="str">
        <f ca="1">IFERROR(__xludf.DUMMYFUNCTION("""COMPUTED_VALUE"""),"介護する")</f>
        <v>介護する</v>
      </c>
      <c r="AK25" s="4" t="str">
        <f ca="1">IFERROR(__xludf.DUMMYFUNCTION("""COMPUTED_VALUE"""),"無")</f>
        <v>無</v>
      </c>
      <c r="AL25" s="4" t="str">
        <f ca="1">IFERROR(__xludf.DUMMYFUNCTION("""COMPUTED_VALUE"""),"090-3155-1556")</f>
        <v>090-3155-1556</v>
      </c>
      <c r="AM25" s="4" t="str">
        <f ca="1">IFERROR(__xludf.DUMMYFUNCTION("""COMPUTED_VALUE"""),"KP")</f>
        <v>KP</v>
      </c>
      <c r="AN25" s="4"/>
      <c r="AO25" s="4"/>
      <c r="AP25" s="4"/>
      <c r="AQ25" s="4"/>
      <c r="AR25" s="4"/>
      <c r="AS25" s="4"/>
      <c r="AT25" s="4"/>
      <c r="AU25" s="4"/>
      <c r="AV25" s="4"/>
      <c r="AW25" s="4" t="str">
        <f ca="1">IFERROR(__xludf.DUMMYFUNCTION("""COMPUTED_VALUE"""),"入力")</f>
        <v>入力</v>
      </c>
      <c r="AX25" s="4" t="str">
        <f ca="1">IFERROR(__xludf.DUMMYFUNCTION("""COMPUTED_VALUE"""),"一人暮らし")</f>
        <v>一人暮らし</v>
      </c>
      <c r="AY25" s="4" t="str">
        <f ca="1">IFERROR(__xludf.DUMMYFUNCTION("""COMPUTED_VALUE"""),"集合住宅")</f>
        <v>集合住宅</v>
      </c>
      <c r="AZ25" s="4" t="str">
        <f ca="1">IFERROR(__xludf.DUMMYFUNCTION("""COMPUTED_VALUE"""),"エレベーター有")</f>
        <v>エレベーター有</v>
      </c>
      <c r="BA25" s="4" t="str">
        <f ca="1">IFERROR(__xludf.DUMMYFUNCTION("""COMPUTED_VALUE"""),"賃貸")</f>
        <v>賃貸</v>
      </c>
      <c r="BB25" s="4" t="str">
        <f ca="1">IFERROR(__xludf.DUMMYFUNCTION("""COMPUTED_VALUE"""),"有")</f>
        <v>有</v>
      </c>
      <c r="BC25" s="4" t="str">
        <f ca="1">IFERROR(__xludf.DUMMYFUNCTION("""COMPUTED_VALUE"""),"有")</f>
        <v>有</v>
      </c>
      <c r="BD25" s="4" t="str">
        <f ca="1">IFERROR(__xludf.DUMMYFUNCTION("""COMPUTED_VALUE"""),"洋式")</f>
        <v>洋式</v>
      </c>
      <c r="BE25" s="4" t="str">
        <f ca="1">IFERROR(__xludf.DUMMYFUNCTION("""COMPUTED_VALUE"""),"手すり有")</f>
        <v>手すり有</v>
      </c>
      <c r="BF25" s="4" t="str">
        <f ca="1">IFERROR(__xludf.DUMMYFUNCTION("""COMPUTED_VALUE"""),"段差無")</f>
        <v>段差無</v>
      </c>
      <c r="BG25" s="4" t="str">
        <f ca="1">IFERROR(__xludf.DUMMYFUNCTION("""COMPUTED_VALUE"""),"有")</f>
        <v>有</v>
      </c>
      <c r="BH25" s="4" t="str">
        <f ca="1">IFERROR(__xludf.DUMMYFUNCTION("""COMPUTED_VALUE"""),"手すり有")</f>
        <v>手すり有</v>
      </c>
      <c r="BI25" s="4" t="str">
        <f ca="1">IFERROR(__xludf.DUMMYFUNCTION("""COMPUTED_VALUE"""),"リクライニングベッド")</f>
        <v>リクライニングベッド</v>
      </c>
      <c r="BJ25" s="4" t="str">
        <f ca="1">IFERROR(__xludf.DUMMYFUNCTION("""COMPUTED_VALUE"""),"無")</f>
        <v>無</v>
      </c>
      <c r="BK25" s="4" t="str">
        <f ca="1">IFERROR(__xludf.DUMMYFUNCTION("""COMPUTED_VALUE"""),"無")</f>
        <v>無</v>
      </c>
      <c r="BL25" s="4" t="str">
        <f ca="1">IFERROR(__xludf.DUMMYFUNCTION("""COMPUTED_VALUE"""),"無")</f>
        <v>無</v>
      </c>
      <c r="BM25" s="4" t="str">
        <f ca="1">IFERROR(__xludf.DUMMYFUNCTION("""COMPUTED_VALUE"""),"無")</f>
        <v>無</v>
      </c>
      <c r="BN25" s="4"/>
      <c r="BO25" s="4" t="str">
        <f ca="1">IFERROR(__xludf.DUMMYFUNCTION("""COMPUTED_VALUE"""),"入力")</f>
        <v>入力</v>
      </c>
      <c r="BP25" s="4" t="str">
        <f ca="1">IFERROR(__xludf.DUMMYFUNCTION("""COMPUTED_VALUE"""),"訪問看護 , 通所介護")</f>
        <v>訪問看護 , 通所介護</v>
      </c>
      <c r="BQ25" s="4" t="str">
        <f ca="1">IFERROR(__xludf.DUMMYFUNCTION("""COMPUTED_VALUE"""),"手すり , 歩行器")</f>
        <v>手すり , 歩行器</v>
      </c>
      <c r="BR25" s="4" t="str">
        <f ca="1">IFERROR(__xludf.DUMMYFUNCTION("""COMPUTED_VALUE"""),"特になし")</f>
        <v>特になし</v>
      </c>
      <c r="BS25" s="4" t="str">
        <f ca="1">IFERROR(__xludf.DUMMYFUNCTION("""COMPUTED_VALUE"""),"食事支援 , 排泄支援 , リネンリース , 洗濯")</f>
        <v>食事支援 , 排泄支援 , リネンリース , 洗濯</v>
      </c>
      <c r="BT25" s="4" t="str">
        <f ca="1">IFERROR(__xludf.DUMMYFUNCTION("""COMPUTED_VALUE"""),"外のデイサービスを利用しており、他の利用者様と交流はあるものの、基本は居室に閉じこもった生活である。")</f>
        <v>外のデイサービスを利用しており、他の利用者様と交流はあるものの、基本は居室に閉じこもった生活である。</v>
      </c>
      <c r="BU25" s="4"/>
      <c r="BV25" s="4"/>
      <c r="BW25" s="4" t="str">
        <f ca="1">IFERROR(__xludf.DUMMYFUNCTION("""COMPUTED_VALUE"""),"入力")</f>
        <v>入力</v>
      </c>
      <c r="BX25" s="4" t="str">
        <f ca="1">IFERROR(__xludf.DUMMYFUNCTION("""COMPUTED_VALUE"""),"廃用症候群")</f>
        <v>廃用症候群</v>
      </c>
      <c r="BY25" s="4" t="str">
        <f ca="1">IFERROR(__xludf.DUMMYFUNCTION("""COMPUTED_VALUE"""),"令和6年9月頃")</f>
        <v>令和6年9月頃</v>
      </c>
      <c r="BZ25" s="4" t="str">
        <f ca="1">IFERROR(__xludf.DUMMYFUNCTION("""COMPUTED_VALUE"""),"高血圧症")</f>
        <v>高血圧症</v>
      </c>
      <c r="CA25" s="4" t="str">
        <f ca="1">IFERROR(__xludf.DUMMYFUNCTION("""COMPUTED_VALUE"""),"平成30年頃")</f>
        <v>平成30年頃</v>
      </c>
      <c r="CB25" s="4" t="str">
        <f ca="1">IFERROR(__xludf.DUMMYFUNCTION("""COMPUTED_VALUE"""),"骨粗鬆症")</f>
        <v>骨粗鬆症</v>
      </c>
      <c r="CC25" s="4" t="str">
        <f ca="1">IFERROR(__xludf.DUMMYFUNCTION("""COMPUTED_VALUE"""),"平成26年頃")</f>
        <v>平成26年頃</v>
      </c>
      <c r="CD25" s="4" t="str">
        <f ca="1">IFERROR(__xludf.DUMMYFUNCTION("""COMPUTED_VALUE"""),"網膜剥離")</f>
        <v>網膜剥離</v>
      </c>
      <c r="CE25" s="4" t="str">
        <f ca="1">IFERROR(__xludf.DUMMYFUNCTION("""COMPUTED_VALUE"""),"不詳")</f>
        <v>不詳</v>
      </c>
      <c r="CF25" s="4"/>
      <c r="CG25" s="4"/>
      <c r="CH25" s="4"/>
      <c r="CI25" s="4"/>
      <c r="CJ25" s="4" t="str">
        <f ca="1">IFERROR(__xludf.DUMMYFUNCTION("""COMPUTED_VALUE"""),"毎月、坂倉内科医院へ通院を行っている。また網膜剥離は三木眼科へ、骨粗鬆症はまつおか整形外科を定期的に受診している。
呼吸苦のため三重中央医療センターへ受診を行ったが、異常なくそれ以降通院はなし。")</f>
        <v>毎月、坂倉内科医院へ通院を行っている。また網膜剥離は三木眼科へ、骨粗鬆症はまつおか整形外科を定期的に受診している。
呼吸苦のため三重中央医療センターへ受診を行ったが、異常なくそれ以降通院はなし。</v>
      </c>
      <c r="CK25" s="4"/>
      <c r="CL25" s="4"/>
      <c r="CM25" s="4"/>
      <c r="CN25" s="4"/>
      <c r="CO25" s="4"/>
      <c r="CP25" s="4"/>
      <c r="CQ25" s="4"/>
      <c r="CR25" s="4"/>
      <c r="CS25" s="4" t="str">
        <f ca="1">IFERROR(__xludf.DUMMYFUNCTION("""COMPUTED_VALUE"""),"令和5年3月にコロナワクチン接種を行った際、副作用で高熱が続き、それ以降食欲が減退、それに伴い筋力や体力が低下した。")</f>
        <v>令和5年3月にコロナワクチン接種を行った際、副作用で高熱が続き、それ以降食欲が減退、それに伴い筋力や体力が低下した。</v>
      </c>
      <c r="CT25" s="4"/>
      <c r="CU25" s="4"/>
      <c r="CV25" s="4"/>
      <c r="CW25" s="4"/>
      <c r="CX25" s="4" t="str">
        <f ca="1">IFERROR(__xludf.DUMMYFUNCTION("""COMPUTED_VALUE"""),"入力")</f>
        <v>入力</v>
      </c>
      <c r="CY25" s="4" t="str">
        <f ca="1">IFERROR(__xludf.DUMMYFUNCTION("""COMPUTED_VALUE"""),"無")</f>
        <v>無</v>
      </c>
      <c r="CZ25" s="4" t="str">
        <f ca="1">IFERROR(__xludf.DUMMYFUNCTION("""COMPUTED_VALUE"""),"無")</f>
        <v>無</v>
      </c>
      <c r="DA25" s="4" t="str">
        <f ca="1">IFERROR(__xludf.DUMMYFUNCTION("""COMPUTED_VALUE"""),"無")</f>
        <v>無</v>
      </c>
      <c r="DB25" s="4" t="str">
        <f ca="1">IFERROR(__xludf.DUMMYFUNCTION("""COMPUTED_VALUE"""),"特になし")</f>
        <v>特になし</v>
      </c>
      <c r="DC25" s="4" t="str">
        <f ca="1">IFERROR(__xludf.DUMMYFUNCTION("""COMPUTED_VALUE"""),"右肩痛みあり")</f>
        <v>右肩痛みあり</v>
      </c>
      <c r="DD25" s="4"/>
      <c r="DE25" s="4"/>
      <c r="DF25" s="4" t="str">
        <f ca="1">IFERROR(__xludf.DUMMYFUNCTION("""COMPUTED_VALUE"""),"大きい字は可")</f>
        <v>大きい字は可</v>
      </c>
      <c r="DG25" s="4" t="str">
        <f ca="1">IFERROR(__xludf.DUMMYFUNCTION("""COMPUTED_VALUE"""),"有")</f>
        <v>有</v>
      </c>
      <c r="DH25" s="4" t="str">
        <f ca="1">IFERROR(__xludf.DUMMYFUNCTION("""COMPUTED_VALUE"""),"大きい声は可")</f>
        <v>大きい声は可</v>
      </c>
      <c r="DI25" s="4" t="str">
        <f ca="1">IFERROR(__xludf.DUMMYFUNCTION("""COMPUTED_VALUE"""),"無")</f>
        <v>無</v>
      </c>
      <c r="DJ25" s="4" t="str">
        <f ca="1">IFERROR(__xludf.DUMMYFUNCTION("""COMPUTED_VALUE"""),"３回目のコロナワクチン接種後に高熱となり、食欲が減退。食事摂取量が少なくなったことで基礎体力や筋力が低下し動くのが億劫となっている。
特に大きな病気はないが、高血圧に対して降圧剤が処方されている。また骨粗鬆症は内服で経過を管理しており今後も継続した受診が必要。
入居当初から動くと息切れが多かったが、最近になりさらに症状が強くなっているため、三重中央医療センターへ受診を行ったが、先生からは特に異常はなく、筋力や体力の低下による廃用症候群で少し動くだけでも息切れが多くなっていると言われた。
食事摂取や運動を積"&amp;"極的に取り入れていく必要がある。")</f>
        <v>３回目のコロナワクチン接種後に高熱となり、食欲が減退。食事摂取量が少なくなったことで基礎体力や筋力が低下し動くのが億劫となっている。
特に大きな病気はないが、高血圧に対して降圧剤が処方されている。また骨粗鬆症は内服で経過を管理しており今後も継続した受診が必要。
入居当初から動くと息切れが多かったが、最近になりさらに症状が強くなっているため、三重中央医療センターへ受診を行ったが、先生からは特に異常はなく、筋力や体力の低下による廃用症候群で少し動くだけでも息切れが多くなっていると言われた。
食事摂取や運動を積極的に取り入れていく必要がある。</v>
      </c>
      <c r="DK25" s="4"/>
      <c r="DL25" s="4" t="str">
        <f ca="1">IFERROR(__xludf.DUMMYFUNCTION("""COMPUTED_VALUE"""),"入力")</f>
        <v>入力</v>
      </c>
      <c r="DM25" s="4" t="str">
        <f ca="1">IFERROR(__xludf.DUMMYFUNCTION("""COMPUTED_VALUE"""),"無")</f>
        <v>無</v>
      </c>
      <c r="DN25" s="4"/>
      <c r="DO25" s="4" t="str">
        <f ca="1">IFERROR(__xludf.DUMMYFUNCTION("""COMPUTED_VALUE"""),"無")</f>
        <v>無</v>
      </c>
      <c r="DP25" s="4" t="str">
        <f ca="1">IFERROR(__xludf.DUMMYFUNCTION("""COMPUTED_VALUE"""),"可能")</f>
        <v>可能</v>
      </c>
      <c r="DQ25" s="4" t="str">
        <f ca="1">IFERROR(__xludf.DUMMYFUNCTION("""COMPUTED_VALUE"""),"可能")</f>
        <v>可能</v>
      </c>
      <c r="DR25" s="4" t="str">
        <f ca="1">IFERROR(__xludf.DUMMYFUNCTION("""COMPUTED_VALUE"""),"認知機能の低下は特に見られていない。")</f>
        <v>認知機能の低下は特に見られていない。</v>
      </c>
      <c r="DS25" s="4"/>
      <c r="DT25" s="4"/>
      <c r="DU25" s="4" t="str">
        <f ca="1">IFERROR(__xludf.DUMMYFUNCTION("""COMPUTED_VALUE"""),"入力")</f>
        <v>入力</v>
      </c>
      <c r="DV25" s="4" t="str">
        <f ca="1">IFERROR(__xludf.DUMMYFUNCTION("""COMPUTED_VALUE"""),"何かにつかまればできる")</f>
        <v>何かにつかまればできる</v>
      </c>
      <c r="DW25" s="4" t="str">
        <f ca="1">IFERROR(__xludf.DUMMYFUNCTION("""COMPUTED_VALUE"""),"何かにつかまればできる")</f>
        <v>何かにつかまればできる</v>
      </c>
      <c r="DX25" s="4" t="str">
        <f ca="1">IFERROR(__xludf.DUMMYFUNCTION("""COMPUTED_VALUE"""),"自分の手で支えればできる")</f>
        <v>自分の手で支えればできる</v>
      </c>
      <c r="DY25" s="4" t="str">
        <f ca="1">IFERROR(__xludf.DUMMYFUNCTION("""COMPUTED_VALUE"""),"何かにつかまればできる")</f>
        <v>何かにつかまればできる</v>
      </c>
      <c r="DZ25" s="4" t="str">
        <f ca="1">IFERROR(__xludf.DUMMYFUNCTION("""COMPUTED_VALUE"""),"何か支えがあればできる")</f>
        <v>何か支えがあればできる</v>
      </c>
      <c r="EA25" s="4" t="str">
        <f ca="1">IFERROR(__xludf.DUMMYFUNCTION("""COMPUTED_VALUE"""),"自立")</f>
        <v>自立</v>
      </c>
      <c r="EB25" s="4" t="str">
        <f ca="1">IFERROR(__xludf.DUMMYFUNCTION("""COMPUTED_VALUE"""),"自立")</f>
        <v>自立</v>
      </c>
      <c r="EC25" s="4" t="str">
        <f ca="1">IFERROR(__xludf.DUMMYFUNCTION("""COMPUTED_VALUE"""),"歩行器")</f>
        <v>歩行器</v>
      </c>
      <c r="ED25" s="4" t="str">
        <f ca="1">IFERROR(__xludf.DUMMYFUNCTION("""COMPUTED_VALUE"""),"見守り")</f>
        <v>見守り</v>
      </c>
      <c r="EE25" s="4" t="str">
        <f ca="1">IFERROR(__xludf.DUMMYFUNCTION("""COMPUTED_VALUE"""),"歩行器")</f>
        <v>歩行器</v>
      </c>
      <c r="EF25" s="4" t="str">
        <f ca="1">IFERROR(__xludf.DUMMYFUNCTION("""COMPUTED_VALUE"""),"起き上がりはベッドをギャッジアップし手すりを用いて行っている。起き上がりやすいからと常にベッドは20度程度ギャッジアップされている。
移動はシルバーカーを用いることで可能だが、20ｍ程度歩行を行うと息切れが多くなるため休みながら移動される。")</f>
        <v>起き上がりはベッドをギャッジアップし手すりを用いて行っている。起き上がりやすいからと常にベッドは20度程度ギャッジアップされている。
移動はシルバーカーを用いることで可能だが、20ｍ程度歩行を行うと息切れが多くなるため休みながら移動される。</v>
      </c>
      <c r="EG25" s="4"/>
      <c r="EH25" s="4" t="str">
        <f ca="1">IFERROR(__xludf.DUMMYFUNCTION("""COMPUTED_VALUE"""),"入力")</f>
        <v>入力</v>
      </c>
      <c r="EI25" s="4" t="str">
        <f ca="1">IFERROR(__xludf.DUMMYFUNCTION("""COMPUTED_VALUE"""),"入力")</f>
        <v>入力</v>
      </c>
      <c r="EJ25" s="4" t="str">
        <f ca="1">IFERROR(__xludf.DUMMYFUNCTION("""COMPUTED_VALUE"""),"経口摂取")</f>
        <v>経口摂取</v>
      </c>
      <c r="EK25" s="4" t="str">
        <f ca="1">IFERROR(__xludf.DUMMYFUNCTION("""COMPUTED_VALUE"""),"自立")</f>
        <v>自立</v>
      </c>
      <c r="EL25" s="4" t="str">
        <f ca="1">IFERROR(__xludf.DUMMYFUNCTION("""COMPUTED_VALUE"""),"できる")</f>
        <v>できる</v>
      </c>
      <c r="EM25" s="4" t="str">
        <f ca="1">IFERROR(__xludf.DUMMYFUNCTION("""COMPUTED_VALUE"""),"軟飯")</f>
        <v>軟飯</v>
      </c>
      <c r="EN25" s="4" t="str">
        <f ca="1">IFERROR(__xludf.DUMMYFUNCTION("""COMPUTED_VALUE"""),"普通")</f>
        <v>普通</v>
      </c>
      <c r="EO25" s="4" t="str">
        <f ca="1">IFERROR(__xludf.DUMMYFUNCTION("""COMPUTED_VALUE"""),"無")</f>
        <v>無</v>
      </c>
      <c r="EP25" s="4" t="str">
        <f ca="1">IFERROR(__xludf.DUMMYFUNCTION("""COMPUTED_VALUE"""),"無")</f>
        <v>無</v>
      </c>
      <c r="EQ25" s="4" t="str">
        <f ca="1">IFERROR(__xludf.DUMMYFUNCTION("""COMPUTED_VALUE"""),"箸 , スプーン")</f>
        <v>箸 , スプーン</v>
      </c>
      <c r="ER25" s="4" t="str">
        <f ca="1">IFERROR(__xludf.DUMMYFUNCTION("""COMPUTED_VALUE"""),"食事形態は主食：軟飯、副食：普通食となっている。摂取量はムラがあり少ない時は3割程度しか食べられない。
嚥下状態は特に問題は見られない。")</f>
        <v>食事形態は主食：軟飯、副食：普通食となっている。摂取量はムラがあり少ない時は3割程度しか食べられない。
嚥下状態は特に問題は見られない。</v>
      </c>
      <c r="ES25" s="4"/>
      <c r="ET25" s="4" t="str">
        <f ca="1">IFERROR(__xludf.DUMMYFUNCTION("""COMPUTED_VALUE"""),"入力")</f>
        <v>入力</v>
      </c>
      <c r="EU25" s="4" t="str">
        <f ca="1">IFERROR(__xludf.DUMMYFUNCTION("""COMPUTED_VALUE"""),"自立")</f>
        <v>自立</v>
      </c>
      <c r="EV25" s="4" t="str">
        <f ca="1">IFERROR(__xludf.DUMMYFUNCTION("""COMPUTED_VALUE"""),"有")</f>
        <v>有</v>
      </c>
      <c r="EW25" s="4" t="str">
        <f ca="1">IFERROR(__xludf.DUMMYFUNCTION("""COMPUTED_VALUE"""),"無")</f>
        <v>無</v>
      </c>
      <c r="EX25" s="4"/>
      <c r="EY25" s="4"/>
      <c r="EZ25" s="4" t="str">
        <f ca="1">IFERROR(__xludf.DUMMYFUNCTION("""COMPUTED_VALUE"""),"口腔ケアはご自身で行えているものの、握力や手の力が少なく歯ブラシを把持することがやや難しい。現状はご自身で行えているが、今後は自助具等の検討も行う必要がある。")</f>
        <v>口腔ケアはご自身で行えているものの、握力や手の力が少なく歯ブラシを把持することがやや難しい。現状はご自身で行えているが、今後は自助具等の検討も行う必要がある。</v>
      </c>
      <c r="FA25" s="4"/>
      <c r="FB25" s="4" t="str">
        <f ca="1">IFERROR(__xludf.DUMMYFUNCTION("""COMPUTED_VALUE"""),"入力")</f>
        <v>入力</v>
      </c>
      <c r="FC25" s="4" t="str">
        <f ca="1">IFERROR(__xludf.DUMMYFUNCTION("""COMPUTED_VALUE"""),"見守り")</f>
        <v>見守り</v>
      </c>
      <c r="FD25" s="4" t="str">
        <f ca="1">IFERROR(__xludf.DUMMYFUNCTION("""COMPUTED_VALUE"""),"一般浴")</f>
        <v>一般浴</v>
      </c>
      <c r="FE25" s="4" t="str">
        <f ca="1">IFERROR(__xludf.DUMMYFUNCTION("""COMPUTED_VALUE"""),"無")</f>
        <v>無</v>
      </c>
      <c r="FF25" s="4"/>
      <c r="FG25" s="4" t="str">
        <f ca="1">IFERROR(__xludf.DUMMYFUNCTION("""COMPUTED_VALUE"""),"自立")</f>
        <v>自立</v>
      </c>
      <c r="FH25" s="4" t="str">
        <f ca="1">IFERROR(__xludf.DUMMYFUNCTION("""COMPUTED_VALUE"""),"見守り")</f>
        <v>見守り</v>
      </c>
      <c r="FI25" s="4" t="str">
        <f ca="1">IFERROR(__xludf.DUMMYFUNCTION("""COMPUTED_VALUE"""),"入浴は現在ヘルパー支援を利用し個浴に入っている。入浴動作や更衣はご自身で行うことができている。")</f>
        <v>入浴は現在ヘルパー支援を利用し個浴に入っている。入浴動作や更衣はご自身で行うことができている。</v>
      </c>
      <c r="FJ25" s="4"/>
      <c r="FK25" s="4" t="str">
        <f ca="1">IFERROR(__xludf.DUMMYFUNCTION("""COMPUTED_VALUE"""),"入力")</f>
        <v>入力</v>
      </c>
      <c r="FL25" s="4" t="str">
        <f ca="1">IFERROR(__xludf.DUMMYFUNCTION("""COMPUTED_VALUE"""),"自立")</f>
        <v>自立</v>
      </c>
      <c r="FM25" s="4" t="str">
        <f ca="1">IFERROR(__xludf.DUMMYFUNCTION("""COMPUTED_VALUE"""),"有")</f>
        <v>有</v>
      </c>
      <c r="FN25" s="4" t="str">
        <f ca="1">IFERROR(__xludf.DUMMYFUNCTION("""COMPUTED_VALUE"""),"無")</f>
        <v>無</v>
      </c>
      <c r="FO25" s="4" t="str">
        <f ca="1">IFERROR(__xludf.DUMMYFUNCTION("""COMPUTED_VALUE"""),"有")</f>
        <v>有</v>
      </c>
      <c r="FP25" s="4" t="str">
        <f ca="1">IFERROR(__xludf.DUMMYFUNCTION("""COMPUTED_VALUE"""),"無")</f>
        <v>無</v>
      </c>
      <c r="FQ25" s="4"/>
      <c r="FR25" s="4" t="str">
        <f ca="1">IFERROR(__xludf.DUMMYFUNCTION("""COMPUTED_VALUE"""),"トイレ")</f>
        <v>トイレ</v>
      </c>
      <c r="FS25" s="4" t="str">
        <f ca="1">IFERROR(__xludf.DUMMYFUNCTION("""COMPUTED_VALUE"""),"トイレ")</f>
        <v>トイレ</v>
      </c>
      <c r="FT25" s="4"/>
      <c r="FU25" s="4" t="str">
        <f ca="1">IFERROR(__xludf.DUMMYFUNCTION("""COMPUTED_VALUE"""),"排泄はトイレで行えており、尿意便意も問題なく失禁もなし。
下着は布パンツを使用されている。")</f>
        <v>排泄はトイレで行えており、尿意便意も問題なく失禁もなし。
下着は布パンツを使用されている。</v>
      </c>
      <c r="FV25" s="4"/>
      <c r="FW25" s="4"/>
      <c r="FX25" s="4" t="str">
        <f ca="1">IFERROR(__xludf.DUMMYFUNCTION("""COMPUTED_VALUE"""),"入力")</f>
        <v>入力</v>
      </c>
      <c r="FY25" s="4" t="str">
        <f ca="1">IFERROR(__xludf.DUMMYFUNCTION("""COMPUTED_VALUE"""),"一部介助")</f>
        <v>一部介助</v>
      </c>
      <c r="FZ25" s="4" t="str">
        <f ca="1">IFERROR(__xludf.DUMMYFUNCTION("""COMPUTED_VALUE"""),"一部介助")</f>
        <v>一部介助</v>
      </c>
      <c r="GA25" s="4" t="str">
        <f ca="1">IFERROR(__xludf.DUMMYFUNCTION("""COMPUTED_VALUE"""),"一部介助")</f>
        <v>一部介助</v>
      </c>
      <c r="GB25" s="4" t="str">
        <f ca="1">IFERROR(__xludf.DUMMYFUNCTION("""COMPUTED_VALUE"""),"一部介助")</f>
        <v>一部介助</v>
      </c>
      <c r="GC25" s="4" t="str">
        <f ca="1">IFERROR(__xludf.DUMMYFUNCTION("""COMPUTED_VALUE"""),"一部介助")</f>
        <v>一部介助</v>
      </c>
      <c r="GD25" s="4" t="str">
        <f ca="1">IFERROR(__xludf.DUMMYFUNCTION("""COMPUTED_VALUE"""),"入居前までは、家事等はすべてご自身で行っており、入居してからも自分でできることは続けていたが、最近ではIADLはご家族様の手助けのもと行ったり施設サービスを利用されている。")</f>
        <v>入居前までは、家事等はすべてご自身で行っており、入居してからも自分でできることは続けていたが、最近ではIADLはご家族様の手助けのもと行ったり施設サービスを利用されている。</v>
      </c>
      <c r="GE25" s="4"/>
      <c r="GF25" s="4"/>
      <c r="GG25" s="4"/>
      <c r="GH25" s="4">
        <f ca="1">IFERROR(__xludf.DUMMYFUNCTION("""COMPUTED_VALUE"""),30)</f>
        <v>30</v>
      </c>
      <c r="GI25" s="4"/>
    </row>
    <row r="26" spans="1:191">
      <c r="A26" s="4"/>
      <c r="B26" s="4"/>
      <c r="C26" s="4" t="str">
        <f ca="1">IFERROR(__xludf.DUMMYFUNCTION("""COMPUTED_VALUE"""),"岡本　文子")</f>
        <v>岡本　文子</v>
      </c>
      <c r="D26" s="4" t="str">
        <f ca="1">IFERROR(__xludf.DUMMYFUNCTION("""COMPUTED_VALUE"""),"6037fc44")</f>
        <v>6037fc44</v>
      </c>
      <c r="E26" s="4"/>
      <c r="F26" s="4"/>
      <c r="G26" s="4"/>
      <c r="H26" s="4"/>
      <c r="I26" s="5">
        <f ca="1">IFERROR(__xludf.DUMMYFUNCTION("""COMPUTED_VALUE"""),45635)</f>
        <v>45635</v>
      </c>
      <c r="J26" s="4" t="str">
        <f ca="1">IFERROR(__xludf.DUMMYFUNCTION("""COMPUTED_VALUE"""),"山川　和輝")</f>
        <v>山川　和輝</v>
      </c>
      <c r="K26" s="4" t="str">
        <f ca="1">IFERROR(__xludf.DUMMYFUNCTION("""COMPUTED_VALUE"""),"新規")</f>
        <v>新規</v>
      </c>
      <c r="L26" s="4" t="str">
        <f ca="1">IFERROR(__xludf.DUMMYFUNCTION("""COMPUTED_VALUE"""),"入院先の病院")</f>
        <v>入院先の病院</v>
      </c>
      <c r="M26" s="4" t="str">
        <f ca="1">IFERROR(__xludf.DUMMYFUNCTION("""COMPUTED_VALUE"""),"もともと自宅で夫と次男と3人で暮らしていた。10月4日に体動が困難となり、10月5日に津生協病院へ搬送され入院。もともと転倒も多くあったり、左大腿骨転子部に褥瘡もあり廃用症候群と診断があった。また軽度の尿路感染症もあり治療にて改善。褥瘡は改善傾向にあるものの、治療の継続が必要であり、また認知機能の低下や、現在の生活状況では自宅で過ごすことは困難であり、旦那様と一緒に入居できる施設を探し安濃津ろまんへ入居することとなった。")</f>
        <v>もともと自宅で夫と次男と3人で暮らしていた。10月4日に体動が困難となり、10月5日に津生協病院へ搬送され入院。もともと転倒も多くあったり、左大腿骨転子部に褥瘡もあり廃用症候群と診断があった。また軽度の尿路感染症もあり治療にて改善。褥瘡は改善傾向にあるものの、治療の継続が必要であり、また認知機能の低下や、現在の生活状況では自宅で過ごすことは困難であり、旦那様と一緒に入居できる施設を探し安濃津ろまんへ入居することとなった。</v>
      </c>
      <c r="N26" s="4" t="str">
        <f ca="1">IFERROR(__xludf.DUMMYFUNCTION("""COMPUTED_VALUE"""),"認知機能の低下により聴取が困難であった。")</f>
        <v>認知機能の低下により聴取が困難であった。</v>
      </c>
      <c r="O26" s="4"/>
      <c r="P26" s="4"/>
      <c r="Q26" s="4"/>
      <c r="R26" s="4"/>
      <c r="S26" s="4"/>
      <c r="T26" s="4"/>
      <c r="U26" s="4"/>
      <c r="V26" s="4"/>
      <c r="W26" s="4"/>
      <c r="X26" s="4"/>
      <c r="Y26" s="4"/>
      <c r="Z26" s="4"/>
      <c r="AA26" s="4"/>
      <c r="AB26" s="4"/>
      <c r="AC26" s="4"/>
      <c r="AD26" s="4"/>
      <c r="AE26" s="4" t="str">
        <f ca="1">IFERROR(__xludf.DUMMYFUNCTION("""COMPUTED_VALUE"""),"入力")</f>
        <v>入力</v>
      </c>
      <c r="AF26" s="4" t="str">
        <f ca="1">IFERROR(__xludf.DUMMYFUNCTION("""COMPUTED_VALUE"""),"岡本　敦")</f>
        <v>岡本　敦</v>
      </c>
      <c r="AG26" s="4" t="str">
        <f ca="1">IFERROR(__xludf.DUMMYFUNCTION("""COMPUTED_VALUE"""),"夫")</f>
        <v>夫</v>
      </c>
      <c r="AH26" s="4"/>
      <c r="AI26" s="4" t="str">
        <f ca="1">IFERROR(__xludf.DUMMYFUNCTION("""COMPUTED_VALUE"""),"同居")</f>
        <v>同居</v>
      </c>
      <c r="AJ26" s="4" t="str">
        <f ca="1">IFERROR(__xludf.DUMMYFUNCTION("""COMPUTED_VALUE"""),"介護する")</f>
        <v>介護する</v>
      </c>
      <c r="AK26" s="4" t="str">
        <f ca="1">IFERROR(__xludf.DUMMYFUNCTION("""COMPUTED_VALUE"""),"無")</f>
        <v>無</v>
      </c>
      <c r="AL26" s="4"/>
      <c r="AM26" s="4" t="str">
        <f ca="1">IFERROR(__xludf.DUMMYFUNCTION("""COMPUTED_VALUE"""),"同居")</f>
        <v>同居</v>
      </c>
      <c r="AN26" s="4" t="str">
        <f ca="1">IFERROR(__xludf.DUMMYFUNCTION("""COMPUTED_VALUE"""),"岡本　恒")</f>
        <v>岡本　恒</v>
      </c>
      <c r="AO26" s="4" t="str">
        <f ca="1">IFERROR(__xludf.DUMMYFUNCTION("""COMPUTED_VALUE"""),"次男")</f>
        <v>次男</v>
      </c>
      <c r="AP26" s="4"/>
      <c r="AQ26" s="4" t="str">
        <f ca="1">IFERROR(__xludf.DUMMYFUNCTION("""COMPUTED_VALUE"""),"別居")</f>
        <v>別居</v>
      </c>
      <c r="AR26" s="4" t="str">
        <f ca="1">IFERROR(__xludf.DUMMYFUNCTION("""COMPUTED_VALUE"""),"介護する")</f>
        <v>介護する</v>
      </c>
      <c r="AS26" s="4"/>
      <c r="AT26" s="4" t="str">
        <f ca="1">IFERROR(__xludf.DUMMYFUNCTION("""COMPUTED_VALUE"""),"090-4401-4114")</f>
        <v>090-4401-4114</v>
      </c>
      <c r="AU26" s="4" t="str">
        <f ca="1">IFERROR(__xludf.DUMMYFUNCTION("""COMPUTED_VALUE"""),"KP")</f>
        <v>KP</v>
      </c>
      <c r="AV26" s="4"/>
      <c r="AW26" s="4" t="str">
        <f ca="1">IFERROR(__xludf.DUMMYFUNCTION("""COMPUTED_VALUE"""),"入力")</f>
        <v>入力</v>
      </c>
      <c r="AX26" s="4" t="str">
        <f ca="1">IFERROR(__xludf.DUMMYFUNCTION("""COMPUTED_VALUE"""),"家族同居")</f>
        <v>家族同居</v>
      </c>
      <c r="AY26" s="4" t="str">
        <f ca="1">IFERROR(__xludf.DUMMYFUNCTION("""COMPUTED_VALUE"""),"集合住宅")</f>
        <v>集合住宅</v>
      </c>
      <c r="AZ26" s="4" t="str">
        <f ca="1">IFERROR(__xludf.DUMMYFUNCTION("""COMPUTED_VALUE"""),"エレベーター有")</f>
        <v>エレベーター有</v>
      </c>
      <c r="BA26" s="4" t="str">
        <f ca="1">IFERROR(__xludf.DUMMYFUNCTION("""COMPUTED_VALUE"""),"賃貸")</f>
        <v>賃貸</v>
      </c>
      <c r="BB26" s="4" t="str">
        <f ca="1">IFERROR(__xludf.DUMMYFUNCTION("""COMPUTED_VALUE"""),"有")</f>
        <v>有</v>
      </c>
      <c r="BC26" s="4" t="str">
        <f ca="1">IFERROR(__xludf.DUMMYFUNCTION("""COMPUTED_VALUE"""),"有")</f>
        <v>有</v>
      </c>
      <c r="BD26" s="4" t="str">
        <f ca="1">IFERROR(__xludf.DUMMYFUNCTION("""COMPUTED_VALUE"""),"洋式")</f>
        <v>洋式</v>
      </c>
      <c r="BE26" s="4" t="str">
        <f ca="1">IFERROR(__xludf.DUMMYFUNCTION("""COMPUTED_VALUE"""),"手すり有")</f>
        <v>手すり有</v>
      </c>
      <c r="BF26" s="4" t="str">
        <f ca="1">IFERROR(__xludf.DUMMYFUNCTION("""COMPUTED_VALUE"""),"段差無")</f>
        <v>段差無</v>
      </c>
      <c r="BG26" s="4" t="str">
        <f ca="1">IFERROR(__xludf.DUMMYFUNCTION("""COMPUTED_VALUE"""),"有")</f>
        <v>有</v>
      </c>
      <c r="BH26" s="4" t="str">
        <f ca="1">IFERROR(__xludf.DUMMYFUNCTION("""COMPUTED_VALUE"""),"手すり有")</f>
        <v>手すり有</v>
      </c>
      <c r="BI26" s="4" t="str">
        <f ca="1">IFERROR(__xludf.DUMMYFUNCTION("""COMPUTED_VALUE"""),"リクライニングベッド")</f>
        <v>リクライニングベッド</v>
      </c>
      <c r="BJ26" s="4" t="str">
        <f ca="1">IFERROR(__xludf.DUMMYFUNCTION("""COMPUTED_VALUE"""),"無")</f>
        <v>無</v>
      </c>
      <c r="BK26" s="4" t="str">
        <f ca="1">IFERROR(__xludf.DUMMYFUNCTION("""COMPUTED_VALUE"""),"無")</f>
        <v>無</v>
      </c>
      <c r="BL26" s="4" t="str">
        <f ca="1">IFERROR(__xludf.DUMMYFUNCTION("""COMPUTED_VALUE"""),"無")</f>
        <v>無</v>
      </c>
      <c r="BM26" s="4" t="str">
        <f ca="1">IFERROR(__xludf.DUMMYFUNCTION("""COMPUTED_VALUE"""),"無")</f>
        <v>無</v>
      </c>
      <c r="BN26" s="4"/>
      <c r="BO26" s="4" t="str">
        <f ca="1">IFERROR(__xludf.DUMMYFUNCTION("""COMPUTED_VALUE"""),"入力")</f>
        <v>入力</v>
      </c>
      <c r="BP26" s="4"/>
      <c r="BQ26" s="4"/>
      <c r="BR26" s="4"/>
      <c r="BS26" s="4"/>
      <c r="BT26" s="4"/>
      <c r="BU26" s="4"/>
      <c r="BV26" s="4"/>
      <c r="BW26" s="4" t="str">
        <f ca="1">IFERROR(__xludf.DUMMYFUNCTION("""COMPUTED_VALUE"""),"入力")</f>
        <v>入力</v>
      </c>
      <c r="BX26" s="4" t="str">
        <f ca="1">IFERROR(__xludf.DUMMYFUNCTION("""COMPUTED_VALUE"""),"廃用症候群")</f>
        <v>廃用症候群</v>
      </c>
      <c r="BY26" s="4" t="str">
        <f ca="1">IFERROR(__xludf.DUMMYFUNCTION("""COMPUTED_VALUE"""),"令和6年10月5日")</f>
        <v>令和6年10月5日</v>
      </c>
      <c r="BZ26" s="4" t="str">
        <f ca="1">IFERROR(__xludf.DUMMYFUNCTION("""COMPUTED_VALUE"""),"慢性心不全")</f>
        <v>慢性心不全</v>
      </c>
      <c r="CA26" s="4" t="str">
        <f ca="1">IFERROR(__xludf.DUMMYFUNCTION("""COMPUTED_VALUE"""),"不詳")</f>
        <v>不詳</v>
      </c>
      <c r="CB26" s="4" t="str">
        <f ca="1">IFERROR(__xludf.DUMMYFUNCTION("""COMPUTED_VALUE"""),"高血圧症")</f>
        <v>高血圧症</v>
      </c>
      <c r="CC26" s="4" t="str">
        <f ca="1">IFERROR(__xludf.DUMMYFUNCTION("""COMPUTED_VALUE"""),"不詳")</f>
        <v>不詳</v>
      </c>
      <c r="CD26" s="4"/>
      <c r="CE26" s="4"/>
      <c r="CF26" s="4"/>
      <c r="CG26" s="4"/>
      <c r="CH26" s="4"/>
      <c r="CI26" s="4"/>
      <c r="CJ26" s="4" t="str">
        <f ca="1">IFERROR(__xludf.DUMMYFUNCTION("""COMPUTED_VALUE"""),"もともと津生協病院が主治医で通院を行っていたが、今後は往診に切り替わる。")</f>
        <v>もともと津生協病院が主治医で通院を行っていたが、今後は往診に切り替わる。</v>
      </c>
      <c r="CK26" s="4"/>
      <c r="CL26" s="4"/>
      <c r="CM26" s="4"/>
      <c r="CN26" s="4"/>
      <c r="CO26" s="4"/>
      <c r="CP26" s="4"/>
      <c r="CQ26" s="4"/>
      <c r="CR26" s="4"/>
      <c r="CS26" s="4" t="str">
        <f ca="1">IFERROR(__xludf.DUMMYFUNCTION("""COMPUTED_VALUE"""),"その他、喘息や腎機能障害、高カリウム血症などの既往がある。また左大腿骨転子部に褥瘡あり。
食物、薬剤のアレルギーはなし。")</f>
        <v>その他、喘息や腎機能障害、高カリウム血症などの既往がある。また左大腿骨転子部に褥瘡あり。
食物、薬剤のアレルギーはなし。</v>
      </c>
      <c r="CT26" s="4" t="str">
        <f ca="1">IFERROR(__xludf.DUMMYFUNCTION("""COMPUTED_VALUE"""),"・トラセミドOD錠4mg「TF」（利尿）
・アムロジピンOD錠5mg「トーワ」（降圧）
・アミティーザカプセル12μg（下剤）
・クエン酸第一鉄Na錠50mg「サワイ」（造血）
袋の開封や口まで服薬を運ぶ介助が必要。入居後はローレル薬局を契約。")</f>
        <v>・トラセミドOD錠4mg「TF」（利尿）
・アムロジピンOD錠5mg「トーワ」（降圧）
・アミティーザカプセル12μg（下剤）
・クエン酸第一鉄Na錠50mg「サワイ」（造血）
袋の開封や口まで服薬を運ぶ介助が必要。入居後はローレル薬局を契約。</v>
      </c>
      <c r="CU26" s="4"/>
      <c r="CV26" s="4"/>
      <c r="CW26" s="4"/>
      <c r="CX26" s="4" t="str">
        <f ca="1">IFERROR(__xludf.DUMMYFUNCTION("""COMPUTED_VALUE"""),"入力")</f>
        <v>入力</v>
      </c>
      <c r="CY26" s="4" t="str">
        <f ca="1">IFERROR(__xludf.DUMMYFUNCTION("""COMPUTED_VALUE"""),"床ずれ")</f>
        <v>床ずれ</v>
      </c>
      <c r="CZ26" s="4" t="str">
        <f ca="1">IFERROR(__xludf.DUMMYFUNCTION("""COMPUTED_VALUE"""),"無")</f>
        <v>無</v>
      </c>
      <c r="DA26" s="4" t="str">
        <f ca="1">IFERROR(__xludf.DUMMYFUNCTION("""COMPUTED_VALUE"""),"無")</f>
        <v>無</v>
      </c>
      <c r="DB26" s="4" t="str">
        <f ca="1">IFERROR(__xludf.DUMMYFUNCTION("""COMPUTED_VALUE"""),"特になし。")</f>
        <v>特になし。</v>
      </c>
      <c r="DC26" s="4" t="str">
        <f ca="1">IFERROR(__xludf.DUMMYFUNCTION("""COMPUTED_VALUE"""),"褥瘡部")</f>
        <v>褥瘡部</v>
      </c>
      <c r="DD26" s="4">
        <f ca="1">IFERROR(__xludf.DUMMYFUNCTION("""COMPUTED_VALUE"""),140)</f>
        <v>140</v>
      </c>
      <c r="DE26" s="4">
        <f ca="1">IFERROR(__xludf.DUMMYFUNCTION("""COMPUTED_VALUE"""),43)</f>
        <v>43</v>
      </c>
      <c r="DF26" s="4" t="str">
        <f ca="1">IFERROR(__xludf.DUMMYFUNCTION("""COMPUTED_VALUE"""),"大きい字は可")</f>
        <v>大きい字は可</v>
      </c>
      <c r="DG26" s="4" t="str">
        <f ca="1">IFERROR(__xludf.DUMMYFUNCTION("""COMPUTED_VALUE"""),"無")</f>
        <v>無</v>
      </c>
      <c r="DH26" s="4" t="str">
        <f ca="1">IFERROR(__xludf.DUMMYFUNCTION("""COMPUTED_VALUE"""),"大きい声は可")</f>
        <v>大きい声は可</v>
      </c>
      <c r="DI26" s="4" t="str">
        <f ca="1">IFERROR(__xludf.DUMMYFUNCTION("""COMPUTED_VALUE"""),"無")</f>
        <v>無</v>
      </c>
      <c r="DJ26" s="4" t="str">
        <f ca="1">IFERROR(__xludf.DUMMYFUNCTION("""COMPUTED_VALUE"""),"難聴があり大きな声でお話しする必要がある。
左大腿骨転子部に褥瘡（12/5時点で1.5㎝×2㎝）があり改善傾向であるものの治療の継続が必要。治療内容は、洗浄後、ワセリン塗布、ガーゼ保護（1回/日）
入院中に尿路感染症は完治しており、高K血症もデータの改善が見られている。
90歳を超えており、心不全等の精査や治療などは行っていないが、浮腫もなく概ね病状は安定されている。
体重推移の把握は必要。")</f>
        <v>難聴があり大きな声でお話しする必要がある。
左大腿骨転子部に褥瘡（12/5時点で1.5㎝×2㎝）があり改善傾向であるものの治療の継続が必要。治療内容は、洗浄後、ワセリン塗布、ガーゼ保護（1回/日）
入院中に尿路感染症は完治しており、高K血症もデータの改善が見られている。
90歳を超えており、心不全等の精査や治療などは行っていないが、浮腫もなく概ね病状は安定されている。
体重推移の把握は必要。</v>
      </c>
      <c r="DK26" s="4"/>
      <c r="DL26" s="4" t="str">
        <f ca="1">IFERROR(__xludf.DUMMYFUNCTION("""COMPUTED_VALUE"""),"入力")</f>
        <v>入力</v>
      </c>
      <c r="DM26" s="4" t="str">
        <f ca="1">IFERROR(__xludf.DUMMYFUNCTION("""COMPUTED_VALUE"""),"有")</f>
        <v>有</v>
      </c>
      <c r="DN26" s="4" t="str">
        <f ca="1">IFERROR(__xludf.DUMMYFUNCTION("""COMPUTED_VALUE"""),"中等度")</f>
        <v>中等度</v>
      </c>
      <c r="DO26" s="4" t="str">
        <f ca="1">IFERROR(__xludf.DUMMYFUNCTION("""COMPUTED_VALUE"""),"介護抵抗")</f>
        <v>介護抵抗</v>
      </c>
      <c r="DP26" s="4" t="str">
        <f ca="1">IFERROR(__xludf.DUMMYFUNCTION("""COMPUTED_VALUE"""),"不明瞭")</f>
        <v>不明瞭</v>
      </c>
      <c r="DQ26" s="4" t="str">
        <f ca="1">IFERROR(__xludf.DUMMYFUNCTION("""COMPUTED_VALUE"""),"やや不自由")</f>
        <v>やや不自由</v>
      </c>
      <c r="DR26" s="4" t="str">
        <f ca="1">IFERROR(__xludf.DUMMYFUNCTION("""COMPUTED_VALUE"""),"認知機能の低下が強く、意思の疎通は可能だが難しい内容は理解が困難。離床を伴うリハビリやめんどくさいことを嫌い、介護抵抗が見られるものの、手が出たりすることはない。
本人の意思を確認すると、イヤ、イヤ言うため、病院職員はやや強引に誘導している。")</f>
        <v>認知機能の低下が強く、意思の疎通は可能だが難しい内容は理解が困難。離床を伴うリハビリやめんどくさいことを嫌い、介護抵抗が見られるものの、手が出たりすることはない。
本人の意思を確認すると、イヤ、イヤ言うため、病院職員はやや強引に誘導している。</v>
      </c>
      <c r="DS26" s="4"/>
      <c r="DT26" s="4"/>
      <c r="DU26" s="4" t="str">
        <f ca="1">IFERROR(__xludf.DUMMYFUNCTION("""COMPUTED_VALUE"""),"入力")</f>
        <v>入力</v>
      </c>
      <c r="DV26" s="4" t="str">
        <f ca="1">IFERROR(__xludf.DUMMYFUNCTION("""COMPUTED_VALUE"""),"できない")</f>
        <v>できない</v>
      </c>
      <c r="DW26" s="4" t="str">
        <f ca="1">IFERROR(__xludf.DUMMYFUNCTION("""COMPUTED_VALUE"""),"できない")</f>
        <v>できない</v>
      </c>
      <c r="DX26" s="4" t="str">
        <f ca="1">IFERROR(__xludf.DUMMYFUNCTION("""COMPUTED_VALUE"""),"支えてもらえればできる")</f>
        <v>支えてもらえればできる</v>
      </c>
      <c r="DY26" s="4" t="str">
        <f ca="1">IFERROR(__xludf.DUMMYFUNCTION("""COMPUTED_VALUE"""),"できない")</f>
        <v>できない</v>
      </c>
      <c r="DZ26" s="4" t="str">
        <f ca="1">IFERROR(__xludf.DUMMYFUNCTION("""COMPUTED_VALUE"""),"できない")</f>
        <v>できない</v>
      </c>
      <c r="EA26" s="4" t="str">
        <f ca="1">IFERROR(__xludf.DUMMYFUNCTION("""COMPUTED_VALUE"""),"全介助")</f>
        <v>全介助</v>
      </c>
      <c r="EB26" s="4" t="str">
        <f ca="1">IFERROR(__xludf.DUMMYFUNCTION("""COMPUTED_VALUE"""),"全介助")</f>
        <v>全介助</v>
      </c>
      <c r="EC26" s="4" t="str">
        <f ca="1">IFERROR(__xludf.DUMMYFUNCTION("""COMPUTED_VALUE"""),"車椅子")</f>
        <v>車椅子</v>
      </c>
      <c r="ED26" s="4" t="str">
        <f ca="1">IFERROR(__xludf.DUMMYFUNCTION("""COMPUTED_VALUE"""),"全介助")</f>
        <v>全介助</v>
      </c>
      <c r="EE26" s="4" t="str">
        <f ca="1">IFERROR(__xludf.DUMMYFUNCTION("""COMPUTED_VALUE"""),"車椅子")</f>
        <v>車椅子</v>
      </c>
      <c r="EF26" s="4" t="str">
        <f ca="1">IFERROR(__xludf.DUMMYFUNCTION("""COMPUTED_VALUE"""),"起居動作はご自身で時間を要せばできるときと、出来ないときでムラがあり、頻度的には出来ないことが多い。
ただ、急にスイッチが入り起き上がってしまうこともあり、12月4日にベッドから転落されているため病院では見守りセンサーを使用している。
起居動作はご自身で行うことが出来ないことが多いため、全介助を要す。
移動は車いすを使用されているが、20分程度で疲労により前方へ臀部がズレ姿勢が崩れる。最長1時間程度の車いす座位は何とか可能。
食事の待ち時間が苦痛なため、配慮が必要。
左大腿骨転子部に褥瘡があるものの、ご自"&amp;"身で体位交換が行えないことが多いため定時で体位交換が必要。")</f>
        <v>起居動作はご自身で時間を要せばできるときと、出来ないときでムラがあり、頻度的には出来ないことが多い。
ただ、急にスイッチが入り起き上がってしまうこともあり、12月4日にベッドから転落されているため病院では見守りセンサーを使用している。
起居動作はご自身で行うことが出来ないことが多いため、全介助を要す。
移動は車いすを使用されているが、20分程度で疲労により前方へ臀部がズレ姿勢が崩れる。最長1時間程度の車いす座位は何とか可能。
食事の待ち時間が苦痛なため、配慮が必要。
左大腿骨転子部に褥瘡があるものの、ご自身で体位交換が行えないことが多いため定時で体位交換が必要。</v>
      </c>
      <c r="EG26" s="4"/>
      <c r="EH26" s="4" t="str">
        <f ca="1">IFERROR(__xludf.DUMMYFUNCTION("""COMPUTED_VALUE"""),"入力")</f>
        <v>入力</v>
      </c>
      <c r="EI26" s="4" t="str">
        <f ca="1">IFERROR(__xludf.DUMMYFUNCTION("""COMPUTED_VALUE"""),"入力")</f>
        <v>入力</v>
      </c>
      <c r="EJ26" s="4" t="str">
        <f ca="1">IFERROR(__xludf.DUMMYFUNCTION("""COMPUTED_VALUE"""),"経口摂取")</f>
        <v>経口摂取</v>
      </c>
      <c r="EK26" s="4" t="str">
        <f ca="1">IFERROR(__xludf.DUMMYFUNCTION("""COMPUTED_VALUE"""),"自立")</f>
        <v>自立</v>
      </c>
      <c r="EL26" s="4" t="str">
        <f ca="1">IFERROR(__xludf.DUMMYFUNCTION("""COMPUTED_VALUE"""),"できる")</f>
        <v>できる</v>
      </c>
      <c r="EM26" s="4" t="str">
        <f ca="1">IFERROR(__xludf.DUMMYFUNCTION("""COMPUTED_VALUE"""),"軟飯")</f>
        <v>軟飯</v>
      </c>
      <c r="EN26" s="4" t="str">
        <f ca="1">IFERROR(__xludf.DUMMYFUNCTION("""COMPUTED_VALUE"""),"一口大")</f>
        <v>一口大</v>
      </c>
      <c r="EO26" s="4" t="str">
        <f ca="1">IFERROR(__xludf.DUMMYFUNCTION("""COMPUTED_VALUE"""),"無")</f>
        <v>無</v>
      </c>
      <c r="EP26" s="4" t="str">
        <f ca="1">IFERROR(__xludf.DUMMYFUNCTION("""COMPUTED_VALUE"""),"無")</f>
        <v>無</v>
      </c>
      <c r="EQ26" s="4" t="str">
        <f ca="1">IFERROR(__xludf.DUMMYFUNCTION("""COMPUTED_VALUE"""),"スプーン")</f>
        <v>スプーン</v>
      </c>
      <c r="ER26" s="4" t="str">
        <f ca="1">IFERROR(__xludf.DUMMYFUNCTION("""COMPUTED_VALUE"""),"食事は経口摂取が可能で、トロミもなくむせ込みもない。
疲労しやすいため、副食は一口大にし食べやすいように工夫している。
主食は概ね全量摂取されるが、副食の摂取量はムラがあり2割～7割程度となっている。")</f>
        <v>食事は経口摂取が可能で、トロミもなくむせ込みもない。
疲労しやすいため、副食は一口大にし食べやすいように工夫している。
主食は概ね全量摂取されるが、副食の摂取量はムラがあり2割～7割程度となっている。</v>
      </c>
      <c r="ES26" s="4"/>
      <c r="ET26" s="4" t="str">
        <f ca="1">IFERROR(__xludf.DUMMYFUNCTION("""COMPUTED_VALUE"""),"入力")</f>
        <v>入力</v>
      </c>
      <c r="EU26" s="4" t="str">
        <f ca="1">IFERROR(__xludf.DUMMYFUNCTION("""COMPUTED_VALUE"""),"全介助")</f>
        <v>全介助</v>
      </c>
      <c r="EV26" s="4" t="str">
        <f ca="1">IFERROR(__xludf.DUMMYFUNCTION("""COMPUTED_VALUE"""),"無")</f>
        <v>無</v>
      </c>
      <c r="EW26" s="4" t="str">
        <f ca="1">IFERROR(__xludf.DUMMYFUNCTION("""COMPUTED_VALUE"""),"有")</f>
        <v>有</v>
      </c>
      <c r="EX26" s="4" t="str">
        <f ca="1">IFERROR(__xludf.DUMMYFUNCTION("""COMPUTED_VALUE"""),"総義歯")</f>
        <v>総義歯</v>
      </c>
      <c r="EY26" s="4" t="str">
        <f ca="1">IFERROR(__xludf.DUMMYFUNCTION("""COMPUTED_VALUE"""),"上下")</f>
        <v>上下</v>
      </c>
      <c r="EZ26" s="4" t="str">
        <f ca="1">IFERROR(__xludf.DUMMYFUNCTION("""COMPUTED_VALUE"""),"自歯はなく上下ともに総義歯となっている。ご自身で洗浄することは不可能なため介助が必要。")</f>
        <v>自歯はなく上下ともに総義歯となっている。ご自身で洗浄することは不可能なため介助が必要。</v>
      </c>
      <c r="FA26" s="4"/>
      <c r="FB26" s="4" t="str">
        <f ca="1">IFERROR(__xludf.DUMMYFUNCTION("""COMPUTED_VALUE"""),"入力")</f>
        <v>入力</v>
      </c>
      <c r="FC26" s="4" t="str">
        <f ca="1">IFERROR(__xludf.DUMMYFUNCTION("""COMPUTED_VALUE"""),"全介助")</f>
        <v>全介助</v>
      </c>
      <c r="FD26" s="4" t="str">
        <f ca="1">IFERROR(__xludf.DUMMYFUNCTION("""COMPUTED_VALUE"""),"寝台浴")</f>
        <v>寝台浴</v>
      </c>
      <c r="FE26" s="4" t="str">
        <f ca="1">IFERROR(__xludf.DUMMYFUNCTION("""COMPUTED_VALUE"""),"無")</f>
        <v>無</v>
      </c>
      <c r="FF26" s="4"/>
      <c r="FG26" s="4" t="str">
        <f ca="1">IFERROR(__xludf.DUMMYFUNCTION("""COMPUTED_VALUE"""),"全介助")</f>
        <v>全介助</v>
      </c>
      <c r="FH26" s="4" t="str">
        <f ca="1">IFERROR(__xludf.DUMMYFUNCTION("""COMPUTED_VALUE"""),"全介助")</f>
        <v>全介助</v>
      </c>
      <c r="FI26" s="4" t="str">
        <f ca="1">IFERROR(__xludf.DUMMYFUNCTION("""COMPUTED_VALUE"""),"入浴は寝台浴にて全介助を要す。更衣は協力動作はあるもののほとんど介助を行っている。")</f>
        <v>入浴は寝台浴にて全介助を要す。更衣は協力動作はあるもののほとんど介助を行っている。</v>
      </c>
      <c r="FJ26" s="4"/>
      <c r="FK26" s="4" t="str">
        <f ca="1">IFERROR(__xludf.DUMMYFUNCTION("""COMPUTED_VALUE"""),"入力")</f>
        <v>入力</v>
      </c>
      <c r="FL26" s="4" t="str">
        <f ca="1">IFERROR(__xludf.DUMMYFUNCTION("""COMPUTED_VALUE"""),"全介助")</f>
        <v>全介助</v>
      </c>
      <c r="FM26" s="4"/>
      <c r="FN26" s="4" t="str">
        <f ca="1">IFERROR(__xludf.DUMMYFUNCTION("""COMPUTED_VALUE"""),"有")</f>
        <v>有</v>
      </c>
      <c r="FO26" s="4"/>
      <c r="FP26" s="4" t="str">
        <f ca="1">IFERROR(__xludf.DUMMYFUNCTION("""COMPUTED_VALUE"""),"有")</f>
        <v>有</v>
      </c>
      <c r="FQ26" s="4"/>
      <c r="FR26" s="4" t="str">
        <f ca="1">IFERROR(__xludf.DUMMYFUNCTION("""COMPUTED_VALUE"""),"オムツ")</f>
        <v>オムツ</v>
      </c>
      <c r="FS26" s="4" t="str">
        <f ca="1">IFERROR(__xludf.DUMMYFUNCTION("""COMPUTED_VALUE"""),"オムツ")</f>
        <v>オムツ</v>
      </c>
      <c r="FT26" s="4" t="str">
        <f ca="1">IFERROR(__xludf.DUMMYFUNCTION("""COMPUTED_VALUE"""),"紙おむつ , 大パット")</f>
        <v>紙おむつ , 大パット</v>
      </c>
      <c r="FU26" s="4" t="str">
        <f ca="1">IFERROR(__xludf.DUMMYFUNCTION("""COMPUTED_VALUE"""),"排泄は終日オムツ対応となっており、定期的にパット交換を行う必要がある。")</f>
        <v>排泄は終日オムツ対応となっており、定期的にパット交換を行う必要がある。</v>
      </c>
      <c r="FV26" s="4"/>
      <c r="FW26" s="4"/>
      <c r="FX26" s="4" t="str">
        <f ca="1">IFERROR(__xludf.DUMMYFUNCTION("""COMPUTED_VALUE"""),"入力")</f>
        <v>入力</v>
      </c>
      <c r="FY26" s="4" t="str">
        <f ca="1">IFERROR(__xludf.DUMMYFUNCTION("""COMPUTED_VALUE"""),"全介助")</f>
        <v>全介助</v>
      </c>
      <c r="FZ26" s="4" t="str">
        <f ca="1">IFERROR(__xludf.DUMMYFUNCTION("""COMPUTED_VALUE"""),"全介助")</f>
        <v>全介助</v>
      </c>
      <c r="GA26" s="4" t="str">
        <f ca="1">IFERROR(__xludf.DUMMYFUNCTION("""COMPUTED_VALUE"""),"全介助")</f>
        <v>全介助</v>
      </c>
      <c r="GB26" s="4" t="str">
        <f ca="1">IFERROR(__xludf.DUMMYFUNCTION("""COMPUTED_VALUE"""),"全介助")</f>
        <v>全介助</v>
      </c>
      <c r="GC26" s="4" t="str">
        <f ca="1">IFERROR(__xludf.DUMMYFUNCTION("""COMPUTED_VALUE"""),"全介助")</f>
        <v>全介助</v>
      </c>
      <c r="GD26" s="4" t="str">
        <f ca="1">IFERROR(__xludf.DUMMYFUNCTION("""COMPUTED_VALUE"""),"IADLはすべて全介助となっている。")</f>
        <v>IADLはすべて全介助となっている。</v>
      </c>
      <c r="GE26" s="4"/>
      <c r="GF26" s="4"/>
      <c r="GG26" s="4" t="str">
        <f ca="1">IFERROR(__xludf.DUMMYFUNCTION("""COMPUTED_VALUE"""),"旦那様と2人部屋に入居される。
常に見守りがある状況のため、見守りセンサー等は使用しない。
旦那様の介護負担軽減を目的にデイサービスを多めに利用したいところではあるが、易疲労のため検討が必要。")</f>
        <v>旦那様と2人部屋に入居される。
常に見守りがある状況のため、見守りセンサー等は使用しない。
旦那様の介護負担軽減を目的にデイサービスを多めに利用したいところではあるが、易疲労のため検討が必要。</v>
      </c>
      <c r="GH26" s="4">
        <f ca="1">IFERROR(__xludf.DUMMYFUNCTION("""COMPUTED_VALUE"""),30)</f>
        <v>30</v>
      </c>
      <c r="GI26" s="4"/>
    </row>
    <row r="27" spans="1:191">
      <c r="A27" s="4"/>
      <c r="B27" s="4"/>
      <c r="C27" s="4" t="str">
        <f ca="1">IFERROR(__xludf.DUMMYFUNCTION("""COMPUTED_VALUE"""),"池村　洋子")</f>
        <v>池村　洋子</v>
      </c>
      <c r="D27" s="4" t="str">
        <f ca="1">IFERROR(__xludf.DUMMYFUNCTION("""COMPUTED_VALUE"""),"e5230e22")</f>
        <v>e5230e22</v>
      </c>
      <c r="E27" s="4"/>
      <c r="F27" s="4"/>
      <c r="G27" s="4"/>
      <c r="H27" s="4"/>
      <c r="I27" s="5">
        <f ca="1">IFERROR(__xludf.DUMMYFUNCTION("""COMPUTED_VALUE"""),45640)</f>
        <v>45640</v>
      </c>
      <c r="J27" s="4" t="str">
        <f ca="1">IFERROR(__xludf.DUMMYFUNCTION("""COMPUTED_VALUE"""),"山川　和輝")</f>
        <v>山川　和輝</v>
      </c>
      <c r="K27" s="4" t="str">
        <f ca="1">IFERROR(__xludf.DUMMYFUNCTION("""COMPUTED_VALUE"""),"更新")</f>
        <v>更新</v>
      </c>
      <c r="L27" s="4" t="str">
        <f ca="1">IFERROR(__xludf.DUMMYFUNCTION("""COMPUTED_VALUE"""),"本人の居室")</f>
        <v>本人の居室</v>
      </c>
      <c r="M27" s="4" t="str">
        <f ca="1">IFERROR(__xludf.DUMMYFUNCTION("""COMPUTED_VALUE"""),"もともと自宅で夫と二人で生活保護を受けながら生活されていたが、令和3年10月頃に自宅でごみを燃やしていた際に火の中へ転倒。脳梗塞後遺症におり左半側空間無視があったため、服に火が燃え移っていることに気が付かず、大やけどを負ってしまい三重大学病院に搬送。その後、三重中央医療センターや三重病院を経て、令和4年4月23日に安濃津ろまんへ入居となる。")</f>
        <v>もともと自宅で夫と二人で生活保護を受けながら生活されていたが、令和3年10月頃に自宅でごみを燃やしていた際に火の中へ転倒。脳梗塞後遺症におり左半側空間無視があったため、服に火が燃え移っていることに気が付かず、大やけどを負ってしまい三重大学病院に搬送。その後、三重中央医療センターや三重病院を経て、令和4年4月23日に安濃津ろまんへ入居となる。</v>
      </c>
      <c r="N27" s="4" t="str">
        <f ca="1">IFERROR(__xludf.DUMMYFUNCTION("""COMPUTED_VALUE"""),"このままここで生活したいです。")</f>
        <v>このままここで生活したいです。</v>
      </c>
      <c r="O27" s="4" t="str">
        <f ca="1">IFERROR(__xludf.DUMMYFUNCTION("""COMPUTED_VALUE"""),"安心できる環境で生活してほしいと思っています。")</f>
        <v>安心できる環境で生活してほしいと思っています。</v>
      </c>
      <c r="P27" s="4"/>
      <c r="Q27" s="4" t="str">
        <f ca="1">IFERROR(__xludf.DUMMYFUNCTION("""COMPUTED_VALUE"""),"入力")</f>
        <v>入力</v>
      </c>
      <c r="R27" s="4" t="str">
        <f ca="1">IFERROR(__xludf.DUMMYFUNCTION("""COMPUTED_VALUE"""),"要介護１")</f>
        <v>要介護１</v>
      </c>
      <c r="S27" s="4" t="str">
        <f ca="1">IFERROR(__xludf.DUMMYFUNCTION("""COMPUTED_VALUE"""),"令和6年12月12日")</f>
        <v>令和6年12月12日</v>
      </c>
      <c r="T27" s="4" t="str">
        <f ca="1">IFERROR(__xludf.DUMMYFUNCTION("""COMPUTED_VALUE"""),"令和7年1月1日")</f>
        <v>令和7年1月1日</v>
      </c>
      <c r="U27" s="4" t="str">
        <f ca="1">IFERROR(__xludf.DUMMYFUNCTION("""COMPUTED_VALUE"""),"令和8年12月31日")</f>
        <v>令和8年12月31日</v>
      </c>
      <c r="V27" s="4" t="str">
        <f ca="1">IFERROR(__xludf.DUMMYFUNCTION("""COMPUTED_VALUE"""),"１割負担")</f>
        <v>１割負担</v>
      </c>
      <c r="W27" s="4" t="str">
        <f ca="1">IFERROR(__xludf.DUMMYFUNCTION("""COMPUTED_VALUE"""),"生活保護")</f>
        <v>生活保護</v>
      </c>
      <c r="X27" s="4" t="str">
        <f ca="1">IFERROR(__xludf.DUMMYFUNCTION("""COMPUTED_VALUE"""),"無")</f>
        <v>無</v>
      </c>
      <c r="Y27" s="4"/>
      <c r="Z27" s="4" t="str">
        <f ca="1">IFERROR(__xludf.DUMMYFUNCTION("""COMPUTED_VALUE"""),"無")</f>
        <v>無</v>
      </c>
      <c r="AA27" s="4" t="str">
        <f ca="1">IFERROR(__xludf.DUMMYFUNCTION("""COMPUTED_VALUE"""),"有")</f>
        <v>有</v>
      </c>
      <c r="AB27" s="4"/>
      <c r="AC27" s="4"/>
      <c r="AD27" s="4"/>
      <c r="AE27" s="4" t="str">
        <f ca="1">IFERROR(__xludf.DUMMYFUNCTION("""COMPUTED_VALUE"""),"入力")</f>
        <v>入力</v>
      </c>
      <c r="AF27" s="4" t="str">
        <f ca="1">IFERROR(__xludf.DUMMYFUNCTION("""COMPUTED_VALUE"""),"池村　光明")</f>
        <v>池村　光明</v>
      </c>
      <c r="AG27" s="4" t="str">
        <f ca="1">IFERROR(__xludf.DUMMYFUNCTION("""COMPUTED_VALUE"""),"夫")</f>
        <v>夫</v>
      </c>
      <c r="AH27" s="4"/>
      <c r="AI27" s="4" t="str">
        <f ca="1">IFERROR(__xludf.DUMMYFUNCTION("""COMPUTED_VALUE"""),"別居")</f>
        <v>別居</v>
      </c>
      <c r="AJ27" s="4" t="str">
        <f ca="1">IFERROR(__xludf.DUMMYFUNCTION("""COMPUTED_VALUE"""),"介護しない")</f>
        <v>介護しない</v>
      </c>
      <c r="AK27" s="4" t="str">
        <f ca="1">IFERROR(__xludf.DUMMYFUNCTION("""COMPUTED_VALUE"""),"無")</f>
        <v>無</v>
      </c>
      <c r="AL27" s="4" t="str">
        <f ca="1">IFERROR(__xludf.DUMMYFUNCTION("""COMPUTED_VALUE"""),"090-8950-3974")</f>
        <v>090-8950-3974</v>
      </c>
      <c r="AM27" s="4" t="str">
        <f ca="1">IFERROR(__xludf.DUMMYFUNCTION("""COMPUTED_VALUE"""),"KP。介護サービスを受けている。")</f>
        <v>KP。介護サービスを受けている。</v>
      </c>
      <c r="AN27" s="4"/>
      <c r="AO27" s="4"/>
      <c r="AP27" s="4"/>
      <c r="AQ27" s="4"/>
      <c r="AR27" s="4"/>
      <c r="AS27" s="4"/>
      <c r="AT27" s="4"/>
      <c r="AU27" s="4"/>
      <c r="AV27" s="4"/>
      <c r="AW27" s="4" t="str">
        <f ca="1">IFERROR(__xludf.DUMMYFUNCTION("""COMPUTED_VALUE"""),"入力")</f>
        <v>入力</v>
      </c>
      <c r="AX27" s="4" t="str">
        <f ca="1">IFERROR(__xludf.DUMMYFUNCTION("""COMPUTED_VALUE"""),"一人暮らし")</f>
        <v>一人暮らし</v>
      </c>
      <c r="AY27" s="4" t="str">
        <f ca="1">IFERROR(__xludf.DUMMYFUNCTION("""COMPUTED_VALUE"""),"集合住宅")</f>
        <v>集合住宅</v>
      </c>
      <c r="AZ27" s="4" t="str">
        <f ca="1">IFERROR(__xludf.DUMMYFUNCTION("""COMPUTED_VALUE"""),"エレベーター有")</f>
        <v>エレベーター有</v>
      </c>
      <c r="BA27" s="4" t="str">
        <f ca="1">IFERROR(__xludf.DUMMYFUNCTION("""COMPUTED_VALUE"""),"賃貸")</f>
        <v>賃貸</v>
      </c>
      <c r="BB27" s="4" t="str">
        <f ca="1">IFERROR(__xludf.DUMMYFUNCTION("""COMPUTED_VALUE"""),"有")</f>
        <v>有</v>
      </c>
      <c r="BC27" s="4" t="str">
        <f ca="1">IFERROR(__xludf.DUMMYFUNCTION("""COMPUTED_VALUE"""),"有")</f>
        <v>有</v>
      </c>
      <c r="BD27" s="4" t="str">
        <f ca="1">IFERROR(__xludf.DUMMYFUNCTION("""COMPUTED_VALUE"""),"洋式")</f>
        <v>洋式</v>
      </c>
      <c r="BE27" s="4" t="str">
        <f ca="1">IFERROR(__xludf.DUMMYFUNCTION("""COMPUTED_VALUE"""),"手すり有")</f>
        <v>手すり有</v>
      </c>
      <c r="BF27" s="4" t="str">
        <f ca="1">IFERROR(__xludf.DUMMYFUNCTION("""COMPUTED_VALUE"""),"段差無")</f>
        <v>段差無</v>
      </c>
      <c r="BG27" s="4" t="str">
        <f ca="1">IFERROR(__xludf.DUMMYFUNCTION("""COMPUTED_VALUE"""),"有")</f>
        <v>有</v>
      </c>
      <c r="BH27" s="4" t="str">
        <f ca="1">IFERROR(__xludf.DUMMYFUNCTION("""COMPUTED_VALUE"""),"手すり有")</f>
        <v>手すり有</v>
      </c>
      <c r="BI27" s="4" t="str">
        <f ca="1">IFERROR(__xludf.DUMMYFUNCTION("""COMPUTED_VALUE"""),"リクライニングベッド")</f>
        <v>リクライニングベッド</v>
      </c>
      <c r="BJ27" s="4" t="str">
        <f ca="1">IFERROR(__xludf.DUMMYFUNCTION("""COMPUTED_VALUE"""),"無")</f>
        <v>無</v>
      </c>
      <c r="BK27" s="4" t="str">
        <f ca="1">IFERROR(__xludf.DUMMYFUNCTION("""COMPUTED_VALUE"""),"無")</f>
        <v>無</v>
      </c>
      <c r="BL27" s="4" t="str">
        <f ca="1">IFERROR(__xludf.DUMMYFUNCTION("""COMPUTED_VALUE"""),"無")</f>
        <v>無</v>
      </c>
      <c r="BM27" s="4" t="str">
        <f ca="1">IFERROR(__xludf.DUMMYFUNCTION("""COMPUTED_VALUE"""),"無")</f>
        <v>無</v>
      </c>
      <c r="BN27" s="4"/>
      <c r="BO27" s="4" t="str">
        <f ca="1">IFERROR(__xludf.DUMMYFUNCTION("""COMPUTED_VALUE"""),"入力")</f>
        <v>入力</v>
      </c>
      <c r="BP27" s="4" t="str">
        <f ca="1">IFERROR(__xludf.DUMMYFUNCTION("""COMPUTED_VALUE"""),"訪問介護 , 訪問看護 , 通所介護")</f>
        <v>訪問介護 , 訪問看護 , 通所介護</v>
      </c>
      <c r="BQ27" s="4" t="str">
        <f ca="1">IFERROR(__xludf.DUMMYFUNCTION("""COMPUTED_VALUE"""),"歩行器")</f>
        <v>歩行器</v>
      </c>
      <c r="BR27" s="4"/>
      <c r="BS27" s="4" t="str">
        <f ca="1">IFERROR(__xludf.DUMMYFUNCTION("""COMPUTED_VALUE"""),"食事支援 , 排泄支援 , リネンリース , 洗濯")</f>
        <v>食事支援 , 排泄支援 , リネンリース , 洗濯</v>
      </c>
      <c r="BT27" s="4" t="str">
        <f ca="1">IFERROR(__xludf.DUMMYFUNCTION("""COMPUTED_VALUE"""),"デイサービスでも他の利用者様と積極的に交流している。")</f>
        <v>デイサービスでも他の利用者様と積極的に交流している。</v>
      </c>
      <c r="BU27" s="4"/>
      <c r="BV27" s="4"/>
      <c r="BW27" s="4" t="str">
        <f ca="1">IFERROR(__xludf.DUMMYFUNCTION("""COMPUTED_VALUE"""),"入力")</f>
        <v>入力</v>
      </c>
      <c r="BX27" s="4" t="str">
        <f ca="1">IFERROR(__xludf.DUMMYFUNCTION("""COMPUTED_VALUE"""),"脳梗塞")</f>
        <v>脳梗塞</v>
      </c>
      <c r="BY27" s="4" t="str">
        <f ca="1">IFERROR(__xludf.DUMMYFUNCTION("""COMPUTED_VALUE"""),"不詳")</f>
        <v>不詳</v>
      </c>
      <c r="BZ27" s="4" t="str">
        <f ca="1">IFERROR(__xludf.DUMMYFUNCTION("""COMPUTED_VALUE"""),"Ⅱ型糖尿病")</f>
        <v>Ⅱ型糖尿病</v>
      </c>
      <c r="CA27" s="4" t="str">
        <f ca="1">IFERROR(__xludf.DUMMYFUNCTION("""COMPUTED_VALUE"""),"不詳")</f>
        <v>不詳</v>
      </c>
      <c r="CB27" s="4" t="str">
        <f ca="1">IFERROR(__xludf.DUMMYFUNCTION("""COMPUTED_VALUE"""),"高血圧症")</f>
        <v>高血圧症</v>
      </c>
      <c r="CC27" s="4" t="str">
        <f ca="1">IFERROR(__xludf.DUMMYFUNCTION("""COMPUTED_VALUE"""),"不詳")</f>
        <v>不詳</v>
      </c>
      <c r="CD27" s="4" t="str">
        <f ca="1">IFERROR(__xludf.DUMMYFUNCTION("""COMPUTED_VALUE"""),"不眠症")</f>
        <v>不眠症</v>
      </c>
      <c r="CE27" s="4" t="str">
        <f ca="1">IFERROR(__xludf.DUMMYFUNCTION("""COMPUTED_VALUE"""),"不詳")</f>
        <v>不詳</v>
      </c>
      <c r="CF27" s="4" t="str">
        <f ca="1">IFERROR(__xludf.DUMMYFUNCTION("""COMPUTED_VALUE"""),"便秘症")</f>
        <v>便秘症</v>
      </c>
      <c r="CG27" s="4" t="str">
        <f ca="1">IFERROR(__xludf.DUMMYFUNCTION("""COMPUTED_VALUE"""),"不詳")</f>
        <v>不詳</v>
      </c>
      <c r="CH27" s="4"/>
      <c r="CI27" s="4"/>
      <c r="CJ27" s="4" t="str">
        <f ca="1">IFERROR(__xludf.DUMMYFUNCTION("""COMPUTED_VALUE"""),"現在は往診のみとなっている。")</f>
        <v>現在は往診のみとなっている。</v>
      </c>
      <c r="CK27" s="4"/>
      <c r="CL27" s="4"/>
      <c r="CM27" s="4"/>
      <c r="CN27" s="4"/>
      <c r="CO27" s="4"/>
      <c r="CP27" s="4"/>
      <c r="CQ27" s="4"/>
      <c r="CR27" s="4"/>
      <c r="CS27" s="4" t="str">
        <f ca="1">IFERROR(__xludf.DUMMYFUNCTION("""COMPUTED_VALUE"""),"下肢火傷や脳梗塞の後遺症により注意機能障害や半側空間無視がある。")</f>
        <v>下肢火傷や脳梗塞の後遺症により注意機能障害や半側空間無視がある。</v>
      </c>
      <c r="CT27" s="4" t="str">
        <f ca="1">IFERROR(__xludf.DUMMYFUNCTION("""COMPUTED_VALUE"""),"お薬の内容についてはお薬手帳を参照。
服薬管理は、ローレル薬局で行い内服は職員が袋を開封しご本人様にお渡ししている。
下剤（マグミット錠）や睡眠薬（ベルソムラ錠）も内服されている。")</f>
        <v>お薬の内容についてはお薬手帳を参照。
服薬管理は、ローレル薬局で行い内服は職員が袋を開封しご本人様にお渡ししている。
下剤（マグミット錠）や睡眠薬（ベルソムラ錠）も内服されている。</v>
      </c>
      <c r="CU27" s="4"/>
      <c r="CV27" s="4"/>
      <c r="CW27" s="4"/>
      <c r="CX27" s="4" t="str">
        <f ca="1">IFERROR(__xludf.DUMMYFUNCTION("""COMPUTED_VALUE"""),"入力")</f>
        <v>入力</v>
      </c>
      <c r="CY27" s="4"/>
      <c r="CZ27" s="4" t="str">
        <f ca="1">IFERROR(__xludf.DUMMYFUNCTION("""COMPUTED_VALUE"""),"無")</f>
        <v>無</v>
      </c>
      <c r="DA27" s="4" t="str">
        <f ca="1">IFERROR(__xludf.DUMMYFUNCTION("""COMPUTED_VALUE"""),"無")</f>
        <v>無</v>
      </c>
      <c r="DB27" s="4" t="str">
        <f ca="1">IFERROR(__xludf.DUMMYFUNCTION("""COMPUTED_VALUE"""),"左側にやや麻痺あり")</f>
        <v>左側にやや麻痺あり</v>
      </c>
      <c r="DC27" s="4" t="str">
        <f ca="1">IFERROR(__xludf.DUMMYFUNCTION("""COMPUTED_VALUE"""),"特になし。")</f>
        <v>特になし。</v>
      </c>
      <c r="DD27" s="4"/>
      <c r="DE27" s="4"/>
      <c r="DF27" s="4" t="str">
        <f ca="1">IFERROR(__xludf.DUMMYFUNCTION("""COMPUTED_VALUE"""),"正常")</f>
        <v>正常</v>
      </c>
      <c r="DG27" s="4" t="str">
        <f ca="1">IFERROR(__xludf.DUMMYFUNCTION("""COMPUTED_VALUE"""),"無")</f>
        <v>無</v>
      </c>
      <c r="DH27" s="4" t="str">
        <f ca="1">IFERROR(__xludf.DUMMYFUNCTION("""COMPUTED_VALUE"""),"正常")</f>
        <v>正常</v>
      </c>
      <c r="DI27" s="4" t="str">
        <f ca="1">IFERROR(__xludf.DUMMYFUNCTION("""COMPUTED_VALUE"""),"無")</f>
        <v>無</v>
      </c>
      <c r="DJ27" s="4" t="str">
        <f ca="1">IFERROR(__xludf.DUMMYFUNCTION("""COMPUTED_VALUE"""),"脳梗塞の後遺症により左半側空間無視が見られる。麻痺はほとんどないが、左側の細かい動きはぎこちない。
両下肢の火傷については、皮膚状態は良くなっており、現在は保湿目的でワセリン等を塗布している。
Ⅱ型糖尿病があり、内服や食事を糖尿病食に変更し対応している。
主治医は加藤医院で定期的に往診を受けており、また週1回訪問看護ステーションが健康チェック等の支援に入ることで健康状態は比較的良好。")</f>
        <v>脳梗塞の後遺症により左半側空間無視が見られる。麻痺はほとんどないが、左側の細かい動きはぎこちない。
両下肢の火傷については、皮膚状態は良くなっており、現在は保湿目的でワセリン等を塗布している。
Ⅱ型糖尿病があり、内服や食事を糖尿病食に変更し対応している。
主治医は加藤医院で定期的に往診を受けており、また週1回訪問看護ステーションが健康チェック等の支援に入ることで健康状態は比較的良好。</v>
      </c>
      <c r="DK27" s="4"/>
      <c r="DL27" s="4" t="str">
        <f ca="1">IFERROR(__xludf.DUMMYFUNCTION("""COMPUTED_VALUE"""),"入力")</f>
        <v>入力</v>
      </c>
      <c r="DM27" s="4" t="str">
        <f ca="1">IFERROR(__xludf.DUMMYFUNCTION("""COMPUTED_VALUE"""),"有")</f>
        <v>有</v>
      </c>
      <c r="DN27" s="4" t="str">
        <f ca="1">IFERROR(__xludf.DUMMYFUNCTION("""COMPUTED_VALUE"""),"軽度")</f>
        <v>軽度</v>
      </c>
      <c r="DO27" s="4" t="str">
        <f ca="1">IFERROR(__xludf.DUMMYFUNCTION("""COMPUTED_VALUE"""),"大声・奇声 , 暴言")</f>
        <v>大声・奇声 , 暴言</v>
      </c>
      <c r="DP27" s="4" t="str">
        <f ca="1">IFERROR(__xludf.DUMMYFUNCTION("""COMPUTED_VALUE"""),"可能")</f>
        <v>可能</v>
      </c>
      <c r="DQ27" s="4" t="str">
        <f ca="1">IFERROR(__xludf.DUMMYFUNCTION("""COMPUTED_VALUE"""),"可能")</f>
        <v>可能</v>
      </c>
      <c r="DR27" s="4" t="str">
        <f ca="1">IFERROR(__xludf.DUMMYFUNCTION("""COMPUTED_VALUE"""),"認知機能は年相応にやや低下が見られるものの、施設での生活で支障が出るほどではない。
もともとの性格か声が大きかったり暴言のような発言も見られている。")</f>
        <v>認知機能は年相応にやや低下が見られるものの、施設での生活で支障が出るほどではない。
もともとの性格か声が大きかったり暴言のような発言も見られている。</v>
      </c>
      <c r="DS27" s="4"/>
      <c r="DT27" s="4"/>
      <c r="DU27" s="4" t="str">
        <f ca="1">IFERROR(__xludf.DUMMYFUNCTION("""COMPUTED_VALUE"""),"入力")</f>
        <v>入力</v>
      </c>
      <c r="DV27" s="4" t="str">
        <f ca="1">IFERROR(__xludf.DUMMYFUNCTION("""COMPUTED_VALUE"""),"何かにつかまればできる")</f>
        <v>何かにつかまればできる</v>
      </c>
      <c r="DW27" s="4" t="str">
        <f ca="1">IFERROR(__xludf.DUMMYFUNCTION("""COMPUTED_VALUE"""),"何かにつかまればできる")</f>
        <v>何かにつかまればできる</v>
      </c>
      <c r="DX27" s="4" t="str">
        <f ca="1">IFERROR(__xludf.DUMMYFUNCTION("""COMPUTED_VALUE"""),"自分の手で支えればできる")</f>
        <v>自分の手で支えればできる</v>
      </c>
      <c r="DY27" s="4" t="str">
        <f ca="1">IFERROR(__xludf.DUMMYFUNCTION("""COMPUTED_VALUE"""),"何かにつかまればできる")</f>
        <v>何かにつかまればできる</v>
      </c>
      <c r="DZ27" s="4" t="str">
        <f ca="1">IFERROR(__xludf.DUMMYFUNCTION("""COMPUTED_VALUE"""),"何か支えがあればできる")</f>
        <v>何か支えがあればできる</v>
      </c>
      <c r="EA27" s="4" t="str">
        <f ca="1">IFERROR(__xludf.DUMMYFUNCTION("""COMPUTED_VALUE"""),"自立")</f>
        <v>自立</v>
      </c>
      <c r="EB27" s="4" t="str">
        <f ca="1">IFERROR(__xludf.DUMMYFUNCTION("""COMPUTED_VALUE"""),"自立")</f>
        <v>自立</v>
      </c>
      <c r="EC27" s="4" t="str">
        <f ca="1">IFERROR(__xludf.DUMMYFUNCTION("""COMPUTED_VALUE"""),"歩行器")</f>
        <v>歩行器</v>
      </c>
      <c r="ED27" s="4" t="str">
        <f ca="1">IFERROR(__xludf.DUMMYFUNCTION("""COMPUTED_VALUE"""),"全介助")</f>
        <v>全介助</v>
      </c>
      <c r="EE27" s="4" t="str">
        <f ca="1">IFERROR(__xludf.DUMMYFUNCTION("""COMPUTED_VALUE"""),"歩行器")</f>
        <v>歩行器</v>
      </c>
      <c r="EF27" s="4" t="str">
        <f ca="1">IFERROR(__xludf.DUMMYFUNCTION("""COMPUTED_VALUE"""),"起居動作はなにかにつかまることでご自身で行うことができている。
移動は歩行器を使用し歩行されているものの、左側にやや麻痺があり歩行器の操作は不十分。また左半側空間無視もあることから大勢がいる場所を歩行する際は他の方に接触する可能性もあるため注意が必要。")</f>
        <v>起居動作はなにかにつかまることでご自身で行うことができている。
移動は歩行器を使用し歩行されているものの、左側にやや麻痺があり歩行器の操作は不十分。また左半側空間無視もあることから大勢がいる場所を歩行する際は他の方に接触する可能性もあるため注意が必要。</v>
      </c>
      <c r="EG27" s="4"/>
      <c r="EH27" s="4" t="str">
        <f ca="1">IFERROR(__xludf.DUMMYFUNCTION("""COMPUTED_VALUE"""),"入力")</f>
        <v>入力</v>
      </c>
      <c r="EI27" s="4" t="str">
        <f ca="1">IFERROR(__xludf.DUMMYFUNCTION("""COMPUTED_VALUE"""),"入力")</f>
        <v>入力</v>
      </c>
      <c r="EJ27" s="4" t="str">
        <f ca="1">IFERROR(__xludf.DUMMYFUNCTION("""COMPUTED_VALUE"""),"経口摂取")</f>
        <v>経口摂取</v>
      </c>
      <c r="EK27" s="4" t="str">
        <f ca="1">IFERROR(__xludf.DUMMYFUNCTION("""COMPUTED_VALUE"""),"自立")</f>
        <v>自立</v>
      </c>
      <c r="EL27" s="4" t="str">
        <f ca="1">IFERROR(__xludf.DUMMYFUNCTION("""COMPUTED_VALUE"""),"できる")</f>
        <v>できる</v>
      </c>
      <c r="EM27" s="4" t="str">
        <f ca="1">IFERROR(__xludf.DUMMYFUNCTION("""COMPUTED_VALUE"""),"普通")</f>
        <v>普通</v>
      </c>
      <c r="EN27" s="4" t="str">
        <f ca="1">IFERROR(__xludf.DUMMYFUNCTION("""COMPUTED_VALUE"""),"普通")</f>
        <v>普通</v>
      </c>
      <c r="EO27" s="4" t="str">
        <f ca="1">IFERROR(__xludf.DUMMYFUNCTION("""COMPUTED_VALUE"""),"無")</f>
        <v>無</v>
      </c>
      <c r="EP27" s="4" t="str">
        <f ca="1">IFERROR(__xludf.DUMMYFUNCTION("""COMPUTED_VALUE"""),"無")</f>
        <v>無</v>
      </c>
      <c r="EQ27" s="4" t="str">
        <f ca="1">IFERROR(__xludf.DUMMYFUNCTION("""COMPUTED_VALUE"""),"箸 , スプーン")</f>
        <v>箸 , スプーン</v>
      </c>
      <c r="ER27" s="4" t="str">
        <f ca="1">IFERROR(__xludf.DUMMYFUNCTION("""COMPUTED_VALUE"""),"食事は糖尿常食を提供。食事形態は普通食で嚥下も特に問題は見られない。左半側空間無視があるものの食事はご自身ですべて完食されている。")</f>
        <v>食事は糖尿常食を提供。食事形態は普通食で嚥下も特に問題は見られない。左半側空間無視があるものの食事はご自身ですべて完食されている。</v>
      </c>
      <c r="ES27" s="4"/>
      <c r="ET27" s="4" t="str">
        <f ca="1">IFERROR(__xludf.DUMMYFUNCTION("""COMPUTED_VALUE"""),"入力")</f>
        <v>入力</v>
      </c>
      <c r="EU27" s="4" t="str">
        <f ca="1">IFERROR(__xludf.DUMMYFUNCTION("""COMPUTED_VALUE"""),"自立")</f>
        <v>自立</v>
      </c>
      <c r="EV27" s="4"/>
      <c r="EW27" s="4"/>
      <c r="EX27" s="4"/>
      <c r="EY27" s="4"/>
      <c r="EZ27" s="4"/>
      <c r="FA27" s="4"/>
      <c r="FB27" s="4"/>
      <c r="FC27" s="4"/>
      <c r="FD27" s="4"/>
      <c r="FE27" s="4"/>
      <c r="FF27" s="4"/>
      <c r="FG27" s="4"/>
      <c r="FH27" s="4"/>
      <c r="FI27" s="4"/>
      <c r="FJ27" s="4"/>
      <c r="FK27" s="4"/>
      <c r="FL27" s="4"/>
      <c r="FM27" s="4"/>
      <c r="FN27" s="4"/>
      <c r="FO27" s="4"/>
      <c r="FP27" s="4"/>
      <c r="FQ27" s="4"/>
      <c r="FR27" s="4"/>
      <c r="FS27" s="4"/>
      <c r="FT27" s="4"/>
      <c r="FU27" s="4"/>
      <c r="FV27" s="4"/>
      <c r="FW27" s="4"/>
      <c r="FX27" s="4"/>
      <c r="FY27" s="4"/>
      <c r="FZ27" s="4"/>
      <c r="GA27" s="4"/>
      <c r="GB27" s="4"/>
      <c r="GC27" s="4"/>
      <c r="GD27" s="4"/>
      <c r="GE27" s="4"/>
      <c r="GF27" s="4"/>
      <c r="GG27" s="4"/>
      <c r="GH27" s="4">
        <f ca="1">IFERROR(__xludf.DUMMYFUNCTION("""COMPUTED_VALUE"""),30)</f>
        <v>30</v>
      </c>
      <c r="GI27" s="4"/>
    </row>
    <row r="28" spans="1:191">
      <c r="A28" s="4"/>
      <c r="B28" s="4"/>
      <c r="C28" s="4" t="str">
        <f ca="1">IFERROR(__xludf.DUMMYFUNCTION("""COMPUTED_VALUE"""),"稲垣　茂")</f>
        <v>稲垣　茂</v>
      </c>
      <c r="D28" s="4" t="str">
        <f ca="1">IFERROR(__xludf.DUMMYFUNCTION("""COMPUTED_VALUE"""),"becf9482")</f>
        <v>becf9482</v>
      </c>
      <c r="E28" s="4"/>
      <c r="F28" s="4"/>
      <c r="G28" s="4"/>
      <c r="H28" s="4"/>
      <c r="I28" s="5">
        <f ca="1">IFERROR(__xludf.DUMMYFUNCTION("""COMPUTED_VALUE"""),45643)</f>
        <v>45643</v>
      </c>
      <c r="J28" s="4" t="str">
        <f ca="1">IFERROR(__xludf.DUMMYFUNCTION("""COMPUTED_VALUE"""),"山川　和輝")</f>
        <v>山川　和輝</v>
      </c>
      <c r="K28" s="4" t="str">
        <f ca="1">IFERROR(__xludf.DUMMYFUNCTION("""COMPUTED_VALUE"""),"新規")</f>
        <v>新規</v>
      </c>
      <c r="L28" s="4" t="str">
        <f ca="1">IFERROR(__xludf.DUMMYFUNCTION("""COMPUTED_VALUE"""),"入院先の病院")</f>
        <v>入院先の病院</v>
      </c>
      <c r="M28" s="4" t="str">
        <f ca="1">IFERROR(__xludf.DUMMYFUNCTION("""COMPUTED_VALUE"""),"結婚歴や子供はなく、母親と二人暮らしをしていたが、4年前に母親が骨折して入院し、その後サ高住に入居したため一人暮らしになった。30歳で鬱を発症し、仕事を退職。その後、不動産収入と障害年金で生活している。今年9月に糖尿病の治療のため三重中央医療センターに入院し、退院後自宅での生活が難しく再入院。その後、令和2年12月3日にハーモニーハウスに入居。
令和6年1月18日に武内病院を受診し、透析が必要と診断された。しかし、現在の施設では透析を受けながらの生活ができないため、安濃津ろまんへ転居することになった。")</f>
        <v>結婚歴や子供はなく、母親と二人暮らしをしていたが、4年前に母親が骨折して入院し、その後サ高住に入居したため一人暮らしになった。30歳で鬱を発症し、仕事を退職。その後、不動産収入と障害年金で生活している。今年9月に糖尿病の治療のため三重中央医療センターに入院し、退院後自宅での生活が難しく再入院。その後、令和2年12月3日にハーモニーハウスに入居。
令和6年1月18日に武内病院を受診し、透析が必要と診断された。しかし、現在の施設では透析を受けながらの生活ができないため、安濃津ろまんへ転居することになった。</v>
      </c>
      <c r="N28" s="4" t="str">
        <f ca="1">IFERROR(__xludf.DUMMYFUNCTION("""COMPUTED_VALUE"""),"健康状態がこれ以上悪化しないように気を付けて生活を継続していきたい。")</f>
        <v>健康状態がこれ以上悪化しないように気を付けて生活を継続していきたい。</v>
      </c>
      <c r="O28" s="4"/>
      <c r="P28" s="4"/>
      <c r="Q28" s="4" t="str">
        <f ca="1">IFERROR(__xludf.DUMMYFUNCTION("""COMPUTED_VALUE"""),"入力")</f>
        <v>入力</v>
      </c>
      <c r="R28" s="4" t="str">
        <f ca="1">IFERROR(__xludf.DUMMYFUNCTION("""COMPUTED_VALUE"""),"要介護１")</f>
        <v>要介護１</v>
      </c>
      <c r="S28" s="4" t="str">
        <f ca="1">IFERROR(__xludf.DUMMYFUNCTION("""COMPUTED_VALUE"""),"令和6年10月8日")</f>
        <v>令和6年10月8日</v>
      </c>
      <c r="T28" s="4" t="str">
        <f ca="1">IFERROR(__xludf.DUMMYFUNCTION("""COMPUTED_VALUE"""),"令和6年10月1日")</f>
        <v>令和6年10月1日</v>
      </c>
      <c r="U28" s="4" t="str">
        <f ca="1">IFERROR(__xludf.DUMMYFUNCTION("""COMPUTED_VALUE"""),"令和7年9月30日")</f>
        <v>令和7年9月30日</v>
      </c>
      <c r="V28" s="4" t="str">
        <f ca="1">IFERROR(__xludf.DUMMYFUNCTION("""COMPUTED_VALUE"""),"１割負担")</f>
        <v>１割負担</v>
      </c>
      <c r="W28" s="4" t="str">
        <f ca="1">IFERROR(__xludf.DUMMYFUNCTION("""COMPUTED_VALUE"""),"国民健康保険")</f>
        <v>国民健康保険</v>
      </c>
      <c r="X28" s="4" t="str">
        <f ca="1">IFERROR(__xludf.DUMMYFUNCTION("""COMPUTED_VALUE"""),"無")</f>
        <v>無</v>
      </c>
      <c r="Y28" s="4"/>
      <c r="Z28" s="4" t="str">
        <f ca="1">IFERROR(__xludf.DUMMYFUNCTION("""COMPUTED_VALUE"""),"無")</f>
        <v>無</v>
      </c>
      <c r="AA28" s="4" t="str">
        <f ca="1">IFERROR(__xludf.DUMMYFUNCTION("""COMPUTED_VALUE"""),"無")</f>
        <v>無</v>
      </c>
      <c r="AB28" s="4"/>
      <c r="AC28" s="4"/>
      <c r="AD28" s="4"/>
      <c r="AE28" s="4" t="str">
        <f ca="1">IFERROR(__xludf.DUMMYFUNCTION("""COMPUTED_VALUE"""),"入力")</f>
        <v>入力</v>
      </c>
      <c r="AF28" s="4" t="str">
        <f ca="1">IFERROR(__xludf.DUMMYFUNCTION("""COMPUTED_VALUE"""),"みまもり家族　東山")</f>
        <v>みまもり家族　東山</v>
      </c>
      <c r="AG28" s="4" t="str">
        <f ca="1">IFERROR(__xludf.DUMMYFUNCTION("""COMPUTED_VALUE"""),"みまもり家族")</f>
        <v>みまもり家族</v>
      </c>
      <c r="AH28" s="4"/>
      <c r="AI28" s="4"/>
      <c r="AJ28" s="4"/>
      <c r="AK28" s="4"/>
      <c r="AL28" s="4" t="str">
        <f ca="1">IFERROR(__xludf.DUMMYFUNCTION("""COMPUTED_VALUE"""),"090-5103-4310")</f>
        <v>090-5103-4310</v>
      </c>
      <c r="AM28" s="4" t="str">
        <f ca="1">IFERROR(__xludf.DUMMYFUNCTION("""COMPUTED_VALUE"""),"059-228-2256")</f>
        <v>059-228-2256</v>
      </c>
      <c r="AN28" s="4"/>
      <c r="AO28" s="4"/>
      <c r="AP28" s="4"/>
      <c r="AQ28" s="4"/>
      <c r="AR28" s="4"/>
      <c r="AS28" s="4"/>
      <c r="AT28" s="4"/>
      <c r="AU28" s="4"/>
      <c r="AV28" s="4"/>
      <c r="AW28" s="4" t="str">
        <f ca="1">IFERROR(__xludf.DUMMYFUNCTION("""COMPUTED_VALUE"""),"入力")</f>
        <v>入力</v>
      </c>
      <c r="AX28" s="4" t="str">
        <f ca="1">IFERROR(__xludf.DUMMYFUNCTION("""COMPUTED_VALUE"""),"一人暮らし")</f>
        <v>一人暮らし</v>
      </c>
      <c r="AY28" s="4" t="str">
        <f ca="1">IFERROR(__xludf.DUMMYFUNCTION("""COMPUTED_VALUE"""),"集合住宅")</f>
        <v>集合住宅</v>
      </c>
      <c r="AZ28" s="4" t="str">
        <f ca="1">IFERROR(__xludf.DUMMYFUNCTION("""COMPUTED_VALUE"""),"エレベーター有")</f>
        <v>エレベーター有</v>
      </c>
      <c r="BA28" s="4" t="str">
        <f ca="1">IFERROR(__xludf.DUMMYFUNCTION("""COMPUTED_VALUE"""),"賃貸")</f>
        <v>賃貸</v>
      </c>
      <c r="BB28" s="4" t="str">
        <f ca="1">IFERROR(__xludf.DUMMYFUNCTION("""COMPUTED_VALUE"""),"有")</f>
        <v>有</v>
      </c>
      <c r="BC28" s="4" t="str">
        <f ca="1">IFERROR(__xludf.DUMMYFUNCTION("""COMPUTED_VALUE"""),"有")</f>
        <v>有</v>
      </c>
      <c r="BD28" s="4" t="str">
        <f ca="1">IFERROR(__xludf.DUMMYFUNCTION("""COMPUTED_VALUE"""),"洋式")</f>
        <v>洋式</v>
      </c>
      <c r="BE28" s="4" t="str">
        <f ca="1">IFERROR(__xludf.DUMMYFUNCTION("""COMPUTED_VALUE"""),"手すり有")</f>
        <v>手すり有</v>
      </c>
      <c r="BF28" s="4" t="str">
        <f ca="1">IFERROR(__xludf.DUMMYFUNCTION("""COMPUTED_VALUE"""),"段差無")</f>
        <v>段差無</v>
      </c>
      <c r="BG28" s="4" t="str">
        <f ca="1">IFERROR(__xludf.DUMMYFUNCTION("""COMPUTED_VALUE"""),"有")</f>
        <v>有</v>
      </c>
      <c r="BH28" s="4" t="str">
        <f ca="1">IFERROR(__xludf.DUMMYFUNCTION("""COMPUTED_VALUE"""),"手すり有")</f>
        <v>手すり有</v>
      </c>
      <c r="BI28" s="4" t="str">
        <f ca="1">IFERROR(__xludf.DUMMYFUNCTION("""COMPUTED_VALUE"""),"リクライニングベッド")</f>
        <v>リクライニングベッド</v>
      </c>
      <c r="BJ28" s="4" t="str">
        <f ca="1">IFERROR(__xludf.DUMMYFUNCTION("""COMPUTED_VALUE"""),"無")</f>
        <v>無</v>
      </c>
      <c r="BK28" s="4" t="str">
        <f ca="1">IFERROR(__xludf.DUMMYFUNCTION("""COMPUTED_VALUE"""),"無")</f>
        <v>無</v>
      </c>
      <c r="BL28" s="4" t="str">
        <f ca="1">IFERROR(__xludf.DUMMYFUNCTION("""COMPUTED_VALUE"""),"無")</f>
        <v>無</v>
      </c>
      <c r="BM28" s="4" t="str">
        <f ca="1">IFERROR(__xludf.DUMMYFUNCTION("""COMPUTED_VALUE"""),"無")</f>
        <v>無</v>
      </c>
      <c r="BN28" s="4"/>
      <c r="BO28" s="4"/>
      <c r="BP28" s="4"/>
      <c r="BQ28" s="4"/>
      <c r="BR28" s="4"/>
      <c r="BS28" s="4"/>
      <c r="BT28" s="4"/>
      <c r="BU28" s="4"/>
      <c r="BV28" s="4"/>
      <c r="BW28" s="4" t="str">
        <f ca="1">IFERROR(__xludf.DUMMYFUNCTION("""COMPUTED_VALUE"""),"入力")</f>
        <v>入力</v>
      </c>
      <c r="BX28" s="4" t="str">
        <f ca="1">IFERROR(__xludf.DUMMYFUNCTION("""COMPUTED_VALUE"""),"慢性腎不全")</f>
        <v>慢性腎不全</v>
      </c>
      <c r="BY28" s="4" t="str">
        <f ca="1">IFERROR(__xludf.DUMMYFUNCTION("""COMPUTED_VALUE"""),"令和6年1月15日")</f>
        <v>令和6年1月15日</v>
      </c>
      <c r="BZ28" s="4" t="str">
        <f ca="1">IFERROR(__xludf.DUMMYFUNCTION("""COMPUTED_VALUE"""),"糖尿病（両下肢神経症、網膜症）")</f>
        <v>糖尿病（両下肢神経症、網膜症）</v>
      </c>
      <c r="CA28" s="4" t="str">
        <f ca="1">IFERROR(__xludf.DUMMYFUNCTION("""COMPUTED_VALUE"""),"不詳")</f>
        <v>不詳</v>
      </c>
      <c r="CB28" s="4" t="str">
        <f ca="1">IFERROR(__xludf.DUMMYFUNCTION("""COMPUTED_VALUE"""),"ネフローゼ症候群")</f>
        <v>ネフローゼ症候群</v>
      </c>
      <c r="CC28" s="4" t="str">
        <f ca="1">IFERROR(__xludf.DUMMYFUNCTION("""COMPUTED_VALUE"""),"不詳")</f>
        <v>不詳</v>
      </c>
      <c r="CD28" s="4" t="str">
        <f ca="1">IFERROR(__xludf.DUMMYFUNCTION("""COMPUTED_VALUE"""),"高血圧症")</f>
        <v>高血圧症</v>
      </c>
      <c r="CE28" s="4" t="str">
        <f ca="1">IFERROR(__xludf.DUMMYFUNCTION("""COMPUTED_VALUE"""),"不詳")</f>
        <v>不詳</v>
      </c>
      <c r="CF28" s="4"/>
      <c r="CG28" s="4"/>
      <c r="CH28" s="4"/>
      <c r="CI28" s="4"/>
      <c r="CJ28" s="4" t="str">
        <f ca="1">IFERROR(__xludf.DUMMYFUNCTION("""COMPUTED_VALUE"""),"退院後は津腎クリニックに透析通院の必要がある。")</f>
        <v>退院後は津腎クリニックに透析通院の必要がある。</v>
      </c>
      <c r="CK28" s="4"/>
      <c r="CL28" s="4"/>
      <c r="CM28" s="4"/>
      <c r="CN28" s="4"/>
      <c r="CO28" s="4"/>
      <c r="CP28" s="4"/>
      <c r="CQ28" s="4"/>
      <c r="CR28" s="4"/>
      <c r="CS28" s="4" t="str">
        <f ca="1">IFERROR(__xludf.DUMMYFUNCTION("""COMPUTED_VALUE"""),"30歳の時にうつ病を発症。")</f>
        <v>30歳の時にうつ病を発症。</v>
      </c>
      <c r="CT28" s="4" t="str">
        <f ca="1">IFERROR(__xludf.DUMMYFUNCTION("""COMPUTED_VALUE"""),"※お薬手帳参照
下剤はご自身で管理されているものの、そのほかの薬は施設管理。")</f>
        <v>※お薬手帳参照
下剤はご自身で管理されているものの、そのほかの薬は施設管理。</v>
      </c>
      <c r="CU28" s="4"/>
      <c r="CV28" s="4"/>
      <c r="CW28" s="4"/>
      <c r="CX28" s="4" t="str">
        <f ca="1">IFERROR(__xludf.DUMMYFUNCTION("""COMPUTED_VALUE"""),"入力")</f>
        <v>入力</v>
      </c>
      <c r="CY28" s="4" t="str">
        <f ca="1">IFERROR(__xludf.DUMMYFUNCTION("""COMPUTED_VALUE"""),"湿疹")</f>
        <v>湿疹</v>
      </c>
      <c r="CZ28" s="4" t="str">
        <f ca="1">IFERROR(__xludf.DUMMYFUNCTION("""COMPUTED_VALUE"""),"無")</f>
        <v>無</v>
      </c>
      <c r="DA28" s="4" t="str">
        <f ca="1">IFERROR(__xludf.DUMMYFUNCTION("""COMPUTED_VALUE"""),"無")</f>
        <v>無</v>
      </c>
      <c r="DB28" s="4" t="str">
        <f ca="1">IFERROR(__xludf.DUMMYFUNCTION("""COMPUTED_VALUE"""),"特になし")</f>
        <v>特になし</v>
      </c>
      <c r="DC28" s="4" t="str">
        <f ca="1">IFERROR(__xludf.DUMMYFUNCTION("""COMPUTED_VALUE"""),"特になし")</f>
        <v>特になし</v>
      </c>
      <c r="DD28" s="4"/>
      <c r="DE28" s="4"/>
      <c r="DF28" s="4" t="str">
        <f ca="1">IFERROR(__xludf.DUMMYFUNCTION("""COMPUTED_VALUE"""),"大きい字は可")</f>
        <v>大きい字は可</v>
      </c>
      <c r="DG28" s="4" t="str">
        <f ca="1">IFERROR(__xludf.DUMMYFUNCTION("""COMPUTED_VALUE"""),"無")</f>
        <v>無</v>
      </c>
      <c r="DH28" s="4" t="str">
        <f ca="1">IFERROR(__xludf.DUMMYFUNCTION("""COMPUTED_VALUE"""),"正常")</f>
        <v>正常</v>
      </c>
      <c r="DI28" s="4" t="str">
        <f ca="1">IFERROR(__xludf.DUMMYFUNCTION("""COMPUTED_VALUE"""),"無")</f>
        <v>無</v>
      </c>
      <c r="DJ28" s="4" t="str">
        <f ca="1">IFERROR(__xludf.DUMMYFUNCTION("""COMPUTED_VALUE"""),"透析の通院が必要になる。
糖尿病の合併症により網膜症（レーザー治療済み）や両下肢神経障害が見られる。また腎機能低下で、皮疹ができやすく治りにくい。
両下肢には浮腫があり、水泡や掻痒感もあり軟膏塗布や保護の対応を行っている。")</f>
        <v>透析の通院が必要になる。
糖尿病の合併症により網膜症（レーザー治療済み）や両下肢神経障害が見られる。また腎機能低下で、皮疹ができやすく治りにくい。
両下肢には浮腫があり、水泡や掻痒感もあり軟膏塗布や保護の対応を行っている。</v>
      </c>
      <c r="DK28" s="4"/>
      <c r="DL28" s="4" t="str">
        <f ca="1">IFERROR(__xludf.DUMMYFUNCTION("""COMPUTED_VALUE"""),"入力")</f>
        <v>入力</v>
      </c>
      <c r="DM28" s="4" t="str">
        <f ca="1">IFERROR(__xludf.DUMMYFUNCTION("""COMPUTED_VALUE"""),"無")</f>
        <v>無</v>
      </c>
      <c r="DN28" s="4"/>
      <c r="DO28" s="4" t="str">
        <f ca="1">IFERROR(__xludf.DUMMYFUNCTION("""COMPUTED_VALUE"""),"無")</f>
        <v>無</v>
      </c>
      <c r="DP28" s="4" t="str">
        <f ca="1">IFERROR(__xludf.DUMMYFUNCTION("""COMPUTED_VALUE"""),"可能")</f>
        <v>可能</v>
      </c>
      <c r="DQ28" s="4" t="str">
        <f ca="1">IFERROR(__xludf.DUMMYFUNCTION("""COMPUTED_VALUE"""),"可能")</f>
        <v>可能</v>
      </c>
      <c r="DR28" s="4" t="str">
        <f ca="1">IFERROR(__xludf.DUMMYFUNCTION("""COMPUTED_VALUE"""),"60歳で認知機能の低下は見られない。")</f>
        <v>60歳で認知機能の低下は見られない。</v>
      </c>
      <c r="DS28" s="4"/>
      <c r="DT28" s="4"/>
      <c r="DU28" s="4" t="str">
        <f ca="1">IFERROR(__xludf.DUMMYFUNCTION("""COMPUTED_VALUE"""),"入力")</f>
        <v>入力</v>
      </c>
      <c r="DV28" s="4" t="str">
        <f ca="1">IFERROR(__xludf.DUMMYFUNCTION("""COMPUTED_VALUE"""),"何かにつかまればできる")</f>
        <v>何かにつかまればできる</v>
      </c>
      <c r="DW28" s="4" t="str">
        <f ca="1">IFERROR(__xludf.DUMMYFUNCTION("""COMPUTED_VALUE"""),"何かにつかまればできる")</f>
        <v>何かにつかまればできる</v>
      </c>
      <c r="DX28" s="4" t="str">
        <f ca="1">IFERROR(__xludf.DUMMYFUNCTION("""COMPUTED_VALUE"""),"自分の手で支えればできる")</f>
        <v>自分の手で支えればできる</v>
      </c>
      <c r="DY28" s="4" t="str">
        <f ca="1">IFERROR(__xludf.DUMMYFUNCTION("""COMPUTED_VALUE"""),"何かにつかまればできる")</f>
        <v>何かにつかまればできる</v>
      </c>
      <c r="DZ28" s="4" t="str">
        <f ca="1">IFERROR(__xludf.DUMMYFUNCTION("""COMPUTED_VALUE"""),"何か支えがあればできる")</f>
        <v>何か支えがあればできる</v>
      </c>
      <c r="EA28" s="4" t="str">
        <f ca="1">IFERROR(__xludf.DUMMYFUNCTION("""COMPUTED_VALUE"""),"自立")</f>
        <v>自立</v>
      </c>
      <c r="EB28" s="4" t="str">
        <f ca="1">IFERROR(__xludf.DUMMYFUNCTION("""COMPUTED_VALUE"""),"自立")</f>
        <v>自立</v>
      </c>
      <c r="EC28" s="4" t="str">
        <f ca="1">IFERROR(__xludf.DUMMYFUNCTION("""COMPUTED_VALUE"""),"車椅子")</f>
        <v>車椅子</v>
      </c>
      <c r="ED28" s="4" t="str">
        <f ca="1">IFERROR(__xludf.DUMMYFUNCTION("""COMPUTED_VALUE"""),"一部介助")</f>
        <v>一部介助</v>
      </c>
      <c r="EE28" s="4" t="str">
        <f ca="1">IFERROR(__xludf.DUMMYFUNCTION("""COMPUTED_VALUE"""),"車椅子")</f>
        <v>車椅子</v>
      </c>
      <c r="EF28" s="4" t="str">
        <f ca="1">IFERROR(__xludf.DUMMYFUNCTION("""COMPUTED_VALUE"""),"起居動作は支持物があれば自立で可能。
移動は車いすを使用されており、移乗や車いすの操作もご自身で行えている。またリハビリでは4点杖を使用して歩行も行えているが、本人はあまり歩く欲はない。")</f>
        <v>起居動作は支持物があれば自立で可能。
移動は車いすを使用されており、移乗や車いすの操作もご自身で行えている。またリハビリでは4点杖を使用して歩行も行えているが、本人はあまり歩く欲はない。</v>
      </c>
      <c r="EG28" s="4"/>
      <c r="EH28" s="4" t="str">
        <f ca="1">IFERROR(__xludf.DUMMYFUNCTION("""COMPUTED_VALUE"""),"入力")</f>
        <v>入力</v>
      </c>
      <c r="EI28" s="4" t="str">
        <f ca="1">IFERROR(__xludf.DUMMYFUNCTION("""COMPUTED_VALUE"""),"入力")</f>
        <v>入力</v>
      </c>
      <c r="EJ28" s="4" t="str">
        <f ca="1">IFERROR(__xludf.DUMMYFUNCTION("""COMPUTED_VALUE"""),"経口摂取")</f>
        <v>経口摂取</v>
      </c>
      <c r="EK28" s="4" t="str">
        <f ca="1">IFERROR(__xludf.DUMMYFUNCTION("""COMPUTED_VALUE"""),"自立")</f>
        <v>自立</v>
      </c>
      <c r="EL28" s="4" t="str">
        <f ca="1">IFERROR(__xludf.DUMMYFUNCTION("""COMPUTED_VALUE"""),"できる")</f>
        <v>できる</v>
      </c>
      <c r="EM28" s="4" t="str">
        <f ca="1">IFERROR(__xludf.DUMMYFUNCTION("""COMPUTED_VALUE"""),"普通")</f>
        <v>普通</v>
      </c>
      <c r="EN28" s="4" t="str">
        <f ca="1">IFERROR(__xludf.DUMMYFUNCTION("""COMPUTED_VALUE"""),"普通")</f>
        <v>普通</v>
      </c>
      <c r="EO28" s="4" t="str">
        <f ca="1">IFERROR(__xludf.DUMMYFUNCTION("""COMPUTED_VALUE"""),"無")</f>
        <v>無</v>
      </c>
      <c r="EP28" s="4" t="str">
        <f ca="1">IFERROR(__xludf.DUMMYFUNCTION("""COMPUTED_VALUE"""),"有")</f>
        <v>有</v>
      </c>
      <c r="EQ28" s="4" t="str">
        <f ca="1">IFERROR(__xludf.DUMMYFUNCTION("""COMPUTED_VALUE"""),"箸 , スプーン")</f>
        <v>箸 , スプーン</v>
      </c>
      <c r="ER28" s="4" t="str">
        <f ca="1">IFERROR(__xludf.DUMMYFUNCTION("""COMPUTED_VALUE"""),"食事はご自身で可能。嚥下も問題なし。
主食は大盛でトロミなし。
食事に制限があり塩分控えめ（糖尿病食）となっている。")</f>
        <v>食事はご自身で可能。嚥下も問題なし。
主食は大盛でトロミなし。
食事に制限があり塩分控えめ（糖尿病食）となっている。</v>
      </c>
      <c r="ES28" s="4"/>
      <c r="ET28" s="4" t="str">
        <f ca="1">IFERROR(__xludf.DUMMYFUNCTION("""COMPUTED_VALUE"""),"入力")</f>
        <v>入力</v>
      </c>
      <c r="EU28" s="4" t="str">
        <f ca="1">IFERROR(__xludf.DUMMYFUNCTION("""COMPUTED_VALUE"""),"自立")</f>
        <v>自立</v>
      </c>
      <c r="EV28" s="4" t="str">
        <f ca="1">IFERROR(__xludf.DUMMYFUNCTION("""COMPUTED_VALUE"""),"有")</f>
        <v>有</v>
      </c>
      <c r="EW28" s="4" t="str">
        <f ca="1">IFERROR(__xludf.DUMMYFUNCTION("""COMPUTED_VALUE"""),"無")</f>
        <v>無</v>
      </c>
      <c r="EX28" s="4"/>
      <c r="EY28" s="4"/>
      <c r="EZ28" s="4" t="str">
        <f ca="1">IFERROR(__xludf.DUMMYFUNCTION("""COMPUTED_VALUE"""),"口腔ケアは洗面所を使用しご自身で行うことができ、特に問題は見られない。")</f>
        <v>口腔ケアは洗面所を使用しご自身で行うことができ、特に問題は見られない。</v>
      </c>
      <c r="FA28" s="4"/>
      <c r="FB28" s="4" t="str">
        <f ca="1">IFERROR(__xludf.DUMMYFUNCTION("""COMPUTED_VALUE"""),"入力")</f>
        <v>入力</v>
      </c>
      <c r="FC28" s="4" t="str">
        <f ca="1">IFERROR(__xludf.DUMMYFUNCTION("""COMPUTED_VALUE"""),"一部介助")</f>
        <v>一部介助</v>
      </c>
      <c r="FD28" s="4" t="str">
        <f ca="1">IFERROR(__xludf.DUMMYFUNCTION("""COMPUTED_VALUE"""),"シャワー浴")</f>
        <v>シャワー浴</v>
      </c>
      <c r="FE28" s="4" t="str">
        <f ca="1">IFERROR(__xludf.DUMMYFUNCTION("""COMPUTED_VALUE"""),"無")</f>
        <v>無</v>
      </c>
      <c r="FF28" s="4"/>
      <c r="FG28" s="4" t="str">
        <f ca="1">IFERROR(__xludf.DUMMYFUNCTION("""COMPUTED_VALUE"""),"自立")</f>
        <v>自立</v>
      </c>
      <c r="FH28" s="4" t="str">
        <f ca="1">IFERROR(__xludf.DUMMYFUNCTION("""COMPUTED_VALUE"""),"自立")</f>
        <v>自立</v>
      </c>
      <c r="FI28" s="4" t="str">
        <f ca="1">IFERROR(__xludf.DUMMYFUNCTION("""COMPUTED_VALUE"""),"普段湯舟には浸からず、シャワー浴となっている。
概ねご自身で洗うことができるが、手が届かない範囲は職員の介助が必要。60歳と若く、女性の職員による入浴介助は恥ずかしさがあるため、若い女性禁となっている。")</f>
        <v>普段湯舟には浸からず、シャワー浴となっている。
概ねご自身で洗うことができるが、手が届かない範囲は職員の介助が必要。60歳と若く、女性の職員による入浴介助は恥ずかしさがあるため、若い女性禁となっている。</v>
      </c>
      <c r="FJ28" s="4"/>
      <c r="FK28" s="4" t="str">
        <f ca="1">IFERROR(__xludf.DUMMYFUNCTION("""COMPUTED_VALUE"""),"入力")</f>
        <v>入力</v>
      </c>
      <c r="FL28" s="4" t="str">
        <f ca="1">IFERROR(__xludf.DUMMYFUNCTION("""COMPUTED_VALUE"""),"自立")</f>
        <v>自立</v>
      </c>
      <c r="FM28" s="4" t="str">
        <f ca="1">IFERROR(__xludf.DUMMYFUNCTION("""COMPUTED_VALUE"""),"有")</f>
        <v>有</v>
      </c>
      <c r="FN28" s="4" t="str">
        <f ca="1">IFERROR(__xludf.DUMMYFUNCTION("""COMPUTED_VALUE"""),"無")</f>
        <v>無</v>
      </c>
      <c r="FO28" s="4" t="str">
        <f ca="1">IFERROR(__xludf.DUMMYFUNCTION("""COMPUTED_VALUE"""),"有")</f>
        <v>有</v>
      </c>
      <c r="FP28" s="4" t="str">
        <f ca="1">IFERROR(__xludf.DUMMYFUNCTION("""COMPUTED_VALUE"""),"無")</f>
        <v>無</v>
      </c>
      <c r="FQ28" s="4"/>
      <c r="FR28" s="4" t="str">
        <f ca="1">IFERROR(__xludf.DUMMYFUNCTION("""COMPUTED_VALUE"""),"トイレ")</f>
        <v>トイレ</v>
      </c>
      <c r="FS28" s="4" t="str">
        <f ca="1">IFERROR(__xludf.DUMMYFUNCTION("""COMPUTED_VALUE"""),"トイレ")</f>
        <v>トイレ</v>
      </c>
      <c r="FT28" s="4" t="str">
        <f ca="1">IFERROR(__xludf.DUMMYFUNCTION("""COMPUTED_VALUE"""),"リハビリパンツ")</f>
        <v>リハビリパンツ</v>
      </c>
      <c r="FU28" s="4" t="str">
        <f ca="1">IFERROR(__xludf.DUMMYFUNCTION("""COMPUTED_VALUE"""),"排泄はご自身でトイレを使用し排泄できている。失禁は見られない。
排便については定期的に下剤を飲んでおり、ご自身でコントロールされている。")</f>
        <v>排泄はご自身でトイレを使用し排泄できている。失禁は見られない。
排便については定期的に下剤を飲んでおり、ご自身でコントロールされている。</v>
      </c>
      <c r="FV28" s="4"/>
      <c r="FW28" s="4"/>
      <c r="FX28" s="4" t="str">
        <f ca="1">IFERROR(__xludf.DUMMYFUNCTION("""COMPUTED_VALUE"""),"入力")</f>
        <v>入力</v>
      </c>
      <c r="FY28" s="4" t="str">
        <f ca="1">IFERROR(__xludf.DUMMYFUNCTION("""COMPUTED_VALUE"""),"全介助")</f>
        <v>全介助</v>
      </c>
      <c r="FZ28" s="4" t="str">
        <f ca="1">IFERROR(__xludf.DUMMYFUNCTION("""COMPUTED_VALUE"""),"全介助")</f>
        <v>全介助</v>
      </c>
      <c r="GA28" s="4" t="str">
        <f ca="1">IFERROR(__xludf.DUMMYFUNCTION("""COMPUTED_VALUE"""),"全介助")</f>
        <v>全介助</v>
      </c>
      <c r="GB28" s="4" t="str">
        <f ca="1">IFERROR(__xludf.DUMMYFUNCTION("""COMPUTED_VALUE"""),"自立")</f>
        <v>自立</v>
      </c>
      <c r="GC28" s="4" t="str">
        <f ca="1">IFERROR(__xludf.DUMMYFUNCTION("""COMPUTED_VALUE"""),"一部介助")</f>
        <v>一部介助</v>
      </c>
      <c r="GD28" s="4" t="str">
        <f ca="1">IFERROR(__xludf.DUMMYFUNCTION("""COMPUTED_VALUE"""),"買い物はご自身で行うことができるが、金銭管理は主に見守り家族が行っている。その他のIADLは施設のサービスを受けている。")</f>
        <v>買い物はご自身で行うことができるが、金銭管理は主に見守り家族が行っている。その他のIADLは施設のサービスを受けている。</v>
      </c>
      <c r="GE28" s="4"/>
      <c r="GF28" s="4"/>
      <c r="GG28" s="4" t="str">
        <f ca="1">IFERROR(__xludf.DUMMYFUNCTION("""COMPUTED_VALUE"""),"身体的には十分にご自身で動けるものの、自分は病気で動けないと精神的な面で、自分からは動こうとしない。動くよう職員が促しても、自分はもうダメだからと拒否して取り合わない。しかし、お話しは好きなので居室に伺うと話し込んでくる。")</f>
        <v>身体的には十分にご自身で動けるものの、自分は病気で動けないと精神的な面で、自分からは動こうとしない。動くよう職員が促しても、自分はもうダメだからと拒否して取り合わない。しかし、お話しは好きなので居室に伺うと話し込んでくる。</v>
      </c>
      <c r="GH28" s="4">
        <f ca="1">IFERROR(__xludf.DUMMYFUNCTION("""COMPUTED_VALUE"""),30)</f>
        <v>30</v>
      </c>
      <c r="GI28" s="4"/>
    </row>
    <row r="29" spans="1:191">
      <c r="A29" s="4"/>
      <c r="B29" s="4"/>
      <c r="C29" s="4" t="str">
        <f ca="1">IFERROR(__xludf.DUMMYFUNCTION("""COMPUTED_VALUE"""),"中村　セツ子")</f>
        <v>中村　セツ子</v>
      </c>
      <c r="D29" s="4" t="str">
        <f ca="1">IFERROR(__xludf.DUMMYFUNCTION("""COMPUTED_VALUE"""),"5c89fb77")</f>
        <v>5c89fb77</v>
      </c>
      <c r="E29" s="4"/>
      <c r="F29" s="4"/>
      <c r="G29" s="4"/>
      <c r="H29" s="4"/>
      <c r="I29" s="5">
        <f ca="1">IFERROR(__xludf.DUMMYFUNCTION("""COMPUTED_VALUE"""),45476)</f>
        <v>45476</v>
      </c>
      <c r="J29" s="4" t="str">
        <f ca="1">IFERROR(__xludf.DUMMYFUNCTION("""COMPUTED_VALUE"""),"山川　和輝")</f>
        <v>山川　和輝</v>
      </c>
      <c r="K29" s="4" t="str">
        <f ca="1">IFERROR(__xludf.DUMMYFUNCTION("""COMPUTED_VALUE"""),"更新")</f>
        <v>更新</v>
      </c>
      <c r="L29" s="4" t="str">
        <f ca="1">IFERROR(__xludf.DUMMYFUNCTION("""COMPUTED_VALUE"""),"本人の居室")</f>
        <v>本人の居室</v>
      </c>
      <c r="M29" s="4" t="str">
        <f ca="1">IFERROR(__xludf.DUMMYFUNCTION("""COMPUTED_VALUE"""),"自宅で独居生活を送られていた。令和3年3月にベッドより転落し腰椎圧迫骨折、右第4肋骨骨折をされ、塩川病院に入院となった。退院後、在宅復帰を目指して老健ロマンに入所された。6か月間の入所であるため、退院後の自宅への復帰は家族の支援が困難なため難しく、安濃津ろまんへ入居となった。")</f>
        <v>自宅で独居生活を送られていた。令和3年3月にベッドより転落し腰椎圧迫骨折、右第4肋骨骨折をされ、塩川病院に入院となった。退院後、在宅復帰を目指して老健ロマンに入所された。6か月間の入所であるため、退院後の自宅への復帰は家族の支援が困難なため難しく、安濃津ろまんへ入居となった。</v>
      </c>
      <c r="N29" s="4"/>
      <c r="O29" s="4"/>
      <c r="P29" s="4"/>
      <c r="Q29" s="4" t="str">
        <f ca="1">IFERROR(__xludf.DUMMYFUNCTION("""COMPUTED_VALUE"""),"入力")</f>
        <v>入力</v>
      </c>
      <c r="R29" s="4" t="str">
        <f ca="1">IFERROR(__xludf.DUMMYFUNCTION("""COMPUTED_VALUE"""),"要介護３")</f>
        <v>要介護３</v>
      </c>
      <c r="S29" s="4" t="str">
        <f ca="1">IFERROR(__xludf.DUMMYFUNCTION("""COMPUTED_VALUE"""),"令和6年7月3日")</f>
        <v>令和6年7月3日</v>
      </c>
      <c r="T29" s="4" t="str">
        <f ca="1">IFERROR(__xludf.DUMMYFUNCTION("""COMPUTED_VALUE"""),"令和6年7月1日")</f>
        <v>令和6年7月1日</v>
      </c>
      <c r="U29" s="4" t="str">
        <f ca="1">IFERROR(__xludf.DUMMYFUNCTION("""COMPUTED_VALUE"""),"令和10年6月30日")</f>
        <v>令和10年6月30日</v>
      </c>
      <c r="V29" s="4" t="str">
        <f ca="1">IFERROR(__xludf.DUMMYFUNCTION("""COMPUTED_VALUE"""),"１割負担")</f>
        <v>１割負担</v>
      </c>
      <c r="W29" s="4" t="str">
        <f ca="1">IFERROR(__xludf.DUMMYFUNCTION("""COMPUTED_VALUE"""),"後期高齢者医療保険")</f>
        <v>後期高齢者医療保険</v>
      </c>
      <c r="X29" s="4" t="str">
        <f ca="1">IFERROR(__xludf.DUMMYFUNCTION("""COMPUTED_VALUE"""),"無")</f>
        <v>無</v>
      </c>
      <c r="Y29" s="4"/>
      <c r="Z29" s="4" t="str">
        <f ca="1">IFERROR(__xludf.DUMMYFUNCTION("""COMPUTED_VALUE"""),"無")</f>
        <v>無</v>
      </c>
      <c r="AA29" s="4" t="str">
        <f ca="1">IFERROR(__xludf.DUMMYFUNCTION("""COMPUTED_VALUE"""),"無")</f>
        <v>無</v>
      </c>
      <c r="AB29" s="4"/>
      <c r="AC29" s="4"/>
      <c r="AD29" s="4"/>
      <c r="AE29" s="4"/>
      <c r="AF29" s="4"/>
      <c r="AG29" s="4"/>
      <c r="AH29" s="4"/>
      <c r="AI29" s="4"/>
      <c r="AJ29" s="4"/>
      <c r="AK29" s="4"/>
      <c r="AL29" s="4"/>
      <c r="AM29" s="4"/>
      <c r="AN29" s="4"/>
      <c r="AO29" s="4"/>
      <c r="AP29" s="4"/>
      <c r="AQ29" s="4"/>
      <c r="AR29" s="4"/>
      <c r="AS29" s="4"/>
      <c r="AT29" s="4"/>
      <c r="AU29" s="4"/>
      <c r="AV29" s="4"/>
      <c r="AW29" s="4"/>
      <c r="AX29" s="4"/>
      <c r="AY29" s="4"/>
      <c r="AZ29" s="4"/>
      <c r="BA29" s="4"/>
      <c r="BB29" s="4"/>
      <c r="BC29" s="4"/>
      <c r="BD29" s="4"/>
      <c r="BE29" s="4"/>
      <c r="BF29" s="4"/>
      <c r="BG29" s="4"/>
      <c r="BH29" s="4"/>
      <c r="BI29" s="4"/>
      <c r="BJ29" s="4"/>
      <c r="BK29" s="4"/>
      <c r="BL29" s="4"/>
      <c r="BM29" s="4"/>
      <c r="BN29" s="4"/>
      <c r="BO29" s="4"/>
      <c r="BP29" s="4"/>
      <c r="BQ29" s="4"/>
      <c r="BR29" s="4"/>
      <c r="BS29" s="4"/>
      <c r="BT29" s="4"/>
      <c r="BU29" s="4"/>
      <c r="BV29" s="4"/>
      <c r="BW29" s="4"/>
      <c r="BX29" s="4"/>
      <c r="BY29" s="4"/>
      <c r="BZ29" s="4"/>
      <c r="CA29" s="4"/>
      <c r="CB29" s="4"/>
      <c r="CC29" s="4"/>
      <c r="CD29" s="4"/>
      <c r="CE29" s="4"/>
      <c r="CF29" s="4"/>
      <c r="CG29" s="4"/>
      <c r="CH29" s="4"/>
      <c r="CI29" s="4"/>
      <c r="CJ29" s="4"/>
      <c r="CK29" s="4"/>
      <c r="CL29" s="4"/>
      <c r="CM29" s="4"/>
      <c r="CN29" s="4"/>
      <c r="CO29" s="4"/>
      <c r="CP29" s="4"/>
      <c r="CQ29" s="4"/>
      <c r="CR29" s="4"/>
      <c r="CS29" s="4"/>
      <c r="CT29" s="4"/>
      <c r="CU29" s="4"/>
      <c r="CV29" s="4"/>
      <c r="CW29" s="4"/>
      <c r="CX29" s="4"/>
      <c r="CY29" s="4"/>
      <c r="CZ29" s="4"/>
      <c r="DA29" s="4"/>
      <c r="DB29" s="4"/>
      <c r="DC29" s="4"/>
      <c r="DD29" s="4"/>
      <c r="DE29" s="4"/>
      <c r="DF29" s="4"/>
      <c r="DG29" s="4"/>
      <c r="DH29" s="4"/>
      <c r="DI29" s="4"/>
      <c r="DJ29" s="4"/>
      <c r="DK29" s="4"/>
      <c r="DL29" s="4"/>
      <c r="DM29" s="4"/>
      <c r="DN29" s="4"/>
      <c r="DO29" s="4"/>
      <c r="DP29" s="4"/>
      <c r="DQ29" s="4"/>
      <c r="DR29" s="4"/>
      <c r="DS29" s="4"/>
      <c r="DT29" s="4"/>
      <c r="DU29" s="4"/>
      <c r="DV29" s="4"/>
      <c r="DW29" s="4"/>
      <c r="DX29" s="4"/>
      <c r="DY29" s="4"/>
      <c r="DZ29" s="4"/>
      <c r="EA29" s="4"/>
      <c r="EB29" s="4"/>
      <c r="EC29" s="4"/>
      <c r="ED29" s="4"/>
      <c r="EE29" s="4"/>
      <c r="EF29" s="4"/>
      <c r="EG29" s="4"/>
      <c r="EH29" s="4"/>
      <c r="EI29" s="4"/>
      <c r="EJ29" s="4"/>
      <c r="EK29" s="4"/>
      <c r="EL29" s="4"/>
      <c r="EM29" s="4"/>
      <c r="EN29" s="4"/>
      <c r="EO29" s="4"/>
      <c r="EP29" s="4"/>
      <c r="EQ29" s="4"/>
      <c r="ER29" s="4"/>
      <c r="ES29" s="4"/>
      <c r="ET29" s="4"/>
      <c r="EU29" s="4"/>
      <c r="EV29" s="4"/>
      <c r="EW29" s="4"/>
      <c r="EX29" s="4"/>
      <c r="EY29" s="4"/>
      <c r="EZ29" s="4"/>
      <c r="FA29" s="4"/>
      <c r="FB29" s="4"/>
      <c r="FC29" s="4"/>
      <c r="FD29" s="4"/>
      <c r="FE29" s="4"/>
      <c r="FF29" s="4"/>
      <c r="FG29" s="4"/>
      <c r="FH29" s="4"/>
      <c r="FI29" s="4"/>
      <c r="FJ29" s="4"/>
      <c r="FK29" s="4"/>
      <c r="FL29" s="4"/>
      <c r="FM29" s="4"/>
      <c r="FN29" s="4"/>
      <c r="FO29" s="4"/>
      <c r="FP29" s="4"/>
      <c r="FQ29" s="4"/>
      <c r="FR29" s="4"/>
      <c r="FS29" s="4"/>
      <c r="FT29" s="4"/>
      <c r="FU29" s="4"/>
      <c r="FV29" s="4"/>
      <c r="FW29" s="4"/>
      <c r="FX29" s="4"/>
      <c r="FY29" s="4"/>
      <c r="FZ29" s="4"/>
      <c r="GA29" s="4"/>
      <c r="GB29" s="4"/>
      <c r="GC29" s="4"/>
      <c r="GD29" s="4"/>
      <c r="GE29" s="4"/>
      <c r="GF29" s="4"/>
      <c r="GG29" s="4"/>
      <c r="GH29" s="4">
        <f ca="1">IFERROR(__xludf.DUMMYFUNCTION("""COMPUTED_VALUE"""),30)</f>
        <v>30</v>
      </c>
      <c r="GI29" s="4"/>
    </row>
    <row r="30" spans="1:191">
      <c r="A30" s="4"/>
      <c r="B30" s="4"/>
      <c r="C30" s="4" t="str">
        <f ca="1">IFERROR(__xludf.DUMMYFUNCTION("""COMPUTED_VALUE"""),"門野　諒子")</f>
        <v>門野　諒子</v>
      </c>
      <c r="D30" s="4" t="str">
        <f ca="1">IFERROR(__xludf.DUMMYFUNCTION("""COMPUTED_VALUE"""),"179129dc")</f>
        <v>179129dc</v>
      </c>
      <c r="E30" s="4"/>
      <c r="F30" s="4"/>
      <c r="G30" s="4"/>
      <c r="H30" s="4"/>
      <c r="I30" s="5">
        <f ca="1">IFERROR(__xludf.DUMMYFUNCTION("""COMPUTED_VALUE"""),45665)</f>
        <v>45665</v>
      </c>
      <c r="J30" s="4" t="str">
        <f ca="1">IFERROR(__xludf.DUMMYFUNCTION("""COMPUTED_VALUE"""),"山川　和輝")</f>
        <v>山川　和輝</v>
      </c>
      <c r="K30" s="4" t="str">
        <f ca="1">IFERROR(__xludf.DUMMYFUNCTION("""COMPUTED_VALUE"""),"新規")</f>
        <v>新規</v>
      </c>
      <c r="L30" s="4" t="str">
        <f ca="1">IFERROR(__xludf.DUMMYFUNCTION("""COMPUTED_VALUE"""),"入院先の病院")</f>
        <v>入院先の病院</v>
      </c>
      <c r="M30" s="4" t="str">
        <f ca="1">IFERROR(__xludf.DUMMYFUNCTION("""COMPUTED_VALUE"""),"自宅でヘルパーステーションの利用や配食サービスを利用しながら独居生活を送っていたが、令和6年11月に急性膵炎にて三重中央医療センターへ入院。12月12日、リハビリ目的で遠山病院へ転院。退院後は自宅で生活することが難しいため安濃津ろまんを申し込まれた。")</f>
        <v>自宅でヘルパーステーションの利用や配食サービスを利用しながら独居生活を送っていたが、令和6年11月に急性膵炎にて三重中央医療センターへ入院。12月12日、リハビリ目的で遠山病院へ転院。退院後は自宅で生活することが難しいため安濃津ろまんを申し込まれた。</v>
      </c>
      <c r="N30" s="4" t="str">
        <f ca="1">IFERROR(__xludf.DUMMYFUNCTION("""COMPUTED_VALUE"""),"健康で不安なく穏やかに生活したい。")</f>
        <v>健康で不安なく穏やかに生活したい。</v>
      </c>
      <c r="O30" s="4"/>
      <c r="P30" s="4"/>
      <c r="Q30" s="4" t="str">
        <f ca="1">IFERROR(__xludf.DUMMYFUNCTION("""COMPUTED_VALUE"""),"入力")</f>
        <v>入力</v>
      </c>
      <c r="R30" s="4" t="str">
        <f ca="1">IFERROR(__xludf.DUMMYFUNCTION("""COMPUTED_VALUE"""),"要介護２")</f>
        <v>要介護２</v>
      </c>
      <c r="S30" s="4"/>
      <c r="T30" s="4"/>
      <c r="U30" s="4"/>
      <c r="V30" s="4"/>
      <c r="W30" s="4"/>
      <c r="X30" s="4"/>
      <c r="Y30" s="4"/>
      <c r="Z30" s="4"/>
      <c r="AA30" s="4"/>
      <c r="AB30" s="4"/>
      <c r="AC30" s="4"/>
      <c r="AD30" s="4"/>
      <c r="AE30" s="4" t="str">
        <f ca="1">IFERROR(__xludf.DUMMYFUNCTION("""COMPUTED_VALUE"""),"入力")</f>
        <v>入力</v>
      </c>
      <c r="AF30" s="4" t="str">
        <f ca="1">IFERROR(__xludf.DUMMYFUNCTION("""COMPUTED_VALUE"""),"森川　比佐代")</f>
        <v>森川　比佐代</v>
      </c>
      <c r="AG30" s="4" t="str">
        <f ca="1">IFERROR(__xludf.DUMMYFUNCTION("""COMPUTED_VALUE"""),"長男妻")</f>
        <v>長男妻</v>
      </c>
      <c r="AH30" s="4"/>
      <c r="AI30" s="4" t="str">
        <f ca="1">IFERROR(__xludf.DUMMYFUNCTION("""COMPUTED_VALUE"""),"別居")</f>
        <v>別居</v>
      </c>
      <c r="AJ30" s="4" t="str">
        <f ca="1">IFERROR(__xludf.DUMMYFUNCTION("""COMPUTED_VALUE"""),"介護しない")</f>
        <v>介護しない</v>
      </c>
      <c r="AK30" s="4" t="str">
        <f ca="1">IFERROR(__xludf.DUMMYFUNCTION("""COMPUTED_VALUE"""),"有")</f>
        <v>有</v>
      </c>
      <c r="AL30" s="4" t="str">
        <f ca="1">IFERROR(__xludf.DUMMYFUNCTION("""COMPUTED_VALUE"""),"090-6649-8416")</f>
        <v>090-6649-8416</v>
      </c>
      <c r="AM30" s="4" t="str">
        <f ca="1">IFERROR(__xludf.DUMMYFUNCTION("""COMPUTED_VALUE"""),"KP。ヘルパーをしている")</f>
        <v>KP。ヘルパーをしている</v>
      </c>
      <c r="AN30" s="4"/>
      <c r="AO30" s="4"/>
      <c r="AP30" s="4"/>
      <c r="AQ30" s="4"/>
      <c r="AR30" s="4"/>
      <c r="AS30" s="4"/>
      <c r="AT30" s="4"/>
      <c r="AU30" s="4"/>
      <c r="AV30" s="4"/>
      <c r="AW30" s="4" t="str">
        <f ca="1">IFERROR(__xludf.DUMMYFUNCTION("""COMPUTED_VALUE"""),"入力")</f>
        <v>入力</v>
      </c>
      <c r="AX30" s="4" t="str">
        <f ca="1">IFERROR(__xludf.DUMMYFUNCTION("""COMPUTED_VALUE"""),"一人暮らし")</f>
        <v>一人暮らし</v>
      </c>
      <c r="AY30" s="4" t="str">
        <f ca="1">IFERROR(__xludf.DUMMYFUNCTION("""COMPUTED_VALUE"""),"集合住宅")</f>
        <v>集合住宅</v>
      </c>
      <c r="AZ30" s="4" t="str">
        <f ca="1">IFERROR(__xludf.DUMMYFUNCTION("""COMPUTED_VALUE"""),"エレベーター有")</f>
        <v>エレベーター有</v>
      </c>
      <c r="BA30" s="4" t="str">
        <f ca="1">IFERROR(__xludf.DUMMYFUNCTION("""COMPUTED_VALUE"""),"賃貸")</f>
        <v>賃貸</v>
      </c>
      <c r="BB30" s="4" t="str">
        <f ca="1">IFERROR(__xludf.DUMMYFUNCTION("""COMPUTED_VALUE"""),"有")</f>
        <v>有</v>
      </c>
      <c r="BC30" s="4" t="str">
        <f ca="1">IFERROR(__xludf.DUMMYFUNCTION("""COMPUTED_VALUE"""),"有")</f>
        <v>有</v>
      </c>
      <c r="BD30" s="4" t="str">
        <f ca="1">IFERROR(__xludf.DUMMYFUNCTION("""COMPUTED_VALUE"""),"洋式")</f>
        <v>洋式</v>
      </c>
      <c r="BE30" s="4" t="str">
        <f ca="1">IFERROR(__xludf.DUMMYFUNCTION("""COMPUTED_VALUE"""),"手すり有")</f>
        <v>手すり有</v>
      </c>
      <c r="BF30" s="4" t="str">
        <f ca="1">IFERROR(__xludf.DUMMYFUNCTION("""COMPUTED_VALUE"""),"段差無")</f>
        <v>段差無</v>
      </c>
      <c r="BG30" s="4" t="str">
        <f ca="1">IFERROR(__xludf.DUMMYFUNCTION("""COMPUTED_VALUE"""),"有")</f>
        <v>有</v>
      </c>
      <c r="BH30" s="4" t="str">
        <f ca="1">IFERROR(__xludf.DUMMYFUNCTION("""COMPUTED_VALUE"""),"手すり有")</f>
        <v>手すり有</v>
      </c>
      <c r="BI30" s="4" t="str">
        <f ca="1">IFERROR(__xludf.DUMMYFUNCTION("""COMPUTED_VALUE"""),"リクライニングベッド")</f>
        <v>リクライニングベッド</v>
      </c>
      <c r="BJ30" s="4" t="str">
        <f ca="1">IFERROR(__xludf.DUMMYFUNCTION("""COMPUTED_VALUE"""),"無")</f>
        <v>無</v>
      </c>
      <c r="BK30" s="4" t="str">
        <f ca="1">IFERROR(__xludf.DUMMYFUNCTION("""COMPUTED_VALUE"""),"無")</f>
        <v>無</v>
      </c>
      <c r="BL30" s="4" t="str">
        <f ca="1">IFERROR(__xludf.DUMMYFUNCTION("""COMPUTED_VALUE"""),"無")</f>
        <v>無</v>
      </c>
      <c r="BM30" s="4" t="str">
        <f ca="1">IFERROR(__xludf.DUMMYFUNCTION("""COMPUTED_VALUE"""),"無")</f>
        <v>無</v>
      </c>
      <c r="BN30" s="4"/>
      <c r="BO30" s="4" t="str">
        <f ca="1">IFERROR(__xludf.DUMMYFUNCTION("""COMPUTED_VALUE"""),"入力")</f>
        <v>入力</v>
      </c>
      <c r="BP30" s="4" t="str">
        <f ca="1">IFERROR(__xludf.DUMMYFUNCTION("""COMPUTED_VALUE"""),"訪問介護")</f>
        <v>訪問介護</v>
      </c>
      <c r="BQ30" s="4"/>
      <c r="BR30" s="4"/>
      <c r="BS30" s="4" t="str">
        <f ca="1">IFERROR(__xludf.DUMMYFUNCTION("""COMPUTED_VALUE"""),"配食サービス")</f>
        <v>配食サービス</v>
      </c>
      <c r="BT30" s="4" t="str">
        <f ca="1">IFERROR(__xludf.DUMMYFUNCTION("""COMPUTED_VALUE"""),"良くお話しされており他の利用者とも交流がある。")</f>
        <v>良くお話しされており他の利用者とも交流がある。</v>
      </c>
      <c r="BU30" s="4"/>
      <c r="BV30" s="4"/>
      <c r="BW30" s="4" t="str">
        <f ca="1">IFERROR(__xludf.DUMMYFUNCTION("""COMPUTED_VALUE"""),"入力")</f>
        <v>入力</v>
      </c>
      <c r="BX30" s="4" t="str">
        <f ca="1">IFERROR(__xludf.DUMMYFUNCTION("""COMPUTED_VALUE"""),"廃用症候群")</f>
        <v>廃用症候群</v>
      </c>
      <c r="BY30" s="4" t="str">
        <f ca="1">IFERROR(__xludf.DUMMYFUNCTION("""COMPUTED_VALUE"""),"令和6年12月12日")</f>
        <v>令和6年12月12日</v>
      </c>
      <c r="BZ30" s="4" t="str">
        <f ca="1">IFERROR(__xludf.DUMMYFUNCTION("""COMPUTED_VALUE"""),"パーキンソン病")</f>
        <v>パーキンソン病</v>
      </c>
      <c r="CA30" s="4" t="str">
        <f ca="1">IFERROR(__xludf.DUMMYFUNCTION("""COMPUTED_VALUE"""),"令和4年")</f>
        <v>令和4年</v>
      </c>
      <c r="CB30" s="4"/>
      <c r="CC30" s="4"/>
      <c r="CD30" s="4"/>
      <c r="CE30" s="4"/>
      <c r="CF30" s="4"/>
      <c r="CG30" s="4"/>
      <c r="CH30" s="4"/>
      <c r="CI30" s="4"/>
      <c r="CJ30" s="4" t="str">
        <f ca="1">IFERROR(__xludf.DUMMYFUNCTION("""COMPUTED_VALUE"""),"元々パーキンソン病の経過観察のため遠山病院を定期受診している。今後も継続が必要。
主治医はつおき高橋クリニックで今後は加藤医院へ変更となる。")</f>
        <v>元々パーキンソン病の経過観察のため遠山病院を定期受診している。今後も継続が必要。
主治医はつおき高橋クリニックで今後は加藤医院へ変更となる。</v>
      </c>
      <c r="CK30" s="4"/>
      <c r="CL30" s="4"/>
      <c r="CM30" s="4"/>
      <c r="CN30" s="4"/>
      <c r="CO30" s="4"/>
      <c r="CP30" s="4"/>
      <c r="CQ30" s="4"/>
      <c r="CR30" s="4"/>
      <c r="CS30" s="4" t="str">
        <f ca="1">IFERROR(__xludf.DUMMYFUNCTION("""COMPUTED_VALUE"""),"20年前に心房細動、25年前に胆石の手術を行っている。今回急性膵炎により三重中央医療センターへ入院治療を行っている。")</f>
        <v>20年前に心房細動、25年前に胆石の手術を行っている。今回急性膵炎により三重中央医療センターへ入院治療を行っている。</v>
      </c>
      <c r="CT30" s="4" t="str">
        <f ca="1">IFERROR(__xludf.DUMMYFUNCTION("""COMPUTED_VALUE"""),"パーキンソン薬であるマドパーを内服されている。またワーファリンも内服されているため禁止食材に注意。")</f>
        <v>パーキンソン薬であるマドパーを内服されている。またワーファリンも内服されているため禁止食材に注意。</v>
      </c>
      <c r="CU30" s="4"/>
      <c r="CV30" s="4"/>
      <c r="CW30" s="4"/>
      <c r="CX30" s="4" t="str">
        <f ca="1">IFERROR(__xludf.DUMMYFUNCTION("""COMPUTED_VALUE"""),"入力")</f>
        <v>入力</v>
      </c>
      <c r="CY30" s="4" t="str">
        <f ca="1">IFERROR(__xludf.DUMMYFUNCTION("""COMPUTED_VALUE"""),"無")</f>
        <v>無</v>
      </c>
      <c r="CZ30" s="4" t="str">
        <f ca="1">IFERROR(__xludf.DUMMYFUNCTION("""COMPUTED_VALUE"""),"無")</f>
        <v>無</v>
      </c>
      <c r="DA30" s="4" t="str">
        <f ca="1">IFERROR(__xludf.DUMMYFUNCTION("""COMPUTED_VALUE"""),"無")</f>
        <v>無</v>
      </c>
      <c r="DB30" s="4" t="str">
        <f ca="1">IFERROR(__xludf.DUMMYFUNCTION("""COMPUTED_VALUE"""),"無")</f>
        <v>無</v>
      </c>
      <c r="DC30" s="4" t="str">
        <f ca="1">IFERROR(__xludf.DUMMYFUNCTION("""COMPUTED_VALUE"""),"無")</f>
        <v>無</v>
      </c>
      <c r="DD30" s="4"/>
      <c r="DE30" s="4"/>
      <c r="DF30" s="4" t="str">
        <f ca="1">IFERROR(__xludf.DUMMYFUNCTION("""COMPUTED_VALUE"""),"正常")</f>
        <v>正常</v>
      </c>
      <c r="DG30" s="4" t="str">
        <f ca="1">IFERROR(__xludf.DUMMYFUNCTION("""COMPUTED_VALUE"""),"無")</f>
        <v>無</v>
      </c>
      <c r="DH30" s="4" t="str">
        <f ca="1">IFERROR(__xludf.DUMMYFUNCTION("""COMPUTED_VALUE"""),"大きい声は可")</f>
        <v>大きい声は可</v>
      </c>
      <c r="DI30" s="4" t="str">
        <f ca="1">IFERROR(__xludf.DUMMYFUNCTION("""COMPUTED_VALUE"""),"無")</f>
        <v>無</v>
      </c>
      <c r="DJ30" s="4" t="str">
        <f ca="1">IFERROR(__xludf.DUMMYFUNCTION("""COMPUTED_VALUE"""),"元々パーキンソン病の疑いで遠山病院を受診している。はっきりとした診断名はついていないものの、パーキンソン薬であるマドパーを内服。日によってパーキンソン症状が強くなることがあったためマドパーの容量は徐々に増えている。
右耳の聴力が少し悪いため、左側からお話しする工夫が必要。")</f>
        <v>元々パーキンソン病の疑いで遠山病院を受診している。はっきりとした診断名はついていないものの、パーキンソン薬であるマドパーを内服。日によってパーキンソン症状が強くなることがあったためマドパーの容量は徐々に増えている。
右耳の聴力が少し悪いため、左側からお話しする工夫が必要。</v>
      </c>
      <c r="DK30" s="4"/>
      <c r="DL30" s="4" t="str">
        <f ca="1">IFERROR(__xludf.DUMMYFUNCTION("""COMPUTED_VALUE"""),"入力")</f>
        <v>入力</v>
      </c>
      <c r="DM30" s="4" t="str">
        <f ca="1">IFERROR(__xludf.DUMMYFUNCTION("""COMPUTED_VALUE"""),"無")</f>
        <v>無</v>
      </c>
      <c r="DN30" s="4"/>
      <c r="DO30" s="4" t="str">
        <f ca="1">IFERROR(__xludf.DUMMYFUNCTION("""COMPUTED_VALUE"""),"無")</f>
        <v>無</v>
      </c>
      <c r="DP30" s="4"/>
      <c r="DQ30" s="4"/>
      <c r="DR30" s="4" t="str">
        <f ca="1">IFERROR(__xludf.DUMMYFUNCTION("""COMPUTED_VALUE"""),"認知機能は問題なし。")</f>
        <v>認知機能は問題なし。</v>
      </c>
      <c r="DS30" s="4"/>
      <c r="DT30" s="4"/>
      <c r="DU30" s="4" t="str">
        <f ca="1">IFERROR(__xludf.DUMMYFUNCTION("""COMPUTED_VALUE"""),"入力")</f>
        <v>入力</v>
      </c>
      <c r="DV30" s="4" t="str">
        <f ca="1">IFERROR(__xludf.DUMMYFUNCTION("""COMPUTED_VALUE"""),"何かにつかまればできる")</f>
        <v>何かにつかまればできる</v>
      </c>
      <c r="DW30" s="4" t="str">
        <f ca="1">IFERROR(__xludf.DUMMYFUNCTION("""COMPUTED_VALUE"""),"何かにつかまればできる")</f>
        <v>何かにつかまればできる</v>
      </c>
      <c r="DX30" s="4" t="str">
        <f ca="1">IFERROR(__xludf.DUMMYFUNCTION("""COMPUTED_VALUE"""),"自分の手で支えればできる")</f>
        <v>自分の手で支えればできる</v>
      </c>
      <c r="DY30" s="4" t="str">
        <f ca="1">IFERROR(__xludf.DUMMYFUNCTION("""COMPUTED_VALUE"""),"何かにつかまればできる")</f>
        <v>何かにつかまればできる</v>
      </c>
      <c r="DZ30" s="4" t="str">
        <f ca="1">IFERROR(__xludf.DUMMYFUNCTION("""COMPUTED_VALUE"""),"何か支えがあればできる")</f>
        <v>何か支えがあればできる</v>
      </c>
      <c r="EA30" s="4" t="str">
        <f ca="1">IFERROR(__xludf.DUMMYFUNCTION("""COMPUTED_VALUE"""),"自立")</f>
        <v>自立</v>
      </c>
      <c r="EB30" s="4" t="str">
        <f ca="1">IFERROR(__xludf.DUMMYFUNCTION("""COMPUTED_VALUE"""),"自立")</f>
        <v>自立</v>
      </c>
      <c r="EC30" s="4" t="str">
        <f ca="1">IFERROR(__xludf.DUMMYFUNCTION("""COMPUTED_VALUE"""),"歩行器")</f>
        <v>歩行器</v>
      </c>
      <c r="ED30" s="4" t="str">
        <f ca="1">IFERROR(__xludf.DUMMYFUNCTION("""COMPUTED_VALUE"""),"見守り")</f>
        <v>見守り</v>
      </c>
      <c r="EE30" s="4" t="str">
        <f ca="1">IFERROR(__xludf.DUMMYFUNCTION("""COMPUTED_VALUE"""),"歩行器")</f>
        <v>歩行器</v>
      </c>
      <c r="EF30" s="4" t="str">
        <f ca="1">IFERROR(__xludf.DUMMYFUNCTION("""COMPUTED_VALUE"""),"起居動作は柵や手すりなどにつかまることでご自身で行うことができる。移動は歩行器（ハッピーⅡ）を使用。室内は安全に歩くことができる。
長時間座っていると歩きだした際に少しふらつくことがあると言われている。")</f>
        <v>起居動作は柵や手すりなどにつかまることでご自身で行うことができる。移動は歩行器（ハッピーⅡ）を使用。室内は安全に歩くことができる。
長時間座っていると歩きだした際に少しふらつくことがあると言われている。</v>
      </c>
      <c r="EG30" s="4"/>
      <c r="EH30" s="4" t="str">
        <f ca="1">IFERROR(__xludf.DUMMYFUNCTION("""COMPUTED_VALUE"""),"入力")</f>
        <v>入力</v>
      </c>
      <c r="EI30" s="4" t="str">
        <f ca="1">IFERROR(__xludf.DUMMYFUNCTION("""COMPUTED_VALUE"""),"入力")</f>
        <v>入力</v>
      </c>
      <c r="EJ30" s="4" t="str">
        <f ca="1">IFERROR(__xludf.DUMMYFUNCTION("""COMPUTED_VALUE"""),"経口摂取")</f>
        <v>経口摂取</v>
      </c>
      <c r="EK30" s="4" t="str">
        <f ca="1">IFERROR(__xludf.DUMMYFUNCTION("""COMPUTED_VALUE"""),"自立")</f>
        <v>自立</v>
      </c>
      <c r="EL30" s="4" t="str">
        <f ca="1">IFERROR(__xludf.DUMMYFUNCTION("""COMPUTED_VALUE"""),"できる")</f>
        <v>できる</v>
      </c>
      <c r="EM30" s="4" t="str">
        <f ca="1">IFERROR(__xludf.DUMMYFUNCTION("""COMPUTED_VALUE"""),"普通")</f>
        <v>普通</v>
      </c>
      <c r="EN30" s="4" t="str">
        <f ca="1">IFERROR(__xludf.DUMMYFUNCTION("""COMPUTED_VALUE"""),"普通")</f>
        <v>普通</v>
      </c>
      <c r="EO30" s="4" t="str">
        <f ca="1">IFERROR(__xludf.DUMMYFUNCTION("""COMPUTED_VALUE"""),"無")</f>
        <v>無</v>
      </c>
      <c r="EP30" s="4" t="str">
        <f ca="1">IFERROR(__xludf.DUMMYFUNCTION("""COMPUTED_VALUE"""),"有")</f>
        <v>有</v>
      </c>
      <c r="EQ30" s="4" t="str">
        <f ca="1">IFERROR(__xludf.DUMMYFUNCTION("""COMPUTED_VALUE"""),"箸 , スプーン")</f>
        <v>箸 , スプーン</v>
      </c>
      <c r="ER30" s="4" t="str">
        <f ca="1">IFERROR(__xludf.DUMMYFUNCTION("""COMPUTED_VALUE"""),"食事はご自身で問題なく摂取可能。
ワーファリンを内服されているためビタミンKを多く含む食材は禁止。
また鶏肉が苦手なため禁止。")</f>
        <v>食事はご自身で問題なく摂取可能。
ワーファリンを内服されているためビタミンKを多く含む食材は禁止。
また鶏肉が苦手なため禁止。</v>
      </c>
      <c r="ES30" s="4"/>
      <c r="ET30" s="4" t="str">
        <f ca="1">IFERROR(__xludf.DUMMYFUNCTION("""COMPUTED_VALUE"""),"入力")</f>
        <v>入力</v>
      </c>
      <c r="EU30" s="4" t="str">
        <f ca="1">IFERROR(__xludf.DUMMYFUNCTION("""COMPUTED_VALUE"""),"自立")</f>
        <v>自立</v>
      </c>
      <c r="EV30" s="4" t="str">
        <f ca="1">IFERROR(__xludf.DUMMYFUNCTION("""COMPUTED_VALUE"""),"有")</f>
        <v>有</v>
      </c>
      <c r="EW30" s="4" t="str">
        <f ca="1">IFERROR(__xludf.DUMMYFUNCTION("""COMPUTED_VALUE"""),"無")</f>
        <v>無</v>
      </c>
      <c r="EX30" s="4"/>
      <c r="EY30" s="4"/>
      <c r="EZ30" s="4" t="str">
        <f ca="1">IFERROR(__xludf.DUMMYFUNCTION("""COMPUTED_VALUE"""),"口腔ケアはご自身で行うことができる。")</f>
        <v>口腔ケアはご自身で行うことができる。</v>
      </c>
      <c r="FA30" s="4"/>
      <c r="FB30" s="4" t="str">
        <f ca="1">IFERROR(__xludf.DUMMYFUNCTION("""COMPUTED_VALUE"""),"入力")</f>
        <v>入力</v>
      </c>
      <c r="FC30" s="4" t="str">
        <f ca="1">IFERROR(__xludf.DUMMYFUNCTION("""COMPUTED_VALUE"""),"一部介助")</f>
        <v>一部介助</v>
      </c>
      <c r="FD30" s="4" t="str">
        <f ca="1">IFERROR(__xludf.DUMMYFUNCTION("""COMPUTED_VALUE"""),"一般浴")</f>
        <v>一般浴</v>
      </c>
      <c r="FE30" s="4" t="str">
        <f ca="1">IFERROR(__xludf.DUMMYFUNCTION("""COMPUTED_VALUE"""),"無")</f>
        <v>無</v>
      </c>
      <c r="FF30" s="4"/>
      <c r="FG30" s="4" t="str">
        <f ca="1">IFERROR(__xludf.DUMMYFUNCTION("""COMPUTED_VALUE"""),"自立")</f>
        <v>自立</v>
      </c>
      <c r="FH30" s="4" t="str">
        <f ca="1">IFERROR(__xludf.DUMMYFUNCTION("""COMPUTED_VALUE"""),"自立")</f>
        <v>自立</v>
      </c>
      <c r="FI30" s="4" t="str">
        <f ca="1">IFERROR(__xludf.DUMMYFUNCTION("""COMPUTED_VALUE"""),"入浴は背中や頭を洗う際に介助が必要。更衣はご自身で行うことができ、毎晩パジャマに着替え朝に洋服に着替える。")</f>
        <v>入浴は背中や頭を洗う際に介助が必要。更衣はご自身で行うことができ、毎晩パジャマに着替え朝に洋服に着替える。</v>
      </c>
      <c r="FJ30" s="4"/>
      <c r="FK30" s="4" t="str">
        <f ca="1">IFERROR(__xludf.DUMMYFUNCTION("""COMPUTED_VALUE"""),"入力")</f>
        <v>入力</v>
      </c>
      <c r="FL30" s="4" t="str">
        <f ca="1">IFERROR(__xludf.DUMMYFUNCTION("""COMPUTED_VALUE"""),"自立")</f>
        <v>自立</v>
      </c>
      <c r="FM30" s="4" t="str">
        <f ca="1">IFERROR(__xludf.DUMMYFUNCTION("""COMPUTED_VALUE"""),"有")</f>
        <v>有</v>
      </c>
      <c r="FN30" s="4" t="str">
        <f ca="1">IFERROR(__xludf.DUMMYFUNCTION("""COMPUTED_VALUE"""),"無")</f>
        <v>無</v>
      </c>
      <c r="FO30" s="4" t="str">
        <f ca="1">IFERROR(__xludf.DUMMYFUNCTION("""COMPUTED_VALUE"""),"有")</f>
        <v>有</v>
      </c>
      <c r="FP30" s="4" t="str">
        <f ca="1">IFERROR(__xludf.DUMMYFUNCTION("""COMPUTED_VALUE"""),"無")</f>
        <v>無</v>
      </c>
      <c r="FQ30" s="4"/>
      <c r="FR30" s="4" t="str">
        <f ca="1">IFERROR(__xludf.DUMMYFUNCTION("""COMPUTED_VALUE"""),"Pトイレ")</f>
        <v>Pトイレ</v>
      </c>
      <c r="FS30" s="4" t="str">
        <f ca="1">IFERROR(__xludf.DUMMYFUNCTION("""COMPUTED_VALUE"""),"Pトイレ")</f>
        <v>Pトイレ</v>
      </c>
      <c r="FT30" s="4" t="str">
        <f ca="1">IFERROR(__xludf.DUMMYFUNCTION("""COMPUTED_VALUE"""),"リハビリパンツ")</f>
        <v>リハビリパンツ</v>
      </c>
      <c r="FU30" s="4" t="str">
        <f ca="1">IFERROR(__xludf.DUMMYFUNCTION("""COMPUTED_VALUE"""),"現在病院では、トイレまでの移動距離が長いためPトイレを使用しているが、安濃津ろまんへ入居後はトイレで問題なく行うことができる。
排便は毎日下剤を飲んでおり、毎日出ている。")</f>
        <v>現在病院では、トイレまでの移動距離が長いためPトイレを使用しているが、安濃津ろまんへ入居後はトイレで問題なく行うことができる。
排便は毎日下剤を飲んでおり、毎日出ている。</v>
      </c>
      <c r="FV30" s="4"/>
      <c r="FW30" s="4"/>
      <c r="FX30" s="4" t="str">
        <f ca="1">IFERROR(__xludf.DUMMYFUNCTION("""COMPUTED_VALUE"""),"入力")</f>
        <v>入力</v>
      </c>
      <c r="FY30" s="4" t="str">
        <f ca="1">IFERROR(__xludf.DUMMYFUNCTION("""COMPUTED_VALUE"""),"全介助")</f>
        <v>全介助</v>
      </c>
      <c r="FZ30" s="4" t="str">
        <f ca="1">IFERROR(__xludf.DUMMYFUNCTION("""COMPUTED_VALUE"""),"一部介助")</f>
        <v>一部介助</v>
      </c>
      <c r="GA30" s="4" t="str">
        <f ca="1">IFERROR(__xludf.DUMMYFUNCTION("""COMPUTED_VALUE"""),"全介助")</f>
        <v>全介助</v>
      </c>
      <c r="GB30" s="4" t="str">
        <f ca="1">IFERROR(__xludf.DUMMYFUNCTION("""COMPUTED_VALUE"""),"一部介助")</f>
        <v>一部介助</v>
      </c>
      <c r="GC30" s="4" t="str">
        <f ca="1">IFERROR(__xludf.DUMMYFUNCTION("""COMPUTED_VALUE"""),"一部介助")</f>
        <v>一部介助</v>
      </c>
      <c r="GD30" s="4" t="str">
        <f ca="1">IFERROR(__xludf.DUMMYFUNCTION("""COMPUTED_VALUE"""),"安濃津ろまんへ入居後は、調理は行わないがティファールを使用してお湯を温めてお茶を入れるなどはしたいとのこと。掃除は基本手伝いが必要であるが、ベッド上などの清掃はご自身で可能。
洗濯は施設サービスを利用。買い物は売店で行う。金銭管理は長男のお嫁様が行っている。")</f>
        <v>安濃津ろまんへ入居後は、調理は行わないがティファールを使用してお湯を温めてお茶を入れるなどはしたいとのこと。掃除は基本手伝いが必要であるが、ベッド上などの清掃はご自身で可能。
洗濯は施設サービスを利用。買い物は売店で行う。金銭管理は長男のお嫁様が行っている。</v>
      </c>
      <c r="GE30" s="4"/>
      <c r="GF30" s="4"/>
      <c r="GG30" s="4" t="str">
        <f ca="1">IFERROR(__xludf.DUMMYFUNCTION("""COMPUTED_VALUE"""),"コロナウイルスとインフルエンザの予防接種は、アレルギーがあるため未接種となっている。")</f>
        <v>コロナウイルスとインフルエンザの予防接種は、アレルギーがあるため未接種となっている。</v>
      </c>
      <c r="GH30" s="4">
        <f ca="1">IFERROR(__xludf.DUMMYFUNCTION("""COMPUTED_VALUE"""),30)</f>
        <v>30</v>
      </c>
      <c r="GI30" s="4"/>
    </row>
    <row r="31" spans="1:191">
      <c r="A31" s="4"/>
      <c r="B31" s="4"/>
      <c r="C31" s="4" t="str">
        <f ca="1">IFERROR(__xludf.DUMMYFUNCTION("""COMPUTED_VALUE"""),"金丸　典生")</f>
        <v>金丸　典生</v>
      </c>
      <c r="D31" s="4" t="str">
        <f ca="1">IFERROR(__xludf.DUMMYFUNCTION("""COMPUTED_VALUE"""),"12197047")</f>
        <v>12197047</v>
      </c>
      <c r="E31" s="4"/>
      <c r="F31" s="4"/>
      <c r="G31" s="4"/>
      <c r="H31" s="4"/>
      <c r="I31" s="5">
        <f ca="1">IFERROR(__xludf.DUMMYFUNCTION("""COMPUTED_VALUE"""),45682)</f>
        <v>45682</v>
      </c>
      <c r="J31" s="4" t="str">
        <f ca="1">IFERROR(__xludf.DUMMYFUNCTION("""COMPUTED_VALUE"""),"山川　和輝")</f>
        <v>山川　和輝</v>
      </c>
      <c r="K31" s="4" t="str">
        <f ca="1">IFERROR(__xludf.DUMMYFUNCTION("""COMPUTED_VALUE"""),"新規")</f>
        <v>新規</v>
      </c>
      <c r="L31" s="4" t="str">
        <f ca="1">IFERROR(__xludf.DUMMYFUNCTION("""COMPUTED_VALUE"""),"本人の自宅")</f>
        <v>本人の自宅</v>
      </c>
      <c r="M31" s="4" t="str">
        <f ca="1">IFERROR(__xludf.DUMMYFUNCTION("""COMPUTED_VALUE"""),"亀山で生まれ、家族で尾鷲に行く。父親は教師。津市に移っても塾を経営していた。父親は96歳まで生きた。本人は県内の銀行勤務の後、60歳で鈴鹿回生病院の監事になる。14年間74歳まで勤務。
68歳の時に奥さんを亡くされた。子供は男2人。長男は東京で大手銀行に勤務。趣味はゴルフで77歳までしていた。")</f>
        <v>亀山で生まれ、家族で尾鷲に行く。父親は教師。津市に移っても塾を経営していた。父親は96歳まで生きた。本人は県内の銀行勤務の後、60歳で鈴鹿回生病院の監事になる。14年間74歳まで勤務。
68歳の時に奥さんを亡くされた。子供は男2人。長男は東京で大手銀行に勤務。趣味はゴルフで77歳までしていた。</v>
      </c>
      <c r="N31" s="4" t="str">
        <f ca="1">IFERROR(__xludf.DUMMYFUNCTION("""COMPUTED_VALUE"""),"出来るだけ在宅で生活をし続けたかったが、歳を取ってきて自宅で生活するのも心配になってきました。")</f>
        <v>出来るだけ在宅で生活をし続けたかったが、歳を取ってきて自宅で生活するのも心配になってきました。</v>
      </c>
      <c r="O31" s="4" t="str">
        <f ca="1">IFERROR(__xludf.DUMMYFUNCTION("""COMPUTED_VALUE"""),"自宅で一人で生活しているのも心配なので、早く施設に入ってほしいと思っています。")</f>
        <v>自宅で一人で生活しているのも心配なので、早く施設に入ってほしいと思っています。</v>
      </c>
      <c r="P31" s="4"/>
      <c r="Q31" s="4" t="str">
        <f ca="1">IFERROR(__xludf.DUMMYFUNCTION("""COMPUTED_VALUE"""),"入力")</f>
        <v>入力</v>
      </c>
      <c r="R31" s="4" t="str">
        <f ca="1">IFERROR(__xludf.DUMMYFUNCTION("""COMPUTED_VALUE"""),"要支援２")</f>
        <v>要支援２</v>
      </c>
      <c r="S31" s="4" t="str">
        <f ca="1">IFERROR(__xludf.DUMMYFUNCTION("""COMPUTED_VALUE"""),"令和6年10月22日")</f>
        <v>令和6年10月22日</v>
      </c>
      <c r="T31" s="4" t="str">
        <f ca="1">IFERROR(__xludf.DUMMYFUNCTION("""COMPUTED_VALUE"""),"令和6年11月1日")</f>
        <v>令和6年11月1日</v>
      </c>
      <c r="U31" s="4" t="str">
        <f ca="1">IFERROR(__xludf.DUMMYFUNCTION("""COMPUTED_VALUE"""),"令和8年10月31日")</f>
        <v>令和8年10月31日</v>
      </c>
      <c r="V31" s="4" t="str">
        <f ca="1">IFERROR(__xludf.DUMMYFUNCTION("""COMPUTED_VALUE"""),"３割負担")</f>
        <v>３割負担</v>
      </c>
      <c r="W31" s="4" t="str">
        <f ca="1">IFERROR(__xludf.DUMMYFUNCTION("""COMPUTED_VALUE"""),"後期高齢者医療保険")</f>
        <v>後期高齢者医療保険</v>
      </c>
      <c r="X31" s="4" t="str">
        <f ca="1">IFERROR(__xludf.DUMMYFUNCTION("""COMPUTED_VALUE"""),"無")</f>
        <v>無</v>
      </c>
      <c r="Y31" s="4"/>
      <c r="Z31" s="4" t="str">
        <f ca="1">IFERROR(__xludf.DUMMYFUNCTION("""COMPUTED_VALUE"""),"無")</f>
        <v>無</v>
      </c>
      <c r="AA31" s="4" t="str">
        <f ca="1">IFERROR(__xludf.DUMMYFUNCTION("""COMPUTED_VALUE"""),"無")</f>
        <v>無</v>
      </c>
      <c r="AB31" s="4"/>
      <c r="AC31" s="4"/>
      <c r="AD31" s="4"/>
      <c r="AE31" s="4"/>
      <c r="AF31" s="4"/>
      <c r="AG31" s="4"/>
      <c r="AH31" s="4"/>
      <c r="AI31" s="4"/>
      <c r="AJ31" s="4"/>
      <c r="AK31" s="4"/>
      <c r="AL31" s="4"/>
      <c r="AM31" s="4"/>
      <c r="AN31" s="4"/>
      <c r="AO31" s="4"/>
      <c r="AP31" s="4"/>
      <c r="AQ31" s="4"/>
      <c r="AR31" s="4"/>
      <c r="AS31" s="4"/>
      <c r="AT31" s="4"/>
      <c r="AU31" s="4"/>
      <c r="AV31" s="4"/>
      <c r="AW31" s="4"/>
      <c r="AX31" s="4"/>
      <c r="AY31" s="4"/>
      <c r="AZ31" s="4"/>
      <c r="BA31" s="4"/>
      <c r="BB31" s="4"/>
      <c r="BC31" s="4"/>
      <c r="BD31" s="4"/>
      <c r="BE31" s="4"/>
      <c r="BF31" s="4"/>
      <c r="BG31" s="4"/>
      <c r="BH31" s="4"/>
      <c r="BI31" s="4"/>
      <c r="BJ31" s="4"/>
      <c r="BK31" s="4"/>
      <c r="BL31" s="4"/>
      <c r="BM31" s="4"/>
      <c r="BN31" s="4"/>
      <c r="BO31" s="4"/>
      <c r="BP31" s="4"/>
      <c r="BQ31" s="4"/>
      <c r="BR31" s="4"/>
      <c r="BS31" s="4"/>
      <c r="BT31" s="4"/>
      <c r="BU31" s="4"/>
      <c r="BV31" s="4"/>
      <c r="BW31" s="4" t="str">
        <f ca="1">IFERROR(__xludf.DUMMYFUNCTION("""COMPUTED_VALUE"""),"入力")</f>
        <v>入力</v>
      </c>
      <c r="BX31" s="4" t="str">
        <f ca="1">IFERROR(__xludf.DUMMYFUNCTION("""COMPUTED_VALUE"""),"関節リウマチ")</f>
        <v>関節リウマチ</v>
      </c>
      <c r="BY31" s="4" t="str">
        <f ca="1">IFERROR(__xludf.DUMMYFUNCTION("""COMPUTED_VALUE"""),"令和5年頃")</f>
        <v>令和5年頃</v>
      </c>
      <c r="BZ31" s="4" t="str">
        <f ca="1">IFERROR(__xludf.DUMMYFUNCTION("""COMPUTED_VALUE"""),"両変形性膝関節症")</f>
        <v>両変形性膝関節症</v>
      </c>
      <c r="CA31" s="4" t="str">
        <f ca="1">IFERROR(__xludf.DUMMYFUNCTION("""COMPUTED_VALUE"""),"令和5年頃")</f>
        <v>令和5年頃</v>
      </c>
      <c r="CB31" s="4" t="str">
        <f ca="1">IFERROR(__xludf.DUMMYFUNCTION("""COMPUTED_VALUE"""),"腰部脊柱管狭窄症")</f>
        <v>腰部脊柱管狭窄症</v>
      </c>
      <c r="CC31" s="4" t="str">
        <f ca="1">IFERROR(__xludf.DUMMYFUNCTION("""COMPUTED_VALUE"""),"令和5年頃")</f>
        <v>令和5年頃</v>
      </c>
      <c r="CD31" s="4" t="str">
        <f ca="1">IFERROR(__xludf.DUMMYFUNCTION("""COMPUTED_VALUE"""),"不整脈")</f>
        <v>不整脈</v>
      </c>
      <c r="CE31" s="4" t="str">
        <f ca="1">IFERROR(__xludf.DUMMYFUNCTION("""COMPUTED_VALUE"""),"不詳")</f>
        <v>不詳</v>
      </c>
      <c r="CF31" s="4"/>
      <c r="CG31" s="4"/>
      <c r="CH31" s="4"/>
      <c r="CI31" s="4"/>
      <c r="CJ31" s="4" t="str">
        <f ca="1">IFERROR(__xludf.DUMMYFUNCTION("""COMPUTED_VALUE"""),"現在、自宅から定期的にまつおか整形外科や、津生協病院に通院を行っている。")</f>
        <v>現在、自宅から定期的にまつおか整形外科や、津生協病院に通院を行っている。</v>
      </c>
      <c r="CK31" s="4"/>
      <c r="CL31" s="4"/>
      <c r="CM31" s="4"/>
      <c r="CN31" s="4"/>
      <c r="CO31" s="4"/>
      <c r="CP31" s="4"/>
      <c r="CQ31" s="4"/>
      <c r="CR31" s="4"/>
      <c r="CS31" s="4" t="str">
        <f ca="1">IFERROR(__xludf.DUMMYFUNCTION("""COMPUTED_VALUE"""),"その他、既往は特になし。")</f>
        <v>その他、既往は特になし。</v>
      </c>
      <c r="CT31" s="4" t="str">
        <f ca="1">IFERROR(__xludf.DUMMYFUNCTION("""COMPUTED_VALUE"""),"内服あり。ご自身で管理され飲み忘れなく内服できている。")</f>
        <v>内服あり。ご自身で管理され飲み忘れなく内服できている。</v>
      </c>
      <c r="CU31" s="4"/>
      <c r="CV31" s="4"/>
      <c r="CW31" s="4"/>
      <c r="CX31" s="4" t="str">
        <f ca="1">IFERROR(__xludf.DUMMYFUNCTION("""COMPUTED_VALUE"""),"入力")</f>
        <v>入力</v>
      </c>
      <c r="CY31" s="4" t="str">
        <f ca="1">IFERROR(__xludf.DUMMYFUNCTION("""COMPUTED_VALUE"""),"無")</f>
        <v>無</v>
      </c>
      <c r="CZ31" s="4" t="str">
        <f ca="1">IFERROR(__xludf.DUMMYFUNCTION("""COMPUTED_VALUE"""),"無")</f>
        <v>無</v>
      </c>
      <c r="DA31" s="4" t="str">
        <f ca="1">IFERROR(__xludf.DUMMYFUNCTION("""COMPUTED_VALUE"""),"無")</f>
        <v>無</v>
      </c>
      <c r="DB31" s="4" t="str">
        <f ca="1">IFERROR(__xludf.DUMMYFUNCTION("""COMPUTED_VALUE"""),"特になし。")</f>
        <v>特になし。</v>
      </c>
      <c r="DC31" s="4" t="str">
        <f ca="1">IFERROR(__xludf.DUMMYFUNCTION("""COMPUTED_VALUE"""),"膝関節")</f>
        <v>膝関節</v>
      </c>
      <c r="DD31" s="4">
        <f ca="1">IFERROR(__xludf.DUMMYFUNCTION("""COMPUTED_VALUE"""),163)</f>
        <v>163</v>
      </c>
      <c r="DE31" s="4">
        <f ca="1">IFERROR(__xludf.DUMMYFUNCTION("""COMPUTED_VALUE"""),59)</f>
        <v>59</v>
      </c>
      <c r="DF31" s="4" t="str">
        <f ca="1">IFERROR(__xludf.DUMMYFUNCTION("""COMPUTED_VALUE"""),"正常")</f>
        <v>正常</v>
      </c>
      <c r="DG31" s="4" t="str">
        <f ca="1">IFERROR(__xludf.DUMMYFUNCTION("""COMPUTED_VALUE"""),"無")</f>
        <v>無</v>
      </c>
      <c r="DH31" s="4" t="str">
        <f ca="1">IFERROR(__xludf.DUMMYFUNCTION("""COMPUTED_VALUE"""),"正常")</f>
        <v>正常</v>
      </c>
      <c r="DI31" s="4" t="str">
        <f ca="1">IFERROR(__xludf.DUMMYFUNCTION("""COMPUTED_VALUE"""),"無")</f>
        <v>無</v>
      </c>
      <c r="DJ31" s="4" t="str">
        <f ca="1">IFERROR(__xludf.DUMMYFUNCTION("""COMPUTED_VALUE"""),"関節リウマチで両下肢や膝に痛みあり。定期受診を行っている。")</f>
        <v>関節リウマチで両下肢や膝に痛みあり。定期受診を行っている。</v>
      </c>
      <c r="DK31" s="4"/>
      <c r="DL31" s="4" t="str">
        <f ca="1">IFERROR(__xludf.DUMMYFUNCTION("""COMPUTED_VALUE"""),"入力")</f>
        <v>入力</v>
      </c>
      <c r="DM31" s="4" t="str">
        <f ca="1">IFERROR(__xludf.DUMMYFUNCTION("""COMPUTED_VALUE"""),"無")</f>
        <v>無</v>
      </c>
      <c r="DN31" s="4"/>
      <c r="DO31" s="4" t="str">
        <f ca="1">IFERROR(__xludf.DUMMYFUNCTION("""COMPUTED_VALUE"""),"無")</f>
        <v>無</v>
      </c>
      <c r="DP31" s="4" t="str">
        <f ca="1">IFERROR(__xludf.DUMMYFUNCTION("""COMPUTED_VALUE"""),"可能")</f>
        <v>可能</v>
      </c>
      <c r="DQ31" s="4" t="str">
        <f ca="1">IFERROR(__xludf.DUMMYFUNCTION("""COMPUTED_VALUE"""),"可能")</f>
        <v>可能</v>
      </c>
      <c r="DR31" s="4" t="str">
        <f ca="1">IFERROR(__xludf.DUMMYFUNCTION("""COMPUTED_VALUE"""),"認知機能は全く問題なし。")</f>
        <v>認知機能は全く問題なし。</v>
      </c>
      <c r="DS31" s="4"/>
      <c r="DT31" s="4"/>
      <c r="DU31" s="4" t="str">
        <f ca="1">IFERROR(__xludf.DUMMYFUNCTION("""COMPUTED_VALUE"""),"入力")</f>
        <v>入力</v>
      </c>
      <c r="DV31" s="4" t="str">
        <f ca="1">IFERROR(__xludf.DUMMYFUNCTION("""COMPUTED_VALUE"""),"何かにつかまればできる")</f>
        <v>何かにつかまればできる</v>
      </c>
      <c r="DW31" s="4" t="str">
        <f ca="1">IFERROR(__xludf.DUMMYFUNCTION("""COMPUTED_VALUE"""),"何かにつかまればできる")</f>
        <v>何かにつかまればできる</v>
      </c>
      <c r="DX31" s="4" t="str">
        <f ca="1">IFERROR(__xludf.DUMMYFUNCTION("""COMPUTED_VALUE"""),"自分の手で支えればできる")</f>
        <v>自分の手で支えればできる</v>
      </c>
      <c r="DY31" s="4" t="str">
        <f ca="1">IFERROR(__xludf.DUMMYFUNCTION("""COMPUTED_VALUE"""),"何かにつかまればできる")</f>
        <v>何かにつかまればできる</v>
      </c>
      <c r="DZ31" s="4" t="str">
        <f ca="1">IFERROR(__xludf.DUMMYFUNCTION("""COMPUTED_VALUE"""),"何か支えがあればできる")</f>
        <v>何か支えがあればできる</v>
      </c>
      <c r="EA31" s="4" t="str">
        <f ca="1">IFERROR(__xludf.DUMMYFUNCTION("""COMPUTED_VALUE"""),"自立")</f>
        <v>自立</v>
      </c>
      <c r="EB31" s="4" t="str">
        <f ca="1">IFERROR(__xludf.DUMMYFUNCTION("""COMPUTED_VALUE"""),"自立")</f>
        <v>自立</v>
      </c>
      <c r="EC31" s="4" t="str">
        <f ca="1">IFERROR(__xludf.DUMMYFUNCTION("""COMPUTED_VALUE"""),"独歩")</f>
        <v>独歩</v>
      </c>
      <c r="ED31" s="4" t="str">
        <f ca="1">IFERROR(__xludf.DUMMYFUNCTION("""COMPUTED_VALUE"""),"見守り")</f>
        <v>見守り</v>
      </c>
      <c r="EE31" s="4" t="str">
        <f ca="1">IFERROR(__xludf.DUMMYFUNCTION("""COMPUTED_VALUE"""),"歩行器")</f>
        <v>歩行器</v>
      </c>
      <c r="EF31" s="4" t="str">
        <f ca="1">IFERROR(__xludf.DUMMYFUNCTION("""COMPUTED_VALUE"""),"起居動作はご自身で可能。
移動は独歩伝い歩きで可能も、関節リウマチの影響で歩行に不安定さが見られる。歩行器を使用することで安全に移動可能。")</f>
        <v>起居動作はご自身で可能。
移動は独歩伝い歩きで可能も、関節リウマチの影響で歩行に不安定さが見られる。歩行器を使用することで安全に移動可能。</v>
      </c>
      <c r="EG31" s="4"/>
      <c r="EH31" s="4" t="str">
        <f ca="1">IFERROR(__xludf.DUMMYFUNCTION("""COMPUTED_VALUE"""),"入力")</f>
        <v>入力</v>
      </c>
      <c r="EI31" s="4" t="str">
        <f ca="1">IFERROR(__xludf.DUMMYFUNCTION("""COMPUTED_VALUE"""),"入力")</f>
        <v>入力</v>
      </c>
      <c r="EJ31" s="4" t="str">
        <f ca="1">IFERROR(__xludf.DUMMYFUNCTION("""COMPUTED_VALUE"""),"経口摂取")</f>
        <v>経口摂取</v>
      </c>
      <c r="EK31" s="4" t="str">
        <f ca="1">IFERROR(__xludf.DUMMYFUNCTION("""COMPUTED_VALUE"""),"自立")</f>
        <v>自立</v>
      </c>
      <c r="EL31" s="4" t="str">
        <f ca="1">IFERROR(__xludf.DUMMYFUNCTION("""COMPUTED_VALUE"""),"できる")</f>
        <v>できる</v>
      </c>
      <c r="EM31" s="4" t="str">
        <f ca="1">IFERROR(__xludf.DUMMYFUNCTION("""COMPUTED_VALUE"""),"普通")</f>
        <v>普通</v>
      </c>
      <c r="EN31" s="4" t="str">
        <f ca="1">IFERROR(__xludf.DUMMYFUNCTION("""COMPUTED_VALUE"""),"普通")</f>
        <v>普通</v>
      </c>
      <c r="EO31" s="4" t="str">
        <f ca="1">IFERROR(__xludf.DUMMYFUNCTION("""COMPUTED_VALUE"""),"無")</f>
        <v>無</v>
      </c>
      <c r="EP31" s="4" t="str">
        <f ca="1">IFERROR(__xludf.DUMMYFUNCTION("""COMPUTED_VALUE"""),"無")</f>
        <v>無</v>
      </c>
      <c r="EQ31" s="4" t="str">
        <f ca="1">IFERROR(__xludf.DUMMYFUNCTION("""COMPUTED_VALUE"""),"箸 , スプーン")</f>
        <v>箸 , スプーン</v>
      </c>
      <c r="ER31" s="4" t="str">
        <f ca="1">IFERROR(__xludf.DUMMYFUNCTION("""COMPUTED_VALUE"""),"食事は特に問題は見られない。
現在配食サービスを利用している。")</f>
        <v>食事は特に問題は見られない。
現在配食サービスを利用している。</v>
      </c>
      <c r="ES31" s="4"/>
      <c r="ET31" s="4" t="str">
        <f ca="1">IFERROR(__xludf.DUMMYFUNCTION("""COMPUTED_VALUE"""),"入力")</f>
        <v>入力</v>
      </c>
      <c r="EU31" s="4" t="str">
        <f ca="1">IFERROR(__xludf.DUMMYFUNCTION("""COMPUTED_VALUE"""),"自立")</f>
        <v>自立</v>
      </c>
      <c r="EV31" s="4" t="str">
        <f ca="1">IFERROR(__xludf.DUMMYFUNCTION("""COMPUTED_VALUE"""),"有")</f>
        <v>有</v>
      </c>
      <c r="EW31" s="4" t="str">
        <f ca="1">IFERROR(__xludf.DUMMYFUNCTION("""COMPUTED_VALUE"""),"無")</f>
        <v>無</v>
      </c>
      <c r="EX31" s="4"/>
      <c r="EY31" s="4"/>
      <c r="EZ31" s="4" t="str">
        <f ca="1">IFERROR(__xludf.DUMMYFUNCTION("""COMPUTED_VALUE"""),"口腔ケアはご自身で可能。")</f>
        <v>口腔ケアはご自身で可能。</v>
      </c>
      <c r="FA31" s="4"/>
      <c r="FB31" s="4" t="str">
        <f ca="1">IFERROR(__xludf.DUMMYFUNCTION("""COMPUTED_VALUE"""),"入力")</f>
        <v>入力</v>
      </c>
      <c r="FC31" s="4" t="str">
        <f ca="1">IFERROR(__xludf.DUMMYFUNCTION("""COMPUTED_VALUE"""),"自立")</f>
        <v>自立</v>
      </c>
      <c r="FD31" s="4" t="str">
        <f ca="1">IFERROR(__xludf.DUMMYFUNCTION("""COMPUTED_VALUE"""),"一般浴")</f>
        <v>一般浴</v>
      </c>
      <c r="FE31" s="4" t="str">
        <f ca="1">IFERROR(__xludf.DUMMYFUNCTION("""COMPUTED_VALUE"""),"無")</f>
        <v>無</v>
      </c>
      <c r="FF31" s="4"/>
      <c r="FG31" s="4" t="str">
        <f ca="1">IFERROR(__xludf.DUMMYFUNCTION("""COMPUTED_VALUE"""),"自立")</f>
        <v>自立</v>
      </c>
      <c r="FH31" s="4" t="str">
        <f ca="1">IFERROR(__xludf.DUMMYFUNCTION("""COMPUTED_VALUE"""),"自立")</f>
        <v>自立</v>
      </c>
      <c r="FI31" s="4" t="str">
        <f ca="1">IFERROR(__xludf.DUMMYFUNCTION("""COMPUTED_VALUE"""),"入浴に関して、自宅のお風呂は狭いため毎日近くの銭湯を利用されている。")</f>
        <v>入浴に関して、自宅のお風呂は狭いため毎日近くの銭湯を利用されている。</v>
      </c>
      <c r="FJ31" s="4"/>
      <c r="FK31" s="4" t="str">
        <f ca="1">IFERROR(__xludf.DUMMYFUNCTION("""COMPUTED_VALUE"""),"入力")</f>
        <v>入力</v>
      </c>
      <c r="FL31" s="4" t="str">
        <f ca="1">IFERROR(__xludf.DUMMYFUNCTION("""COMPUTED_VALUE"""),"自立")</f>
        <v>自立</v>
      </c>
      <c r="FM31" s="4" t="str">
        <f ca="1">IFERROR(__xludf.DUMMYFUNCTION("""COMPUTED_VALUE"""),"有")</f>
        <v>有</v>
      </c>
      <c r="FN31" s="4" t="str">
        <f ca="1">IFERROR(__xludf.DUMMYFUNCTION("""COMPUTED_VALUE"""),"無")</f>
        <v>無</v>
      </c>
      <c r="FO31" s="4" t="str">
        <f ca="1">IFERROR(__xludf.DUMMYFUNCTION("""COMPUTED_VALUE"""),"有")</f>
        <v>有</v>
      </c>
      <c r="FP31" s="4" t="str">
        <f ca="1">IFERROR(__xludf.DUMMYFUNCTION("""COMPUTED_VALUE"""),"無")</f>
        <v>無</v>
      </c>
      <c r="FQ31" s="4"/>
      <c r="FR31" s="4" t="str">
        <f ca="1">IFERROR(__xludf.DUMMYFUNCTION("""COMPUTED_VALUE"""),"トイレ")</f>
        <v>トイレ</v>
      </c>
      <c r="FS31" s="4" t="str">
        <f ca="1">IFERROR(__xludf.DUMMYFUNCTION("""COMPUTED_VALUE"""),"トイレ")</f>
        <v>トイレ</v>
      </c>
      <c r="FT31" s="4"/>
      <c r="FU31" s="4" t="str">
        <f ca="1">IFERROR(__xludf.DUMMYFUNCTION("""COMPUTED_VALUE"""),"排泄は自宅のトイレで問題なく行えており失敗もない。布パンツを使用。")</f>
        <v>排泄は自宅のトイレで問題なく行えており失敗もない。布パンツを使用。</v>
      </c>
      <c r="FV31" s="4"/>
      <c r="FW31" s="4"/>
      <c r="FX31" s="4" t="str">
        <f ca="1">IFERROR(__xludf.DUMMYFUNCTION("""COMPUTED_VALUE"""),"入力")</f>
        <v>入力</v>
      </c>
      <c r="FY31" s="4" t="str">
        <f ca="1">IFERROR(__xludf.DUMMYFUNCTION("""COMPUTED_VALUE"""),"自立")</f>
        <v>自立</v>
      </c>
      <c r="FZ31" s="4" t="str">
        <f ca="1">IFERROR(__xludf.DUMMYFUNCTION("""COMPUTED_VALUE"""),"自立")</f>
        <v>自立</v>
      </c>
      <c r="GA31" s="4" t="str">
        <f ca="1">IFERROR(__xludf.DUMMYFUNCTION("""COMPUTED_VALUE"""),"自立")</f>
        <v>自立</v>
      </c>
      <c r="GB31" s="4" t="str">
        <f ca="1">IFERROR(__xludf.DUMMYFUNCTION("""COMPUTED_VALUE"""),"自立")</f>
        <v>自立</v>
      </c>
      <c r="GC31" s="4" t="str">
        <f ca="1">IFERROR(__xludf.DUMMYFUNCTION("""COMPUTED_VALUE"""),"自立")</f>
        <v>自立</v>
      </c>
      <c r="GD31" s="4" t="str">
        <f ca="1">IFERROR(__xludf.DUMMYFUNCTION("""COMPUTED_VALUE"""),"現在自宅で独居生活を送られており、IADLは自立で可能。ただ徐々に調理や買い物がつらくなってきている。")</f>
        <v>現在自宅で独居生活を送られており、IADLは自立で可能。ただ徐々に調理や買い物がつらくなってきている。</v>
      </c>
      <c r="GE31" s="4"/>
      <c r="GF31" s="4"/>
      <c r="GG31" s="4" t="str">
        <f ca="1">IFERROR(__xludf.DUMMYFUNCTION("""COMPUTED_VALUE"""),"もともと銀行員だったり、鈴鹿回生病院の経営コンサルタント的役割を担っていたため、お金に関して細かい性格。")</f>
        <v>もともと銀行員だったり、鈴鹿回生病院の経営コンサルタント的役割を担っていたため、お金に関して細かい性格。</v>
      </c>
      <c r="GH31" s="4">
        <f ca="1">IFERROR(__xludf.DUMMYFUNCTION("""COMPUTED_VALUE"""),30)</f>
        <v>30</v>
      </c>
      <c r="GI31" s="4"/>
    </row>
    <row r="32" spans="1:191">
      <c r="A32" s="4"/>
      <c r="B32" s="4"/>
      <c r="C32" s="4" t="str">
        <f ca="1">IFERROR(__xludf.DUMMYFUNCTION("""COMPUTED_VALUE"""),"幾原　力")</f>
        <v>幾原　力</v>
      </c>
      <c r="D32" s="4" t="str">
        <f ca="1">IFERROR(__xludf.DUMMYFUNCTION("""COMPUTED_VALUE"""),"56d32826")</f>
        <v>56d32826</v>
      </c>
      <c r="E32" s="4"/>
      <c r="F32" s="4"/>
      <c r="G32" s="4" t="str">
        <f ca="1">IFERROR(__xludf.DUMMYFUNCTION("""COMPUTED_VALUE"""),"利用者選択｜絞り込み")</f>
        <v>利用者選択｜絞り込み</v>
      </c>
      <c r="H32" s="4"/>
      <c r="I32" s="5">
        <f ca="1">IFERROR(__xludf.DUMMYFUNCTION("""COMPUTED_VALUE"""),45686)</f>
        <v>45686</v>
      </c>
      <c r="J32" s="4" t="str">
        <f ca="1">IFERROR(__xludf.DUMMYFUNCTION("""COMPUTED_VALUE"""),"山川　和輝")</f>
        <v>山川　和輝</v>
      </c>
      <c r="K32" s="4" t="str">
        <f ca="1">IFERROR(__xludf.DUMMYFUNCTION("""COMPUTED_VALUE"""),"新規")</f>
        <v>新規</v>
      </c>
      <c r="L32" s="4" t="str">
        <f ca="1">IFERROR(__xludf.DUMMYFUNCTION("""COMPUTED_VALUE"""),"入院先の病院")</f>
        <v>入院先の病院</v>
      </c>
      <c r="M32" s="4" t="str">
        <f ca="1">IFERROR(__xludf.DUMMYFUNCTION("""COMPUTED_VALUE"""),"自宅にて独居要介護1で概ね自立した生活を送っていた。R6年10気胸にてにて三重中央医療センターに入院リハビリ目的にて11月末頃に榊原温泉病院に転院。入院した直後転倒、背部～臀部付近骨折、一時寝たきり状態の際に要介護4の認定を受けた。車椅子乗車可能となり、介助付きで短距離歩行訓練開始する等改善傾向。長男一家は名古屋在住。連絡先は長男嫁")</f>
        <v>自宅にて独居要介護1で概ね自立した生活を送っていた。R6年10気胸にてにて三重中央医療センターに入院リハビリ目的にて11月末頃に榊原温泉病院に転院。入院した直後転倒、背部～臀部付近骨折、一時寝たきり状態の際に要介護4の認定を受けた。車椅子乗車可能となり、介助付きで短距離歩行訓練開始する等改善傾向。長男一家は名古屋在住。連絡先は長男嫁</v>
      </c>
      <c r="N32" s="4" t="str">
        <f ca="1">IFERROR(__xludf.DUMMYFUNCTION("""COMPUTED_VALUE"""),"綺麗な居室で暮らしたい")</f>
        <v>綺麗な居室で暮らしたい</v>
      </c>
      <c r="O32" s="4"/>
      <c r="P32" s="4"/>
      <c r="Q32" s="4" t="str">
        <f ca="1">IFERROR(__xludf.DUMMYFUNCTION("""COMPUTED_VALUE"""),"入力")</f>
        <v>入力</v>
      </c>
      <c r="R32" s="4" t="str">
        <f ca="1">IFERROR(__xludf.DUMMYFUNCTION("""COMPUTED_VALUE"""),"要介護４")</f>
        <v>要介護４</v>
      </c>
      <c r="S32" s="4"/>
      <c r="T32" s="4"/>
      <c r="U32" s="4"/>
      <c r="V32" s="4"/>
      <c r="W32" s="4"/>
      <c r="X32" s="4"/>
      <c r="Y32" s="4"/>
      <c r="Z32" s="4"/>
      <c r="AA32" s="4"/>
      <c r="AB32" s="4"/>
      <c r="AC32" s="4"/>
      <c r="AD32" s="4"/>
      <c r="AE32" s="4" t="str">
        <f ca="1">IFERROR(__xludf.DUMMYFUNCTION("""COMPUTED_VALUE"""),"入力")</f>
        <v>入力</v>
      </c>
      <c r="AF32" s="4" t="str">
        <f ca="1">IFERROR(__xludf.DUMMYFUNCTION("""COMPUTED_VALUE"""),"幾原　祐美")</f>
        <v>幾原　祐美</v>
      </c>
      <c r="AG32" s="4" t="str">
        <f ca="1">IFERROR(__xludf.DUMMYFUNCTION("""COMPUTED_VALUE"""),"長男の妻")</f>
        <v>長男の妻</v>
      </c>
      <c r="AH32" s="4"/>
      <c r="AI32" s="4" t="str">
        <f ca="1">IFERROR(__xludf.DUMMYFUNCTION("""COMPUTED_VALUE"""),"別居")</f>
        <v>別居</v>
      </c>
      <c r="AJ32" s="4" t="str">
        <f ca="1">IFERROR(__xludf.DUMMYFUNCTION("""COMPUTED_VALUE"""),"介護しない")</f>
        <v>介護しない</v>
      </c>
      <c r="AK32" s="4" t="str">
        <f ca="1">IFERROR(__xludf.DUMMYFUNCTION("""COMPUTED_VALUE"""),"有")</f>
        <v>有</v>
      </c>
      <c r="AL32" s="4" t="str">
        <f ca="1">IFERROR(__xludf.DUMMYFUNCTION("""COMPUTED_VALUE"""),"090-2570-9576")</f>
        <v>090-2570-9576</v>
      </c>
      <c r="AM32" s="4" t="str">
        <f ca="1">IFERROR(__xludf.DUMMYFUNCTION("""COMPUTED_VALUE"""),"長男は単身赴任、東京在住、仕事多忙のためキーパーソンは妻")</f>
        <v>長男は単身赴任、東京在住、仕事多忙のためキーパーソンは妻</v>
      </c>
      <c r="AN32" s="4" t="str">
        <f ca="1">IFERROR(__xludf.DUMMYFUNCTION("""COMPUTED_VALUE"""),"幾原雄一")</f>
        <v>幾原雄一</v>
      </c>
      <c r="AO32" s="4" t="str">
        <f ca="1">IFERROR(__xludf.DUMMYFUNCTION("""COMPUTED_VALUE"""),"長男")</f>
        <v>長男</v>
      </c>
      <c r="AP32" s="4"/>
      <c r="AQ32" s="4" t="str">
        <f ca="1">IFERROR(__xludf.DUMMYFUNCTION("""COMPUTED_VALUE"""),"別居")</f>
        <v>別居</v>
      </c>
      <c r="AR32" s="4" t="str">
        <f ca="1">IFERROR(__xludf.DUMMYFUNCTION("""COMPUTED_VALUE"""),"介護しない")</f>
        <v>介護しない</v>
      </c>
      <c r="AS32" s="4" t="str">
        <f ca="1">IFERROR(__xludf.DUMMYFUNCTION("""COMPUTED_VALUE"""),"無")</f>
        <v>無</v>
      </c>
      <c r="AT32" s="4" t="str">
        <f ca="1">IFERROR(__xludf.DUMMYFUNCTION("""COMPUTED_VALUE"""),"090-8671-1705")</f>
        <v>090-8671-1705</v>
      </c>
      <c r="AU32" s="4" t="str">
        <f ca="1">IFERROR(__xludf.DUMMYFUNCTION("""COMPUTED_VALUE"""),"単身赴任　仕事多忙のためキーパーソンは妻")</f>
        <v>単身赴任　仕事多忙のためキーパーソンは妻</v>
      </c>
      <c r="AV32" s="4"/>
      <c r="AW32" s="4" t="str">
        <f ca="1">IFERROR(__xludf.DUMMYFUNCTION("""COMPUTED_VALUE"""),"入力")</f>
        <v>入力</v>
      </c>
      <c r="AX32" s="4" t="str">
        <f ca="1">IFERROR(__xludf.DUMMYFUNCTION("""COMPUTED_VALUE"""),"一人暮らし")</f>
        <v>一人暮らし</v>
      </c>
      <c r="AY32" s="4" t="str">
        <f ca="1">IFERROR(__xludf.DUMMYFUNCTION("""COMPUTED_VALUE"""),"一戸建て")</f>
        <v>一戸建て</v>
      </c>
      <c r="AZ32" s="4"/>
      <c r="BA32" s="4" t="str">
        <f ca="1">IFERROR(__xludf.DUMMYFUNCTION("""COMPUTED_VALUE"""),"所有")</f>
        <v>所有</v>
      </c>
      <c r="BB32" s="4" t="str">
        <f ca="1">IFERROR(__xludf.DUMMYFUNCTION("""COMPUTED_VALUE"""),"有")</f>
        <v>有</v>
      </c>
      <c r="BC32" s="4" t="str">
        <f ca="1">IFERROR(__xludf.DUMMYFUNCTION("""COMPUTED_VALUE"""),"有")</f>
        <v>有</v>
      </c>
      <c r="BD32" s="4" t="str">
        <f ca="1">IFERROR(__xludf.DUMMYFUNCTION("""COMPUTED_VALUE"""),"洋式")</f>
        <v>洋式</v>
      </c>
      <c r="BE32" s="4"/>
      <c r="BF32" s="4"/>
      <c r="BG32" s="4"/>
      <c r="BH32" s="4"/>
      <c r="BI32" s="4"/>
      <c r="BJ32" s="4"/>
      <c r="BK32" s="4"/>
      <c r="BL32" s="4"/>
      <c r="BM32" s="4"/>
      <c r="BN32" s="4"/>
      <c r="BO32" s="4" t="str">
        <f ca="1">IFERROR(__xludf.DUMMYFUNCTION("""COMPUTED_VALUE"""),"入力")</f>
        <v>入力</v>
      </c>
      <c r="BP32" s="4"/>
      <c r="BQ32" s="4"/>
      <c r="BR32" s="4"/>
      <c r="BS32" s="4"/>
      <c r="BT32" s="4"/>
      <c r="BU32" s="4"/>
      <c r="BV32" s="4"/>
      <c r="BW32" s="4" t="str">
        <f ca="1">IFERROR(__xludf.DUMMYFUNCTION("""COMPUTED_VALUE"""),"入力")</f>
        <v>入力</v>
      </c>
      <c r="BX32" s="4" t="str">
        <f ca="1">IFERROR(__xludf.DUMMYFUNCTION("""COMPUTED_VALUE"""),"左続発性気胸")</f>
        <v>左続発性気胸</v>
      </c>
      <c r="BY32" s="4" t="str">
        <f ca="1">IFERROR(__xludf.DUMMYFUNCTION("""COMPUTED_VALUE"""),"R6.10.29")</f>
        <v>R6.10.29</v>
      </c>
      <c r="BZ32" s="4" t="str">
        <f ca="1">IFERROR(__xludf.DUMMYFUNCTION("""COMPUTED_VALUE"""),"腰椎圧迫骨折")</f>
        <v>腰椎圧迫骨折</v>
      </c>
      <c r="CA32" s="4" t="str">
        <f ca="1">IFERROR(__xludf.DUMMYFUNCTION("""COMPUTED_VALUE"""),"R6.11.26")</f>
        <v>R6.11.26</v>
      </c>
      <c r="CB32" s="4"/>
      <c r="CC32" s="4"/>
      <c r="CD32" s="4"/>
      <c r="CE32" s="4"/>
      <c r="CF32" s="4"/>
      <c r="CG32" s="4"/>
      <c r="CH32" s="4"/>
      <c r="CI32" s="4"/>
      <c r="CJ32" s="4"/>
      <c r="CK32" s="4"/>
      <c r="CL32" s="4"/>
      <c r="CM32" s="4"/>
      <c r="CN32" s="4"/>
      <c r="CO32" s="4"/>
      <c r="CP32" s="4"/>
      <c r="CQ32" s="4"/>
      <c r="CR32" s="4"/>
      <c r="CS32" s="4" t="str">
        <f ca="1">IFERROR(__xludf.DUMMYFUNCTION("""COMPUTED_VALUE"""),"前立腺肥大　間質性肺炎　肺気腫")</f>
        <v>前立腺肥大　間質性肺炎　肺気腫</v>
      </c>
      <c r="CT32" s="4"/>
      <c r="CU32" s="4"/>
      <c r="CV32" s="4"/>
      <c r="CW32" s="4"/>
      <c r="CX32" s="4" t="str">
        <f ca="1">IFERROR(__xludf.DUMMYFUNCTION("""COMPUTED_VALUE"""),"入力")</f>
        <v>入力</v>
      </c>
      <c r="CY32" s="4"/>
      <c r="CZ32" s="4" t="str">
        <f ca="1">IFERROR(__xludf.DUMMYFUNCTION("""COMPUTED_VALUE"""),"無")</f>
        <v>無</v>
      </c>
      <c r="DA32" s="4" t="str">
        <f ca="1">IFERROR(__xludf.DUMMYFUNCTION("""COMPUTED_VALUE"""),"無")</f>
        <v>無</v>
      </c>
      <c r="DB32" s="4" t="str">
        <f ca="1">IFERROR(__xludf.DUMMYFUNCTION("""COMPUTED_VALUE"""),"無")</f>
        <v>無</v>
      </c>
      <c r="DC32" s="4" t="str">
        <f ca="1">IFERROR(__xludf.DUMMYFUNCTION("""COMPUTED_VALUE"""),"有")</f>
        <v>有</v>
      </c>
      <c r="DD32" s="4"/>
      <c r="DE32" s="4"/>
      <c r="DF32" s="4" t="str">
        <f ca="1">IFERROR(__xludf.DUMMYFUNCTION("""COMPUTED_VALUE"""),"正常")</f>
        <v>正常</v>
      </c>
      <c r="DG32" s="4"/>
      <c r="DH32" s="4" t="str">
        <f ca="1">IFERROR(__xludf.DUMMYFUNCTION("""COMPUTED_VALUE"""),"大きい声は可")</f>
        <v>大きい声は可</v>
      </c>
      <c r="DI32" s="4"/>
      <c r="DJ32" s="4" t="str">
        <f ca="1">IFERROR(__xludf.DUMMYFUNCTION("""COMPUTED_VALUE"""),"右耳ほぼ聞こえない。気胸後の為時々胸苦しさあり。腰椎圧迫骨折（L1）保存療法コルセット装着中(2月末までの予定）。服薬自己管理は難しい（入院中は毎食事手渡し）。便秘症にて週に2～3回摘便処置中、下剤使用のタイミングは本人に任せている（自己管理にすると飲み続けてしまう）。怒責力弱い。便の硬・緩に差がある。立位や四点歩行練習中に腰痛（ひびく）と訴えあり。")</f>
        <v>右耳ほぼ聞こえない。気胸後の為時々胸苦しさあり。腰椎圧迫骨折（L1）保存療法コルセット装着中(2月末までの予定）。服薬自己管理は難しい（入院中は毎食事手渡し）。便秘症にて週に2～3回摘便処置中、下剤使用のタイミングは本人に任せている（自己管理にすると飲み続けてしまう）。怒責力弱い。便の硬・緩に差がある。立位や四点歩行練習中に腰痛（ひびく）と訴えあり。</v>
      </c>
      <c r="DK32" s="4"/>
      <c r="DL32" s="4" t="str">
        <f ca="1">IFERROR(__xludf.DUMMYFUNCTION("""COMPUTED_VALUE"""),"入力")</f>
        <v>入力</v>
      </c>
      <c r="DM32" s="4" t="str">
        <f ca="1">IFERROR(__xludf.DUMMYFUNCTION("""COMPUTED_VALUE"""),"無")</f>
        <v>無</v>
      </c>
      <c r="DN32" s="4"/>
      <c r="DO32" s="4"/>
      <c r="DP32" s="4" t="str">
        <f ca="1">IFERROR(__xludf.DUMMYFUNCTION("""COMPUTED_VALUE"""),"可能")</f>
        <v>可能</v>
      </c>
      <c r="DQ32" s="4" t="str">
        <f ca="1">IFERROR(__xludf.DUMMYFUNCTION("""COMPUTED_VALUE"""),"可能")</f>
        <v>可能</v>
      </c>
      <c r="DR32" s="4" t="str">
        <f ca="1">IFERROR(__xludf.DUMMYFUNCTION("""COMPUTED_VALUE"""),"一見しっかりしている様に見えるが年齢相応の認知力の低下はあり。車椅子操作が時々めちゃくちゃになる等あり要注意。自尊心が高く話はインテリジェンス、交友関係広い。丁寧に対応していれば基本穏やか。")</f>
        <v>一見しっかりしている様に見えるが年齢相応の認知力の低下はあり。車椅子操作が時々めちゃくちゃになる等あり要注意。自尊心が高く話はインテリジェンス、交友関係広い。丁寧に対応していれば基本穏やか。</v>
      </c>
      <c r="DS32" s="4"/>
      <c r="DT32" s="4"/>
      <c r="DU32" s="4" t="str">
        <f ca="1">IFERROR(__xludf.DUMMYFUNCTION("""COMPUTED_VALUE"""),"入力")</f>
        <v>入力</v>
      </c>
      <c r="DV32" s="4" t="str">
        <f ca="1">IFERROR(__xludf.DUMMYFUNCTION("""COMPUTED_VALUE"""),"何かにつかまればできる")</f>
        <v>何かにつかまればできる</v>
      </c>
      <c r="DW32" s="4" t="str">
        <f ca="1">IFERROR(__xludf.DUMMYFUNCTION("""COMPUTED_VALUE"""),"何かにつかまればできる")</f>
        <v>何かにつかまればできる</v>
      </c>
      <c r="DX32" s="4" t="str">
        <f ca="1">IFERROR(__xludf.DUMMYFUNCTION("""COMPUTED_VALUE"""),"自分の手で支えればできる")</f>
        <v>自分の手で支えればできる</v>
      </c>
      <c r="DY32" s="4" t="str">
        <f ca="1">IFERROR(__xludf.DUMMYFUNCTION("""COMPUTED_VALUE"""),"何かにつかまればできる")</f>
        <v>何かにつかまればできる</v>
      </c>
      <c r="DZ32" s="4" t="str">
        <f ca="1">IFERROR(__xludf.DUMMYFUNCTION("""COMPUTED_VALUE"""),"何か支えがあればできる")</f>
        <v>何か支えがあればできる</v>
      </c>
      <c r="EA32" s="4" t="str">
        <f ca="1">IFERROR(__xludf.DUMMYFUNCTION("""COMPUTED_VALUE"""),"見守り")</f>
        <v>見守り</v>
      </c>
      <c r="EB32" s="4" t="str">
        <f ca="1">IFERROR(__xludf.DUMMYFUNCTION("""COMPUTED_VALUE"""),"見守り")</f>
        <v>見守り</v>
      </c>
      <c r="EC32" s="4" t="str">
        <f ca="1">IFERROR(__xludf.DUMMYFUNCTION("""COMPUTED_VALUE"""),"車椅子")</f>
        <v>車椅子</v>
      </c>
      <c r="ED32" s="4" t="str">
        <f ca="1">IFERROR(__xludf.DUMMYFUNCTION("""COMPUTED_VALUE"""),"一部介助")</f>
        <v>一部介助</v>
      </c>
      <c r="EE32" s="4" t="str">
        <f ca="1">IFERROR(__xludf.DUMMYFUNCTION("""COMPUTED_VALUE"""),"車椅子")</f>
        <v>車椅子</v>
      </c>
      <c r="EF32" s="4" t="str">
        <f ca="1">IFERROR(__xludf.DUMMYFUNCTION("""COMPUTED_VALUE"""),"入院中は常にベッドギャッジアップ20度で生活。移乗時しっかり立ち上がれない等時々危険な場面あり。遠くから手を持っていく等位置取りが苦手な傾向あり。四点杖歩行リハビリ中だが20ｍで息切れ、脈↑、持久力なし。元々のADLは杖歩行可。")</f>
        <v>入院中は常にベッドギャッジアップ20度で生活。移乗時しっかり立ち上がれない等時々危険な場面あり。遠くから手を持っていく等位置取りが苦手な傾向あり。四点杖歩行リハビリ中だが20ｍで息切れ、脈↑、持久力なし。元々のADLは杖歩行可。</v>
      </c>
      <c r="EG32" s="4"/>
      <c r="EH32" s="4" t="str">
        <f ca="1">IFERROR(__xludf.DUMMYFUNCTION("""COMPUTED_VALUE"""),"入力")</f>
        <v>入力</v>
      </c>
      <c r="EI32" s="4" t="str">
        <f ca="1">IFERROR(__xludf.DUMMYFUNCTION("""COMPUTED_VALUE"""),"入力")</f>
        <v>入力</v>
      </c>
      <c r="EJ32" s="4" t="str">
        <f ca="1">IFERROR(__xludf.DUMMYFUNCTION("""COMPUTED_VALUE"""),"経口摂取")</f>
        <v>経口摂取</v>
      </c>
      <c r="EK32" s="4" t="str">
        <f ca="1">IFERROR(__xludf.DUMMYFUNCTION("""COMPUTED_VALUE"""),"自立")</f>
        <v>自立</v>
      </c>
      <c r="EL32" s="4" t="str">
        <f ca="1">IFERROR(__xludf.DUMMYFUNCTION("""COMPUTED_VALUE"""),"できる")</f>
        <v>できる</v>
      </c>
      <c r="EM32" s="4" t="str">
        <f ca="1">IFERROR(__xludf.DUMMYFUNCTION("""COMPUTED_VALUE"""),"普通")</f>
        <v>普通</v>
      </c>
      <c r="EN32" s="4" t="str">
        <f ca="1">IFERROR(__xludf.DUMMYFUNCTION("""COMPUTED_VALUE"""),"普通")</f>
        <v>普通</v>
      </c>
      <c r="EO32" s="4" t="str">
        <f ca="1">IFERROR(__xludf.DUMMYFUNCTION("""COMPUTED_VALUE"""),"無")</f>
        <v>無</v>
      </c>
      <c r="EP32" s="4" t="str">
        <f ca="1">IFERROR(__xludf.DUMMYFUNCTION("""COMPUTED_VALUE"""),"無")</f>
        <v>無</v>
      </c>
      <c r="EQ32" s="4" t="str">
        <f ca="1">IFERROR(__xludf.DUMMYFUNCTION("""COMPUTED_VALUE"""),"箸 , スプーン")</f>
        <v>箸 , スプーン</v>
      </c>
      <c r="ER32" s="4" t="str">
        <f ca="1">IFERROR(__xludf.DUMMYFUNCTION("""COMPUTED_VALUE"""),"元々少食。入院中副食は軟菜。毎食7割摂取位の事が多い。入院中痩せた為積極的にジュース等摂る様にご家族様に言われている。")</f>
        <v>元々少食。入院中副食は軟菜。毎食7割摂取位の事が多い。入院中痩せた為積極的にジュース等摂る様にご家族様に言われている。</v>
      </c>
      <c r="ES32" s="4"/>
      <c r="ET32" s="4" t="str">
        <f ca="1">IFERROR(__xludf.DUMMYFUNCTION("""COMPUTED_VALUE"""),"入力")</f>
        <v>入力</v>
      </c>
      <c r="EU32" s="4" t="str">
        <f ca="1">IFERROR(__xludf.DUMMYFUNCTION("""COMPUTED_VALUE"""),"見守り")</f>
        <v>見守り</v>
      </c>
      <c r="EV32" s="4" t="str">
        <f ca="1">IFERROR(__xludf.DUMMYFUNCTION("""COMPUTED_VALUE"""),"無")</f>
        <v>無</v>
      </c>
      <c r="EW32" s="4" t="str">
        <f ca="1">IFERROR(__xludf.DUMMYFUNCTION("""COMPUTED_VALUE"""),"有")</f>
        <v>有</v>
      </c>
      <c r="EX32" s="4" t="str">
        <f ca="1">IFERROR(__xludf.DUMMYFUNCTION("""COMPUTED_VALUE"""),"総義歯")</f>
        <v>総義歯</v>
      </c>
      <c r="EY32" s="4" t="str">
        <f ca="1">IFERROR(__xludf.DUMMYFUNCTION("""COMPUTED_VALUE"""),"上下")</f>
        <v>上下</v>
      </c>
      <c r="EZ32" s="4" t="str">
        <f ca="1">IFERROR(__xludf.DUMMYFUNCTION("""COMPUTED_VALUE"""),"総入れ歯。洗浄剤使用し自分でつけ置き洗浄しているが雑な為あまり綺麗になっていない。")</f>
        <v>総入れ歯。洗浄剤使用し自分でつけ置き洗浄しているが雑な為あまり綺麗になっていない。</v>
      </c>
      <c r="FA32" s="4"/>
      <c r="FB32" s="4" t="str">
        <f ca="1">IFERROR(__xludf.DUMMYFUNCTION("""COMPUTED_VALUE"""),"入力")</f>
        <v>入力</v>
      </c>
      <c r="FC32" s="4" t="str">
        <f ca="1">IFERROR(__xludf.DUMMYFUNCTION("""COMPUTED_VALUE"""),"一部介助")</f>
        <v>一部介助</v>
      </c>
      <c r="FD32" s="4" t="str">
        <f ca="1">IFERROR(__xludf.DUMMYFUNCTION("""COMPUTED_VALUE"""),"チェアー浴")</f>
        <v>チェアー浴</v>
      </c>
      <c r="FE32" s="4" t="str">
        <f ca="1">IFERROR(__xludf.DUMMYFUNCTION("""COMPUTED_VALUE"""),"無")</f>
        <v>無</v>
      </c>
      <c r="FF32" s="4"/>
      <c r="FG32" s="4" t="str">
        <f ca="1">IFERROR(__xludf.DUMMYFUNCTION("""COMPUTED_VALUE"""),"一部介助")</f>
        <v>一部介助</v>
      </c>
      <c r="FH32" s="4" t="str">
        <f ca="1">IFERROR(__xludf.DUMMYFUNCTION("""COMPUTED_VALUE"""),"一部介助")</f>
        <v>一部介助</v>
      </c>
      <c r="FI32" s="4" t="str">
        <f ca="1">IFERROR(__xludf.DUMMYFUNCTION("""COMPUTED_VALUE"""),"病院ではスロープ付き大浴場にて車椅子背もたれにもたれてコルセットを外して介助。おじぎ動作ができない為洗髪、洗体一部介助。コルセット自分で装着出来ないが息苦しい為外してしまう事がある。協力動作あり。上着を自分で羽織る等の更衣動作能力あり。")</f>
        <v>病院ではスロープ付き大浴場にて車椅子背もたれにもたれてコルセットを外して介助。おじぎ動作ができない為洗髪、洗体一部介助。コルセット自分で装着出来ないが息苦しい為外してしまう事がある。協力動作あり。上着を自分で羽織る等の更衣動作能力あり。</v>
      </c>
      <c r="FJ32" s="4"/>
      <c r="FK32" s="4" t="str">
        <f ca="1">IFERROR(__xludf.DUMMYFUNCTION("""COMPUTED_VALUE"""),"入力")</f>
        <v>入力</v>
      </c>
      <c r="FL32" s="4" t="str">
        <f ca="1">IFERROR(__xludf.DUMMYFUNCTION("""COMPUTED_VALUE"""),"一部介助")</f>
        <v>一部介助</v>
      </c>
      <c r="FM32" s="4" t="str">
        <f ca="1">IFERROR(__xludf.DUMMYFUNCTION("""COMPUTED_VALUE"""),"有")</f>
        <v>有</v>
      </c>
      <c r="FN32" s="4"/>
      <c r="FO32" s="4" t="str">
        <f ca="1">IFERROR(__xludf.DUMMYFUNCTION("""COMPUTED_VALUE"""),"有")</f>
        <v>有</v>
      </c>
      <c r="FP32" s="4"/>
      <c r="FQ32" s="4"/>
      <c r="FR32" s="4" t="str">
        <f ca="1">IFERROR(__xludf.DUMMYFUNCTION("""COMPUTED_VALUE"""),"トイレ , オムツ")</f>
        <v>トイレ , オムツ</v>
      </c>
      <c r="FS32" s="4" t="str">
        <f ca="1">IFERROR(__xludf.DUMMYFUNCTION("""COMPUTED_VALUE"""),"尿器 , オムツ")</f>
        <v>尿器 , オムツ</v>
      </c>
      <c r="FT32" s="4" t="str">
        <f ca="1">IFERROR(__xludf.DUMMYFUNCTION("""COMPUTED_VALUE"""),"リハビリパンツ , 紙おむつ")</f>
        <v>リハビリパンツ , 紙おむつ</v>
      </c>
      <c r="FU32" s="4" t="str">
        <f ca="1">IFERROR(__xludf.DUMMYFUNCTION("""COMPUTED_VALUE"""),"入院中は昼リハビリパンツ、トイレ誘導、夜間はおむつ、時々ナースコールにてしびん使用。トイレ誘導時しんどいと時々拒否あり。便秘症の為本人の気分で下剤服用。摘便週に2～3回")</f>
        <v>入院中は昼リハビリパンツ、トイレ誘導、夜間はおむつ、時々ナースコールにてしびん使用。トイレ誘導時しんどいと時々拒否あり。便秘症の為本人の気分で下剤服用。摘便週に2～3回</v>
      </c>
      <c r="FV32" s="4"/>
      <c r="FW32" s="4"/>
      <c r="FX32" s="4" t="str">
        <f ca="1">IFERROR(__xludf.DUMMYFUNCTION("""COMPUTED_VALUE"""),"入力")</f>
        <v>入力</v>
      </c>
      <c r="FY32" s="4" t="str">
        <f ca="1">IFERROR(__xludf.DUMMYFUNCTION("""COMPUTED_VALUE"""),"全介助")</f>
        <v>全介助</v>
      </c>
      <c r="FZ32" s="4" t="str">
        <f ca="1">IFERROR(__xludf.DUMMYFUNCTION("""COMPUTED_VALUE"""),"全介助")</f>
        <v>全介助</v>
      </c>
      <c r="GA32" s="4" t="str">
        <f ca="1">IFERROR(__xludf.DUMMYFUNCTION("""COMPUTED_VALUE"""),"全介助")</f>
        <v>全介助</v>
      </c>
      <c r="GB32" s="4" t="str">
        <f ca="1">IFERROR(__xludf.DUMMYFUNCTION("""COMPUTED_VALUE"""),"全介助")</f>
        <v>全介助</v>
      </c>
      <c r="GC32" s="4" t="str">
        <f ca="1">IFERROR(__xludf.DUMMYFUNCTION("""COMPUTED_VALUE"""),"一部介助")</f>
        <v>一部介助</v>
      </c>
      <c r="GD32" s="4" t="str">
        <f ca="1">IFERROR(__xludf.DUMMYFUNCTION("""COMPUTED_VALUE"""),"掃除や洗濯の支援が必要。調理はサ高住の食事提供、入院中は息子様ご夫婦月2回ほど病院訪問。")</f>
        <v>掃除や洗濯の支援が必要。調理はサ高住の食事提供、入院中は息子様ご夫婦月2回ほど病院訪問。</v>
      </c>
      <c r="GE32" s="4"/>
      <c r="GF32" s="4"/>
      <c r="GG32" s="4"/>
      <c r="GH32" s="4">
        <f ca="1">IFERROR(__xludf.DUMMYFUNCTION("""COMPUTED_VALUE"""),30)</f>
        <v>30</v>
      </c>
      <c r="GI32" s="4"/>
    </row>
    <row r="33" spans="1:191">
      <c r="A33" s="4"/>
      <c r="B33" s="4"/>
      <c r="C33" s="4" t="str">
        <f ca="1">IFERROR(__xludf.DUMMYFUNCTION("""COMPUTED_VALUE"""),"谷口　公良")</f>
        <v>谷口　公良</v>
      </c>
      <c r="D33" s="4" t="str">
        <f ca="1">IFERROR(__xludf.DUMMYFUNCTION("""COMPUTED_VALUE"""),"5ff3f68d")</f>
        <v>5ff3f68d</v>
      </c>
      <c r="E33" s="4"/>
      <c r="F33" s="4"/>
      <c r="G33" s="4"/>
      <c r="H33" s="4"/>
      <c r="I33" s="5">
        <f ca="1">IFERROR(__xludf.DUMMYFUNCTION("""COMPUTED_VALUE"""),45691)</f>
        <v>45691</v>
      </c>
      <c r="J33" s="4" t="str">
        <f ca="1">IFERROR(__xludf.DUMMYFUNCTION("""COMPUTED_VALUE"""),"山川　和輝")</f>
        <v>山川　和輝</v>
      </c>
      <c r="K33" s="4" t="str">
        <f ca="1">IFERROR(__xludf.DUMMYFUNCTION("""COMPUTED_VALUE"""),"退院")</f>
        <v>退院</v>
      </c>
      <c r="L33" s="4" t="str">
        <f ca="1">IFERROR(__xludf.DUMMYFUNCTION("""COMPUTED_VALUE"""),"入院先の病院")</f>
        <v>入院先の病院</v>
      </c>
      <c r="M33" s="4" t="str">
        <f ca="1">IFERROR(__xludf.DUMMYFUNCTION("""COMPUTED_VALUE"""),"元々自宅で一人暮らし。女性トラブルもあり現在妻と離婚調停中。")</f>
        <v>元々自宅で一人暮らし。女性トラブルもあり現在妻と離婚調停中。</v>
      </c>
      <c r="N33" s="4" t="str">
        <f ca="1">IFERROR(__xludf.DUMMYFUNCTION("""COMPUTED_VALUE"""),"これからもよろしくお願いします。")</f>
        <v>これからもよろしくお願いします。</v>
      </c>
      <c r="O33" s="4" t="str">
        <f ca="1">IFERROR(__xludf.DUMMYFUNCTION("""COMPUTED_VALUE"""),"病院からはこのまま看取りと言われました。安濃津ろまんさんでは看取りの対応もして頂いているということですので、これからもよろしくお願いします。")</f>
        <v>病院からはこのまま看取りと言われました。安濃津ろまんさんでは看取りの対応もして頂いているということですので、これからもよろしくお願いします。</v>
      </c>
      <c r="P33" s="4"/>
      <c r="Q33" s="4" t="str">
        <f ca="1">IFERROR(__xludf.DUMMYFUNCTION("""COMPUTED_VALUE"""),"入力")</f>
        <v>入力</v>
      </c>
      <c r="R33" s="4" t="str">
        <f ca="1">IFERROR(__xludf.DUMMYFUNCTION("""COMPUTED_VALUE"""),"区分変更")</f>
        <v>区分変更</v>
      </c>
      <c r="S33" s="4" t="str">
        <f ca="1">IFERROR(__xludf.DUMMYFUNCTION("""COMPUTED_VALUE"""),"区分変更中")</f>
        <v>区分変更中</v>
      </c>
      <c r="T33" s="4"/>
      <c r="U33" s="4"/>
      <c r="V33" s="4" t="str">
        <f ca="1">IFERROR(__xludf.DUMMYFUNCTION("""COMPUTED_VALUE"""),"１割負担")</f>
        <v>１割負担</v>
      </c>
      <c r="W33" s="4" t="str">
        <f ca="1">IFERROR(__xludf.DUMMYFUNCTION("""COMPUTED_VALUE"""),"後期高齢者医療保険")</f>
        <v>後期高齢者医療保険</v>
      </c>
      <c r="X33" s="4" t="str">
        <f ca="1">IFERROR(__xludf.DUMMYFUNCTION("""COMPUTED_VALUE"""),"無")</f>
        <v>無</v>
      </c>
      <c r="Y33" s="4"/>
      <c r="Z33" s="4" t="str">
        <f ca="1">IFERROR(__xludf.DUMMYFUNCTION("""COMPUTED_VALUE"""),"無")</f>
        <v>無</v>
      </c>
      <c r="AA33" s="4" t="str">
        <f ca="1">IFERROR(__xludf.DUMMYFUNCTION("""COMPUTED_VALUE"""),"無")</f>
        <v>無</v>
      </c>
      <c r="AB33" s="4"/>
      <c r="AC33" s="4"/>
      <c r="AD33" s="4"/>
      <c r="AE33" s="4"/>
      <c r="AF33" s="4"/>
      <c r="AG33" s="4"/>
      <c r="AH33" s="4"/>
      <c r="AI33" s="4"/>
      <c r="AJ33" s="4"/>
      <c r="AK33" s="4"/>
      <c r="AL33" s="4"/>
      <c r="AM33" s="4"/>
      <c r="AN33" s="4"/>
      <c r="AO33" s="4"/>
      <c r="AP33" s="4"/>
      <c r="AQ33" s="4"/>
      <c r="AR33" s="4"/>
      <c r="AS33" s="4"/>
      <c r="AT33" s="4"/>
      <c r="AU33" s="4"/>
      <c r="AV33" s="4"/>
      <c r="AW33" s="4"/>
      <c r="AX33" s="4"/>
      <c r="AY33" s="4"/>
      <c r="AZ33" s="4"/>
      <c r="BA33" s="4"/>
      <c r="BB33" s="4"/>
      <c r="BC33" s="4"/>
      <c r="BD33" s="4"/>
      <c r="BE33" s="4"/>
      <c r="BF33" s="4"/>
      <c r="BG33" s="4"/>
      <c r="BH33" s="4"/>
      <c r="BI33" s="4"/>
      <c r="BJ33" s="4"/>
      <c r="BK33" s="4"/>
      <c r="BL33" s="4"/>
      <c r="BM33" s="4"/>
      <c r="BN33" s="4"/>
      <c r="BO33" s="4"/>
      <c r="BP33" s="4"/>
      <c r="BQ33" s="4"/>
      <c r="BR33" s="4"/>
      <c r="BS33" s="4"/>
      <c r="BT33" s="4"/>
      <c r="BU33" s="4"/>
      <c r="BV33" s="4"/>
      <c r="BW33" s="4" t="str">
        <f ca="1">IFERROR(__xludf.DUMMYFUNCTION("""COMPUTED_VALUE"""),"入力")</f>
        <v>入力</v>
      </c>
      <c r="BX33" s="4" t="str">
        <f ca="1">IFERROR(__xludf.DUMMYFUNCTION("""COMPUTED_VALUE"""),"急性肺炎")</f>
        <v>急性肺炎</v>
      </c>
      <c r="BY33" s="4"/>
      <c r="BZ33" s="4" t="str">
        <f ca="1">IFERROR(__xludf.DUMMYFUNCTION("""COMPUTED_VALUE"""),"認知症")</f>
        <v>認知症</v>
      </c>
      <c r="CA33" s="4" t="str">
        <f ca="1">IFERROR(__xludf.DUMMYFUNCTION("""COMPUTED_VALUE"""),"令和4年頃")</f>
        <v>令和4年頃</v>
      </c>
      <c r="CB33" s="4"/>
      <c r="CC33" s="4"/>
      <c r="CD33" s="4"/>
      <c r="CE33" s="4"/>
      <c r="CF33" s="4"/>
      <c r="CG33" s="4"/>
      <c r="CH33" s="4"/>
      <c r="CI33" s="4"/>
      <c r="CJ33" s="4" t="str">
        <f ca="1">IFERROR(__xludf.DUMMYFUNCTION("""COMPUTED_VALUE"""),"現在は津生協病院に入院中。退院後は外来受診の必要性はなく、加藤医院の往診を受けながら生活して頂く。")</f>
        <v>現在は津生協病院に入院中。退院後は外来受診の必要性はなく、加藤医院の往診を受けながら生活して頂く。</v>
      </c>
      <c r="CK33" s="4"/>
      <c r="CL33" s="4"/>
      <c r="CM33" s="4"/>
      <c r="CN33" s="4"/>
      <c r="CO33" s="4"/>
      <c r="CP33" s="4"/>
      <c r="CQ33" s="4"/>
      <c r="CR33" s="4"/>
      <c r="CS33" s="4" t="str">
        <f ca="1">IFERROR(__xludf.DUMMYFUNCTION("""COMPUTED_VALUE"""),"40年ほど前から精神病にて久居病院を定期受診している。")</f>
        <v>40年ほど前から精神病にて久居病院を定期受診している。</v>
      </c>
      <c r="CT33" s="4" t="str">
        <f ca="1">IFERROR(__xludf.DUMMYFUNCTION("""COMPUTED_VALUE"""),"退院後、服薬管理は今まで通りローレル薬局や安濃津ろまん看護師により管理を行う。
内服は薬をお湯で溶かし、かつトロミをつけて提供を行う。")</f>
        <v>退院後、服薬管理は今まで通りローレル薬局や安濃津ろまん看護師により管理を行う。
内服は薬をお湯で溶かし、かつトロミをつけて提供を行う。</v>
      </c>
      <c r="CU33" s="4"/>
      <c r="CV33" s="4"/>
      <c r="CW33" s="4"/>
      <c r="CX33" s="4" t="str">
        <f ca="1">IFERROR(__xludf.DUMMYFUNCTION("""COMPUTED_VALUE"""),"入力")</f>
        <v>入力</v>
      </c>
      <c r="CY33" s="4" t="str">
        <f ca="1">IFERROR(__xludf.DUMMYFUNCTION("""COMPUTED_VALUE"""),"無")</f>
        <v>無</v>
      </c>
      <c r="CZ33" s="4" t="str">
        <f ca="1">IFERROR(__xludf.DUMMYFUNCTION("""COMPUTED_VALUE"""),"無")</f>
        <v>無</v>
      </c>
      <c r="DA33" s="4" t="str">
        <f ca="1">IFERROR(__xludf.DUMMYFUNCTION("""COMPUTED_VALUE"""),"無")</f>
        <v>無</v>
      </c>
      <c r="DB33" s="4" t="str">
        <f ca="1">IFERROR(__xludf.DUMMYFUNCTION("""COMPUTED_VALUE"""),"特になし。")</f>
        <v>特になし。</v>
      </c>
      <c r="DC33" s="4"/>
      <c r="DD33" s="4"/>
      <c r="DE33" s="4"/>
      <c r="DF33" s="4" t="str">
        <f ca="1">IFERROR(__xludf.DUMMYFUNCTION("""COMPUTED_VALUE"""),"大きい字は可")</f>
        <v>大きい字は可</v>
      </c>
      <c r="DG33" s="4" t="str">
        <f ca="1">IFERROR(__xludf.DUMMYFUNCTION("""COMPUTED_VALUE"""),"有")</f>
        <v>有</v>
      </c>
      <c r="DH33" s="4" t="str">
        <f ca="1">IFERROR(__xludf.DUMMYFUNCTION("""COMPUTED_VALUE"""),"正常")</f>
        <v>正常</v>
      </c>
      <c r="DI33" s="4" t="str">
        <f ca="1">IFERROR(__xludf.DUMMYFUNCTION("""COMPUTED_VALUE"""),"無")</f>
        <v>無</v>
      </c>
      <c r="DJ33" s="4" t="str">
        <f ca="1">IFERROR(__xludf.DUMMYFUNCTION("""COMPUTED_VALUE"""),"現在津生協病院に入院中で、病院では食事の前後で痰の吸引を行っている。粘り気の強い痰が少量回収できるとのことだが、夜間の吸引は行っていない。")</f>
        <v>現在津生協病院に入院中で、病院では食事の前後で痰の吸引を行っている。粘り気の強い痰が少量回収できるとのことだが、夜間の吸引は行っていない。</v>
      </c>
      <c r="DK33" s="4"/>
      <c r="DL33" s="4" t="str">
        <f ca="1">IFERROR(__xludf.DUMMYFUNCTION("""COMPUTED_VALUE"""),"入力")</f>
        <v>入力</v>
      </c>
      <c r="DM33" s="4" t="str">
        <f ca="1">IFERROR(__xludf.DUMMYFUNCTION("""COMPUTED_VALUE"""),"有")</f>
        <v>有</v>
      </c>
      <c r="DN33" s="4" t="str">
        <f ca="1">IFERROR(__xludf.DUMMYFUNCTION("""COMPUTED_VALUE"""),"中等度")</f>
        <v>中等度</v>
      </c>
      <c r="DO33" s="4" t="str">
        <f ca="1">IFERROR(__xludf.DUMMYFUNCTION("""COMPUTED_VALUE"""),"大声・奇声")</f>
        <v>大声・奇声</v>
      </c>
      <c r="DP33" s="4" t="str">
        <f ca="1">IFERROR(__xludf.DUMMYFUNCTION("""COMPUTED_VALUE"""),"可能")</f>
        <v>可能</v>
      </c>
      <c r="DQ33" s="4" t="str">
        <f ca="1">IFERROR(__xludf.DUMMYFUNCTION("""COMPUTED_VALUE"""),"その場のみ可")</f>
        <v>その場のみ可</v>
      </c>
      <c r="DR33" s="4" t="str">
        <f ca="1">IFERROR(__xludf.DUMMYFUNCTION("""COMPUTED_VALUE"""),"病院では、ベッド上でだれかを呼ぶような感じで大きな声を出されることが多い。リスペリドンを内服している。
認知機能は今までと変わりない印象を受ける。")</f>
        <v>病院では、ベッド上でだれかを呼ぶような感じで大きな声を出されることが多い。リスペリドンを内服している。
認知機能は今までと変わりない印象を受ける。</v>
      </c>
      <c r="DS33" s="4"/>
      <c r="DT33" s="4"/>
      <c r="DU33" s="4" t="str">
        <f ca="1">IFERROR(__xludf.DUMMYFUNCTION("""COMPUTED_VALUE"""),"入力")</f>
        <v>入力</v>
      </c>
      <c r="DV33" s="4" t="str">
        <f ca="1">IFERROR(__xludf.DUMMYFUNCTION("""COMPUTED_VALUE"""),"できない")</f>
        <v>できない</v>
      </c>
      <c r="DW33" s="4" t="str">
        <f ca="1">IFERROR(__xludf.DUMMYFUNCTION("""COMPUTED_VALUE"""),"できない")</f>
        <v>できない</v>
      </c>
      <c r="DX33" s="4" t="str">
        <f ca="1">IFERROR(__xludf.DUMMYFUNCTION("""COMPUTED_VALUE"""),"支えてもらえればできる")</f>
        <v>支えてもらえればできる</v>
      </c>
      <c r="DY33" s="4" t="str">
        <f ca="1">IFERROR(__xludf.DUMMYFUNCTION("""COMPUTED_VALUE"""),"できない")</f>
        <v>できない</v>
      </c>
      <c r="DZ33" s="4" t="str">
        <f ca="1">IFERROR(__xludf.DUMMYFUNCTION("""COMPUTED_VALUE"""),"できない")</f>
        <v>できない</v>
      </c>
      <c r="EA33" s="4" t="str">
        <f ca="1">IFERROR(__xludf.DUMMYFUNCTION("""COMPUTED_VALUE"""),"全介助")</f>
        <v>全介助</v>
      </c>
      <c r="EB33" s="4" t="str">
        <f ca="1">IFERROR(__xludf.DUMMYFUNCTION("""COMPUTED_VALUE"""),"全介助")</f>
        <v>全介助</v>
      </c>
      <c r="EC33" s="4" t="str">
        <f ca="1">IFERROR(__xludf.DUMMYFUNCTION("""COMPUTED_VALUE"""),"車椅子")</f>
        <v>車椅子</v>
      </c>
      <c r="ED33" s="4" t="str">
        <f ca="1">IFERROR(__xludf.DUMMYFUNCTION("""COMPUTED_VALUE"""),"全介助")</f>
        <v>全介助</v>
      </c>
      <c r="EE33" s="4" t="str">
        <f ca="1">IFERROR(__xludf.DUMMYFUNCTION("""COMPUTED_VALUE"""),"車椅子")</f>
        <v>車椅子</v>
      </c>
      <c r="EF33" s="4" t="str">
        <f ca="1">IFERROR(__xludf.DUMMYFUNCTION("""COMPUTED_VALUE"""),"現在は寝たきりとなっており、起居動作はすべて介助が必要な状況。ただ、病院で1度詳細は不明だが1回ベッドから滑落があったと報告ある。退院後、必要があれば4柵対応にするなどを検討する。
移動はリクライニング車椅子を使用。滑落する可能性も視野に入れ必要があれば対策を行う必要がある。")</f>
        <v>現在は寝たきりとなっており、起居動作はすべて介助が必要な状況。ただ、病院で1度詳細は不明だが1回ベッドから滑落があったと報告ある。退院後、必要があれば4柵対応にするなどを検討する。
移動はリクライニング車椅子を使用。滑落する可能性も視野に入れ必要があれば対策を行う必要がある。</v>
      </c>
      <c r="EG33" s="4"/>
      <c r="EH33" s="4" t="str">
        <f ca="1">IFERROR(__xludf.DUMMYFUNCTION("""COMPUTED_VALUE"""),"入力")</f>
        <v>入力</v>
      </c>
      <c r="EI33" s="4" t="str">
        <f ca="1">IFERROR(__xludf.DUMMYFUNCTION("""COMPUTED_VALUE"""),"入力")</f>
        <v>入力</v>
      </c>
      <c r="EJ33" s="4" t="str">
        <f ca="1">IFERROR(__xludf.DUMMYFUNCTION("""COMPUTED_VALUE"""),"経口摂取")</f>
        <v>経口摂取</v>
      </c>
      <c r="EK33" s="4" t="str">
        <f ca="1">IFERROR(__xludf.DUMMYFUNCTION("""COMPUTED_VALUE"""),"全介助")</f>
        <v>全介助</v>
      </c>
      <c r="EL33" s="4" t="str">
        <f ca="1">IFERROR(__xludf.DUMMYFUNCTION("""COMPUTED_VALUE"""),"見守り等が必要")</f>
        <v>見守り等が必要</v>
      </c>
      <c r="EM33" s="4"/>
      <c r="EN33" s="4"/>
      <c r="EO33" s="4" t="str">
        <f ca="1">IFERROR(__xludf.DUMMYFUNCTION("""COMPUTED_VALUE"""),"有")</f>
        <v>有</v>
      </c>
      <c r="EP33" s="4" t="str">
        <f ca="1">IFERROR(__xludf.DUMMYFUNCTION("""COMPUTED_VALUE"""),"有")</f>
        <v>有</v>
      </c>
      <c r="EQ33" s="4" t="str">
        <f ca="1">IFERROR(__xludf.DUMMYFUNCTION("""COMPUTED_VALUE"""),"スプーン")</f>
        <v>スプーン</v>
      </c>
      <c r="ER33" s="4" t="str">
        <f ca="1">IFERROR(__xludf.DUMMYFUNCTION("""COMPUTED_VALUE"""),"食事は、毎食カロリー食のゼリーのみで、2種類のゼリーを朝昼晩で食べられる。食事摂取は、完全右側臥位で、側臥位から頭部のみを回旋させ（天井方向をみる）、介助にて摂取を行う。水分補給は、毎食時のみで、お茶に濃いトロミを付けて介助で飲んで頂く。")</f>
        <v>食事は、毎食カロリー食のゼリーのみで、2種類のゼリーを朝昼晩で食べられる。食事摂取は、完全右側臥位で、側臥位から頭部のみを回旋させ（天井方向をみる）、介助にて摂取を行う。水分補給は、毎食時のみで、お茶に濃いトロミを付けて介助で飲んで頂く。</v>
      </c>
      <c r="ES33" s="4"/>
      <c r="ET33" s="4" t="str">
        <f ca="1">IFERROR(__xludf.DUMMYFUNCTION("""COMPUTED_VALUE"""),"入力")</f>
        <v>入力</v>
      </c>
      <c r="EU33" s="4" t="str">
        <f ca="1">IFERROR(__xludf.DUMMYFUNCTION("""COMPUTED_VALUE"""),"全介助")</f>
        <v>全介助</v>
      </c>
      <c r="EV33" s="4" t="str">
        <f ca="1">IFERROR(__xludf.DUMMYFUNCTION("""COMPUTED_VALUE"""),"有")</f>
        <v>有</v>
      </c>
      <c r="EW33" s="4" t="str">
        <f ca="1">IFERROR(__xludf.DUMMYFUNCTION("""COMPUTED_VALUE"""),"無")</f>
        <v>無</v>
      </c>
      <c r="EX33" s="4"/>
      <c r="EY33" s="4"/>
      <c r="EZ33" s="4" t="str">
        <f ca="1">IFERROR(__xludf.DUMMYFUNCTION("""COMPUTED_VALUE"""),"毎食後の口腔ケアの介助が必要である。")</f>
        <v>毎食後の口腔ケアの介助が必要である。</v>
      </c>
      <c r="FA33" s="4"/>
      <c r="FB33" s="4" t="str">
        <f ca="1">IFERROR(__xludf.DUMMYFUNCTION("""COMPUTED_VALUE"""),"入力")</f>
        <v>入力</v>
      </c>
      <c r="FC33" s="4" t="str">
        <f ca="1">IFERROR(__xludf.DUMMYFUNCTION("""COMPUTED_VALUE"""),"全介助")</f>
        <v>全介助</v>
      </c>
      <c r="FD33" s="4" t="str">
        <f ca="1">IFERROR(__xludf.DUMMYFUNCTION("""COMPUTED_VALUE"""),"寝台浴")</f>
        <v>寝台浴</v>
      </c>
      <c r="FE33" s="4" t="str">
        <f ca="1">IFERROR(__xludf.DUMMYFUNCTION("""COMPUTED_VALUE"""),"無")</f>
        <v>無</v>
      </c>
      <c r="FF33" s="4"/>
      <c r="FG33" s="4" t="str">
        <f ca="1">IFERROR(__xludf.DUMMYFUNCTION("""COMPUTED_VALUE"""),"全介助")</f>
        <v>全介助</v>
      </c>
      <c r="FH33" s="4" t="str">
        <f ca="1">IFERROR(__xludf.DUMMYFUNCTION("""COMPUTED_VALUE"""),"全介助")</f>
        <v>全介助</v>
      </c>
      <c r="FI33" s="4" t="str">
        <f ca="1">IFERROR(__xludf.DUMMYFUNCTION("""COMPUTED_VALUE"""),"入浴は寝台浴を利用し全介助。今後はデイにて利用を行う。")</f>
        <v>入浴は寝台浴を利用し全介助。今後はデイにて利用を行う。</v>
      </c>
      <c r="FJ33" s="4"/>
      <c r="FK33" s="4" t="str">
        <f ca="1">IFERROR(__xludf.DUMMYFUNCTION("""COMPUTED_VALUE"""),"入力")</f>
        <v>入力</v>
      </c>
      <c r="FL33" s="4" t="str">
        <f ca="1">IFERROR(__xludf.DUMMYFUNCTION("""COMPUTED_VALUE"""),"全介助")</f>
        <v>全介助</v>
      </c>
      <c r="FM33" s="4" t="str">
        <f ca="1">IFERROR(__xludf.DUMMYFUNCTION("""COMPUTED_VALUE"""),"無")</f>
        <v>無</v>
      </c>
      <c r="FN33" s="4" t="str">
        <f ca="1">IFERROR(__xludf.DUMMYFUNCTION("""COMPUTED_VALUE"""),"有")</f>
        <v>有</v>
      </c>
      <c r="FO33" s="4" t="str">
        <f ca="1">IFERROR(__xludf.DUMMYFUNCTION("""COMPUTED_VALUE"""),"無")</f>
        <v>無</v>
      </c>
      <c r="FP33" s="4" t="str">
        <f ca="1">IFERROR(__xludf.DUMMYFUNCTION("""COMPUTED_VALUE"""),"有")</f>
        <v>有</v>
      </c>
      <c r="FQ33" s="4"/>
      <c r="FR33" s="4" t="str">
        <f ca="1">IFERROR(__xludf.DUMMYFUNCTION("""COMPUTED_VALUE"""),"オムツ")</f>
        <v>オムツ</v>
      </c>
      <c r="FS33" s="4" t="str">
        <f ca="1">IFERROR(__xludf.DUMMYFUNCTION("""COMPUTED_VALUE"""),"オムツ")</f>
        <v>オムツ</v>
      </c>
      <c r="FT33" s="4" t="str">
        <f ca="1">IFERROR(__xludf.DUMMYFUNCTION("""COMPUTED_VALUE"""),"紙おむつ , 大パット")</f>
        <v>紙おむつ , 大パット</v>
      </c>
      <c r="FU33" s="4" t="str">
        <f ca="1">IFERROR(__xludf.DUMMYFUNCTION("""COMPUTED_VALUE"""),"寝たきりでトイレでの排泄が困難なため、紙おむつ、大パットを使用。1日に4回パット交換を行っている。
便秘傾向で下剤や摘便で対応している。")</f>
        <v>寝たきりでトイレでの排泄が困難なため、紙おむつ、大パットを使用。1日に4回パット交換を行っている。
便秘傾向で下剤や摘便で対応している。</v>
      </c>
      <c r="FV33" s="4"/>
      <c r="FW33" s="4"/>
      <c r="FX33" s="4" t="str">
        <f ca="1">IFERROR(__xludf.DUMMYFUNCTION("""COMPUTED_VALUE"""),"入力")</f>
        <v>入力</v>
      </c>
      <c r="FY33" s="4" t="str">
        <f ca="1">IFERROR(__xludf.DUMMYFUNCTION("""COMPUTED_VALUE"""),"全介助")</f>
        <v>全介助</v>
      </c>
      <c r="FZ33" s="4" t="str">
        <f ca="1">IFERROR(__xludf.DUMMYFUNCTION("""COMPUTED_VALUE"""),"全介助")</f>
        <v>全介助</v>
      </c>
      <c r="GA33" s="4" t="str">
        <f ca="1">IFERROR(__xludf.DUMMYFUNCTION("""COMPUTED_VALUE"""),"全介助")</f>
        <v>全介助</v>
      </c>
      <c r="GB33" s="4" t="str">
        <f ca="1">IFERROR(__xludf.DUMMYFUNCTION("""COMPUTED_VALUE"""),"全介助")</f>
        <v>全介助</v>
      </c>
      <c r="GC33" s="4" t="str">
        <f ca="1">IFERROR(__xludf.DUMMYFUNCTION("""COMPUTED_VALUE"""),"全介助")</f>
        <v>全介助</v>
      </c>
      <c r="GD33" s="4" t="str">
        <f ca="1">IFERROR(__xludf.DUMMYFUNCTION("""COMPUTED_VALUE"""),"すべて介助を要す。")</f>
        <v>すべて介助を要す。</v>
      </c>
      <c r="GE33" s="4"/>
      <c r="GF33" s="4"/>
      <c r="GG33" s="4" t="str">
        <f ca="1">IFERROR(__xludf.DUMMYFUNCTION("""COMPUTED_VALUE"""),"退院後、看取りの同意を頂く。")</f>
        <v>退院後、看取りの同意を頂く。</v>
      </c>
      <c r="GH33" s="4">
        <f ca="1">IFERROR(__xludf.DUMMYFUNCTION("""COMPUTED_VALUE"""),30)</f>
        <v>30</v>
      </c>
      <c r="GI33" s="4"/>
    </row>
    <row r="34" spans="1:191">
      <c r="A34" s="4"/>
      <c r="B34" s="4"/>
      <c r="C34" s="4" t="str">
        <f ca="1">IFERROR(__xludf.DUMMYFUNCTION("""COMPUTED_VALUE"""),"木村　肇")</f>
        <v>木村　肇</v>
      </c>
      <c r="D34" s="4" t="str">
        <f ca="1">IFERROR(__xludf.DUMMYFUNCTION("""COMPUTED_VALUE"""),"a5825b30")</f>
        <v>a5825b30</v>
      </c>
      <c r="E34" s="4"/>
      <c r="F34" s="4"/>
      <c r="G34" s="4"/>
      <c r="H34" s="4"/>
      <c r="I34" s="5">
        <f ca="1">IFERROR(__xludf.DUMMYFUNCTION("""COMPUTED_VALUE"""),45703)</f>
        <v>45703</v>
      </c>
      <c r="J34" s="4" t="str">
        <f ca="1">IFERROR(__xludf.DUMMYFUNCTION("""COMPUTED_VALUE"""),"山川　和輝")</f>
        <v>山川　和輝</v>
      </c>
      <c r="K34" s="4" t="str">
        <f ca="1">IFERROR(__xludf.DUMMYFUNCTION("""COMPUTED_VALUE"""),"新規")</f>
        <v>新規</v>
      </c>
      <c r="L34" s="4" t="str">
        <f ca="1">IFERROR(__xludf.DUMMYFUNCTION("""COMPUTED_VALUE"""),"本人の自宅")</f>
        <v>本人の自宅</v>
      </c>
      <c r="M34" s="4" t="str">
        <f ca="1">IFERROR(__xludf.DUMMYFUNCTION("""COMPUTED_VALUE"""),"自宅で夫婦二人暮らし。13年程前にパーキンソン病の診断を受け、定期的に三重大学病院に通院している。最近では、転倒も多くなり自宅に手すりを設置した。主介護者の妻も高齢でお世話が難しくなってきたころ、今年1月にお風呂で転倒、さらに夜中にトイレに行こうとして転倒、妻では起こすことも出来ず隣人に助けてもらった。そのようなこともあり、入居を拒んでいた本人も妻の体調や近所への迷惑も考え、入居の申し込みがあった。")</f>
        <v>自宅で夫婦二人暮らし。13年程前にパーキンソン病の診断を受け、定期的に三重大学病院に通院している。最近では、転倒も多くなり自宅に手すりを設置した。主介護者の妻も高齢でお世話が難しくなってきたころ、今年1月にお風呂で転倒、さらに夜中にトイレに行こうとして転倒、妻では起こすことも出来ず隣人に助けてもらった。そのようなこともあり、入居を拒んでいた本人も妻の体調や近所への迷惑も考え、入居の申し込みがあった。</v>
      </c>
      <c r="N34" s="4" t="str">
        <f ca="1">IFERROR(__xludf.DUMMYFUNCTION("""COMPUTED_VALUE"""),"家にいると妻や近所の方に迷惑をかけるので、安濃津ろまんに入居して生活したいと思っています。")</f>
        <v>家にいると妻や近所の方に迷惑をかけるので、安濃津ろまんに入居して生活したいと思っています。</v>
      </c>
      <c r="O34" s="4" t="str">
        <f ca="1">IFERROR(__xludf.DUMMYFUNCTION("""COMPUTED_VALUE"""),"自宅で生活するのもそろそろ限界を感じています。私も高齢ですので負担が強く最近では疲労により体調を崩すことも多くなりました。")</f>
        <v>自宅で生活するのもそろそろ限界を感じています。私も高齢ですので負担が強く最近では疲労により体調を崩すことも多くなりました。</v>
      </c>
      <c r="P34" s="4"/>
      <c r="Q34" s="4"/>
      <c r="R34" s="4"/>
      <c r="S34" s="4"/>
      <c r="T34" s="4"/>
      <c r="U34" s="4"/>
      <c r="V34" s="4"/>
      <c r="W34" s="4"/>
      <c r="X34" s="4"/>
      <c r="Y34" s="4"/>
      <c r="Z34" s="4"/>
      <c r="AA34" s="4"/>
      <c r="AB34" s="4"/>
      <c r="AC34" s="4"/>
      <c r="AD34" s="4"/>
      <c r="AE34" s="4" t="str">
        <f ca="1">IFERROR(__xludf.DUMMYFUNCTION("""COMPUTED_VALUE"""),"入力")</f>
        <v>入力</v>
      </c>
      <c r="AF34" s="4" t="str">
        <f ca="1">IFERROR(__xludf.DUMMYFUNCTION("""COMPUTED_VALUE"""),"木村　稚子")</f>
        <v>木村　稚子</v>
      </c>
      <c r="AG34" s="4" t="str">
        <f ca="1">IFERROR(__xludf.DUMMYFUNCTION("""COMPUTED_VALUE"""),"妻")</f>
        <v>妻</v>
      </c>
      <c r="AH34" s="4"/>
      <c r="AI34" s="4" t="str">
        <f ca="1">IFERROR(__xludf.DUMMYFUNCTION("""COMPUTED_VALUE"""),"同居")</f>
        <v>同居</v>
      </c>
      <c r="AJ34" s="4" t="str">
        <f ca="1">IFERROR(__xludf.DUMMYFUNCTION("""COMPUTED_VALUE"""),"介護する")</f>
        <v>介護する</v>
      </c>
      <c r="AK34" s="4" t="str">
        <f ca="1">IFERROR(__xludf.DUMMYFUNCTION("""COMPUTED_VALUE"""),"無")</f>
        <v>無</v>
      </c>
      <c r="AL34" s="4" t="str">
        <f ca="1">IFERROR(__xludf.DUMMYFUNCTION("""COMPUTED_VALUE"""),"059-225-4911")</f>
        <v>059-225-4911</v>
      </c>
      <c r="AM34" s="4" t="str">
        <f ca="1">IFERROR(__xludf.DUMMYFUNCTION("""COMPUTED_VALUE"""),"KP")</f>
        <v>KP</v>
      </c>
      <c r="AN34" s="4" t="str">
        <f ca="1">IFERROR(__xludf.DUMMYFUNCTION("""COMPUTED_VALUE"""),"木村　満")</f>
        <v>木村　満</v>
      </c>
      <c r="AO34" s="4" t="str">
        <f ca="1">IFERROR(__xludf.DUMMYFUNCTION("""COMPUTED_VALUE"""),"次男")</f>
        <v>次男</v>
      </c>
      <c r="AP34" s="4"/>
      <c r="AQ34" s="4" t="str">
        <f ca="1">IFERROR(__xludf.DUMMYFUNCTION("""COMPUTED_VALUE"""),"別居")</f>
        <v>別居</v>
      </c>
      <c r="AR34" s="4" t="str">
        <f ca="1">IFERROR(__xludf.DUMMYFUNCTION("""COMPUTED_VALUE"""),"介護しない")</f>
        <v>介護しない</v>
      </c>
      <c r="AS34" s="4" t="str">
        <f ca="1">IFERROR(__xludf.DUMMYFUNCTION("""COMPUTED_VALUE"""),"有")</f>
        <v>有</v>
      </c>
      <c r="AT34" s="4" t="str">
        <f ca="1">IFERROR(__xludf.DUMMYFUNCTION("""COMPUTED_VALUE"""),"0797-26-7140")</f>
        <v>0797-26-7140</v>
      </c>
      <c r="AU34" s="4" t="str">
        <f ca="1">IFERROR(__xludf.DUMMYFUNCTION("""COMPUTED_VALUE"""),"兵庫県在住")</f>
        <v>兵庫県在住</v>
      </c>
      <c r="AV34" s="4"/>
      <c r="AW34" s="4" t="str">
        <f ca="1">IFERROR(__xludf.DUMMYFUNCTION("""COMPUTED_VALUE"""),"入力")</f>
        <v>入力</v>
      </c>
      <c r="AX34" s="4" t="str">
        <f ca="1">IFERROR(__xludf.DUMMYFUNCTION("""COMPUTED_VALUE"""),"高齢所帯")</f>
        <v>高齢所帯</v>
      </c>
      <c r="AY34" s="4" t="str">
        <f ca="1">IFERROR(__xludf.DUMMYFUNCTION("""COMPUTED_VALUE"""),"一戸建て")</f>
        <v>一戸建て</v>
      </c>
      <c r="AZ34" s="4"/>
      <c r="BA34" s="4" t="str">
        <f ca="1">IFERROR(__xludf.DUMMYFUNCTION("""COMPUTED_VALUE"""),"所有")</f>
        <v>所有</v>
      </c>
      <c r="BB34" s="4" t="str">
        <f ca="1">IFERROR(__xludf.DUMMYFUNCTION("""COMPUTED_VALUE"""),"有")</f>
        <v>有</v>
      </c>
      <c r="BC34" s="4" t="str">
        <f ca="1">IFERROR(__xludf.DUMMYFUNCTION("""COMPUTED_VALUE"""),"有")</f>
        <v>有</v>
      </c>
      <c r="BD34" s="4" t="str">
        <f ca="1">IFERROR(__xludf.DUMMYFUNCTION("""COMPUTED_VALUE"""),"洋式")</f>
        <v>洋式</v>
      </c>
      <c r="BE34" s="4" t="str">
        <f ca="1">IFERROR(__xludf.DUMMYFUNCTION("""COMPUTED_VALUE"""),"手すり無")</f>
        <v>手すり無</v>
      </c>
      <c r="BF34" s="4" t="str">
        <f ca="1">IFERROR(__xludf.DUMMYFUNCTION("""COMPUTED_VALUE"""),"段差有")</f>
        <v>段差有</v>
      </c>
      <c r="BG34" s="4" t="str">
        <f ca="1">IFERROR(__xludf.DUMMYFUNCTION("""COMPUTED_VALUE"""),"有")</f>
        <v>有</v>
      </c>
      <c r="BH34" s="4" t="str">
        <f ca="1">IFERROR(__xludf.DUMMYFUNCTION("""COMPUTED_VALUE"""),"手すり無")</f>
        <v>手すり無</v>
      </c>
      <c r="BI34" s="4" t="str">
        <f ca="1">IFERROR(__xludf.DUMMYFUNCTION("""COMPUTED_VALUE"""),"リクライニングベッド")</f>
        <v>リクライニングベッド</v>
      </c>
      <c r="BJ34" s="4" t="str">
        <f ca="1">IFERROR(__xludf.DUMMYFUNCTION("""COMPUTED_VALUE"""),"無")</f>
        <v>無</v>
      </c>
      <c r="BK34" s="4" t="str">
        <f ca="1">IFERROR(__xludf.DUMMYFUNCTION("""COMPUTED_VALUE"""),"無")</f>
        <v>無</v>
      </c>
      <c r="BL34" s="4" t="str">
        <f ca="1">IFERROR(__xludf.DUMMYFUNCTION("""COMPUTED_VALUE"""),"無")</f>
        <v>無</v>
      </c>
      <c r="BM34" s="4" t="str">
        <f ca="1">IFERROR(__xludf.DUMMYFUNCTION("""COMPUTED_VALUE"""),"無")</f>
        <v>無</v>
      </c>
      <c r="BN34" s="4"/>
      <c r="BO34" s="4"/>
      <c r="BP34" s="4"/>
      <c r="BQ34" s="4"/>
      <c r="BR34" s="4"/>
      <c r="BS34" s="4"/>
      <c r="BT34" s="4"/>
      <c r="BU34" s="4"/>
      <c r="BV34" s="4"/>
      <c r="BW34" s="4" t="str">
        <f ca="1">IFERROR(__xludf.DUMMYFUNCTION("""COMPUTED_VALUE"""),"入力")</f>
        <v>入力</v>
      </c>
      <c r="BX34" s="4" t="str">
        <f ca="1">IFERROR(__xludf.DUMMYFUNCTION("""COMPUTED_VALUE"""),"パーキンソン病")</f>
        <v>パーキンソン病</v>
      </c>
      <c r="BY34" s="4" t="str">
        <f ca="1">IFERROR(__xludf.DUMMYFUNCTION("""COMPUTED_VALUE"""),"平成13年")</f>
        <v>平成13年</v>
      </c>
      <c r="BZ34" s="4" t="str">
        <f ca="1">IFERROR(__xludf.DUMMYFUNCTION("""COMPUTED_VALUE"""),"前立腺癌")</f>
        <v>前立腺癌</v>
      </c>
      <c r="CA34" s="4" t="str">
        <f ca="1">IFERROR(__xludf.DUMMYFUNCTION("""COMPUTED_VALUE"""),"平成16年頃")</f>
        <v>平成16年頃</v>
      </c>
      <c r="CB34" s="4" t="str">
        <f ca="1">IFERROR(__xludf.DUMMYFUNCTION("""COMPUTED_VALUE"""),"高血圧症")</f>
        <v>高血圧症</v>
      </c>
      <c r="CC34" s="4" t="str">
        <f ca="1">IFERROR(__xludf.DUMMYFUNCTION("""COMPUTED_VALUE"""),"平成26年頃")</f>
        <v>平成26年頃</v>
      </c>
      <c r="CD34" s="4"/>
      <c r="CE34" s="4"/>
      <c r="CF34" s="4"/>
      <c r="CG34" s="4"/>
      <c r="CH34" s="4"/>
      <c r="CI34" s="4"/>
      <c r="CJ34" s="4" t="str">
        <f ca="1">IFERROR(__xludf.DUMMYFUNCTION("""COMPUTED_VALUE"""),"パーキンソン病と前立腺癌に関しては、三重大学病院を定期通院している。今後も受診の継続が必要かは2/17の通院時に確認して頂くこととなっている。")</f>
        <v>パーキンソン病と前立腺癌に関しては、三重大学病院を定期通院している。今後も受診の継続が必要かは2/17の通院時に確認して頂くこととなっている。</v>
      </c>
      <c r="CK34" s="4"/>
      <c r="CL34" s="4"/>
      <c r="CM34" s="4"/>
      <c r="CN34" s="4"/>
      <c r="CO34" s="4"/>
      <c r="CP34" s="4"/>
      <c r="CQ34" s="4"/>
      <c r="CR34" s="4"/>
      <c r="CS34" s="4" t="str">
        <f ca="1">IFERROR(__xludf.DUMMYFUNCTION("""COMPUTED_VALUE"""),"その他大きな病気はなし。")</f>
        <v>その他大きな病気はなし。</v>
      </c>
      <c r="CT34" s="4" t="str">
        <f ca="1">IFERROR(__xludf.DUMMYFUNCTION("""COMPUTED_VALUE"""),"服薬管理は奥様が行っている。")</f>
        <v>服薬管理は奥様が行っている。</v>
      </c>
      <c r="CU34" s="4"/>
      <c r="CV34" s="4"/>
      <c r="CW34" s="4"/>
      <c r="CX34" s="4" t="str">
        <f ca="1">IFERROR(__xludf.DUMMYFUNCTION("""COMPUTED_VALUE"""),"入力")</f>
        <v>入力</v>
      </c>
      <c r="CY34" s="4" t="str">
        <f ca="1">IFERROR(__xludf.DUMMYFUNCTION("""COMPUTED_VALUE"""),"無")</f>
        <v>無</v>
      </c>
      <c r="CZ34" s="4" t="str">
        <f ca="1">IFERROR(__xludf.DUMMYFUNCTION("""COMPUTED_VALUE"""),"無")</f>
        <v>無</v>
      </c>
      <c r="DA34" s="4" t="str">
        <f ca="1">IFERROR(__xludf.DUMMYFUNCTION("""COMPUTED_VALUE"""),"無")</f>
        <v>無</v>
      </c>
      <c r="DB34" s="4" t="str">
        <f ca="1">IFERROR(__xludf.DUMMYFUNCTION("""COMPUTED_VALUE"""),"特になし")</f>
        <v>特になし</v>
      </c>
      <c r="DC34" s="4" t="str">
        <f ca="1">IFERROR(__xludf.DUMMYFUNCTION("""COMPUTED_VALUE"""),"特になし")</f>
        <v>特になし</v>
      </c>
      <c r="DD34" s="4"/>
      <c r="DE34" s="4"/>
      <c r="DF34" s="4" t="str">
        <f ca="1">IFERROR(__xludf.DUMMYFUNCTION("""COMPUTED_VALUE"""),"大きい字は可")</f>
        <v>大きい字は可</v>
      </c>
      <c r="DG34" s="4" t="str">
        <f ca="1">IFERROR(__xludf.DUMMYFUNCTION("""COMPUTED_VALUE"""),"有")</f>
        <v>有</v>
      </c>
      <c r="DH34" s="4" t="str">
        <f ca="1">IFERROR(__xludf.DUMMYFUNCTION("""COMPUTED_VALUE"""),"正常")</f>
        <v>正常</v>
      </c>
      <c r="DI34" s="4" t="str">
        <f ca="1">IFERROR(__xludf.DUMMYFUNCTION("""COMPUTED_VALUE"""),"無")</f>
        <v>無</v>
      </c>
      <c r="DJ34" s="4" t="str">
        <f ca="1">IFERROR(__xludf.DUMMYFUNCTION("""COMPUTED_VALUE"""),"パーキンソン病により、1年程前から手の振戦やすくみ足などの症状が強くなり、最近では転倒が多くなっている。3ヶ月ごとに三重大へ受診しているが、徐々に受診に連れて行くのも大変になってきたと言われている。（妻より）
2週間前から急激に目の見えにくさが目立ったが徐々に改善が見られてきている。白内障は両目ともに手術済み。
コロナワクチンは6回接種されており、インフルエンザも先日打たれている。")</f>
        <v>パーキンソン病により、1年程前から手の振戦やすくみ足などの症状が強くなり、最近では転倒が多くなっている。3ヶ月ごとに三重大へ受診しているが、徐々に受診に連れて行くのも大変になってきたと言われている。（妻より）
2週間前から急激に目の見えにくさが目立ったが徐々に改善が見られてきている。白内障は両目ともに手術済み。
コロナワクチンは6回接種されており、インフルエンザも先日打たれている。</v>
      </c>
      <c r="DK34" s="4"/>
      <c r="DL34" s="4" t="str">
        <f ca="1">IFERROR(__xludf.DUMMYFUNCTION("""COMPUTED_VALUE"""),"入力")</f>
        <v>入力</v>
      </c>
      <c r="DM34" s="4" t="str">
        <f ca="1">IFERROR(__xludf.DUMMYFUNCTION("""COMPUTED_VALUE"""),"無")</f>
        <v>無</v>
      </c>
      <c r="DN34" s="4"/>
      <c r="DO34" s="4" t="str">
        <f ca="1">IFERROR(__xludf.DUMMYFUNCTION("""COMPUTED_VALUE"""),"無")</f>
        <v>無</v>
      </c>
      <c r="DP34" s="4" t="str">
        <f ca="1">IFERROR(__xludf.DUMMYFUNCTION("""COMPUTED_VALUE"""),"可能")</f>
        <v>可能</v>
      </c>
      <c r="DQ34" s="4" t="str">
        <f ca="1">IFERROR(__xludf.DUMMYFUNCTION("""COMPUTED_VALUE"""),"可能")</f>
        <v>可能</v>
      </c>
      <c r="DR34" s="4" t="str">
        <f ca="1">IFERROR(__xludf.DUMMYFUNCTION("""COMPUTED_VALUE"""),"年相応の認知機能の低下は見られているものの、日常生活に支障が出るほどではない。")</f>
        <v>年相応の認知機能の低下は見られているものの、日常生活に支障が出るほどではない。</v>
      </c>
      <c r="DS34" s="4"/>
      <c r="DT34" s="4"/>
      <c r="DU34" s="4" t="str">
        <f ca="1">IFERROR(__xludf.DUMMYFUNCTION("""COMPUTED_VALUE"""),"入力")</f>
        <v>入力</v>
      </c>
      <c r="DV34" s="4" t="str">
        <f ca="1">IFERROR(__xludf.DUMMYFUNCTION("""COMPUTED_VALUE"""),"何かにつかまればできる")</f>
        <v>何かにつかまればできる</v>
      </c>
      <c r="DW34" s="4" t="str">
        <f ca="1">IFERROR(__xludf.DUMMYFUNCTION("""COMPUTED_VALUE"""),"何かにつかまればできる")</f>
        <v>何かにつかまればできる</v>
      </c>
      <c r="DX34" s="4" t="str">
        <f ca="1">IFERROR(__xludf.DUMMYFUNCTION("""COMPUTED_VALUE"""),"自分の手で支えればできる")</f>
        <v>自分の手で支えればできる</v>
      </c>
      <c r="DY34" s="4" t="str">
        <f ca="1">IFERROR(__xludf.DUMMYFUNCTION("""COMPUTED_VALUE"""),"何かにつかまればできる")</f>
        <v>何かにつかまればできる</v>
      </c>
      <c r="DZ34" s="4" t="str">
        <f ca="1">IFERROR(__xludf.DUMMYFUNCTION("""COMPUTED_VALUE"""),"何か支えがあればできる")</f>
        <v>何か支えがあればできる</v>
      </c>
      <c r="EA34" s="4" t="str">
        <f ca="1">IFERROR(__xludf.DUMMYFUNCTION("""COMPUTED_VALUE"""),"自立")</f>
        <v>自立</v>
      </c>
      <c r="EB34" s="4" t="str">
        <f ca="1">IFERROR(__xludf.DUMMYFUNCTION("""COMPUTED_VALUE"""),"自立")</f>
        <v>自立</v>
      </c>
      <c r="EC34" s="4" t="str">
        <f ca="1">IFERROR(__xludf.DUMMYFUNCTION("""COMPUTED_VALUE"""),"独歩")</f>
        <v>独歩</v>
      </c>
      <c r="ED34" s="4" t="str">
        <f ca="1">IFERROR(__xludf.DUMMYFUNCTION("""COMPUTED_VALUE"""),"自立")</f>
        <v>自立</v>
      </c>
      <c r="EE34" s="4" t="str">
        <f ca="1">IFERROR(__xludf.DUMMYFUNCTION("""COMPUTED_VALUE"""),"歩行器")</f>
        <v>歩行器</v>
      </c>
      <c r="EF34" s="4" t="str">
        <f ca="1">IFERROR(__xludf.DUMMYFUNCTION("""COMPUTED_VALUE"""),"パーキンソン病の影響により、起居動作の行いにくさがある。寝返りや起き上がりは特に時間を要すが、何とかご自身で行うことができている。
居室内の移動は手すりを使用して独歩で歩くことができるが、長い廊下などは歩行器があったほうが良いと言われていた（本人より）。そのため入居の際に歩行器を2～3つほどデモで貸与し選んで頂くこととなった。")</f>
        <v>パーキンソン病の影響により、起居動作の行いにくさがある。寝返りや起き上がりは特に時間を要すが、何とかご自身で行うことができている。
居室内の移動は手すりを使用して独歩で歩くことができるが、長い廊下などは歩行器があったほうが良いと言われていた（本人より）。そのため入居の際に歩行器を2～3つほどデモで貸与し選んで頂くこととなった。</v>
      </c>
      <c r="EG34" s="4"/>
      <c r="EH34" s="4" t="str">
        <f ca="1">IFERROR(__xludf.DUMMYFUNCTION("""COMPUTED_VALUE"""),"入力")</f>
        <v>入力</v>
      </c>
      <c r="EI34" s="4" t="str">
        <f ca="1">IFERROR(__xludf.DUMMYFUNCTION("""COMPUTED_VALUE"""),"入力")</f>
        <v>入力</v>
      </c>
      <c r="EJ34" s="4" t="str">
        <f ca="1">IFERROR(__xludf.DUMMYFUNCTION("""COMPUTED_VALUE"""),"経口摂取")</f>
        <v>経口摂取</v>
      </c>
      <c r="EK34" s="4" t="str">
        <f ca="1">IFERROR(__xludf.DUMMYFUNCTION("""COMPUTED_VALUE"""),"一部介助")</f>
        <v>一部介助</v>
      </c>
      <c r="EL34" s="4" t="str">
        <f ca="1">IFERROR(__xludf.DUMMYFUNCTION("""COMPUTED_VALUE"""),"できる")</f>
        <v>できる</v>
      </c>
      <c r="EM34" s="4" t="str">
        <f ca="1">IFERROR(__xludf.DUMMYFUNCTION("""COMPUTED_VALUE"""),"普通")</f>
        <v>普通</v>
      </c>
      <c r="EN34" s="4" t="str">
        <f ca="1">IFERROR(__xludf.DUMMYFUNCTION("""COMPUTED_VALUE"""),"普通")</f>
        <v>普通</v>
      </c>
      <c r="EO34" s="4" t="str">
        <f ca="1">IFERROR(__xludf.DUMMYFUNCTION("""COMPUTED_VALUE"""),"無")</f>
        <v>無</v>
      </c>
      <c r="EP34" s="4" t="str">
        <f ca="1">IFERROR(__xludf.DUMMYFUNCTION("""COMPUTED_VALUE"""),"無")</f>
        <v>無</v>
      </c>
      <c r="EQ34" s="4" t="str">
        <f ca="1">IFERROR(__xludf.DUMMYFUNCTION("""COMPUTED_VALUE"""),"箸 , スプーン")</f>
        <v>箸 , スプーン</v>
      </c>
      <c r="ER34" s="4" t="str">
        <f ca="1">IFERROR(__xludf.DUMMYFUNCTION("""COMPUTED_VALUE"""),"食事摂取はご自身で行えるものの、食べこぼしが多く、食べこぼしの処理でご家族様のお手伝いが必要。現在は膝にタオルを敷いてお食事を食べられている。
食事摂取量は多めとのことで、安濃津ろまんへ入居後、食事量に物足りなさがあれば大盛などの変更も検討する。
また食事摂取スピードが遅いため、入居後の食事席は遅いグループの方々と同じ席が良いと言われている。")</f>
        <v>食事摂取はご自身で行えるものの、食べこぼしが多く、食べこぼしの処理でご家族様のお手伝いが必要。現在は膝にタオルを敷いてお食事を食べられている。
食事摂取量は多めとのことで、安濃津ろまんへ入居後、食事量に物足りなさがあれば大盛などの変更も検討する。
また食事摂取スピードが遅いため、入居後の食事席は遅いグループの方々と同じ席が良いと言われている。</v>
      </c>
      <c r="ES34" s="4"/>
      <c r="ET34" s="4" t="str">
        <f ca="1">IFERROR(__xludf.DUMMYFUNCTION("""COMPUTED_VALUE"""),"入力")</f>
        <v>入力</v>
      </c>
      <c r="EU34" s="4" t="str">
        <f ca="1">IFERROR(__xludf.DUMMYFUNCTION("""COMPUTED_VALUE"""),"自立")</f>
        <v>自立</v>
      </c>
      <c r="EV34" s="4"/>
      <c r="EW34" s="4"/>
      <c r="EX34" s="4"/>
      <c r="EY34" s="4"/>
      <c r="EZ34" s="4" t="str">
        <f ca="1">IFERROR(__xludf.DUMMYFUNCTION("""COMPUTED_VALUE"""),"口腔ケアはご自身で行えている。自歯や義歯の有無については確認できていなかったため今後確認する。")</f>
        <v>口腔ケアはご自身で行えている。自歯や義歯の有無については確認できていなかったため今後確認する。</v>
      </c>
      <c r="FA34" s="4"/>
      <c r="FB34" s="4" t="str">
        <f ca="1">IFERROR(__xludf.DUMMYFUNCTION("""COMPUTED_VALUE"""),"入力")</f>
        <v>入力</v>
      </c>
      <c r="FC34" s="4" t="str">
        <f ca="1">IFERROR(__xludf.DUMMYFUNCTION("""COMPUTED_VALUE"""),"自立")</f>
        <v>自立</v>
      </c>
      <c r="FD34" s="4" t="str">
        <f ca="1">IFERROR(__xludf.DUMMYFUNCTION("""COMPUTED_VALUE"""),"シャワー浴")</f>
        <v>シャワー浴</v>
      </c>
      <c r="FE34" s="4" t="str">
        <f ca="1">IFERROR(__xludf.DUMMYFUNCTION("""COMPUTED_VALUE"""),"無")</f>
        <v>無</v>
      </c>
      <c r="FF34" s="4"/>
      <c r="FG34" s="4" t="str">
        <f ca="1">IFERROR(__xludf.DUMMYFUNCTION("""COMPUTED_VALUE"""),"自立")</f>
        <v>自立</v>
      </c>
      <c r="FH34" s="4" t="str">
        <f ca="1">IFERROR(__xludf.DUMMYFUNCTION("""COMPUTED_VALUE"""),"自立")</f>
        <v>自立</v>
      </c>
      <c r="FI34" s="4" t="str">
        <f ca="1">IFERROR(__xludf.DUMMYFUNCTION("""COMPUTED_VALUE"""),"入浴はご自身で行えているものの、段差の昇降時など転倒リスクは高い。何度か転倒されている。
更衣については、毎日朝晩でパジャマ⇔洋服に着替えている。ただし、着替えるだけで1時間程度の時間を要す。（ご自身で出来ることは継続してほしいと妻の希望がある。）靴下の装着は難しい。")</f>
        <v>入浴はご自身で行えているものの、段差の昇降時など転倒リスクは高い。何度か転倒されている。
更衣については、毎日朝晩でパジャマ⇔洋服に着替えている。ただし、着替えるだけで1時間程度の時間を要す。（ご自身で出来ることは継続してほしいと妻の希望がある。）靴下の装着は難しい。</v>
      </c>
      <c r="FJ34" s="4"/>
      <c r="FK34" s="4" t="str">
        <f ca="1">IFERROR(__xludf.DUMMYFUNCTION("""COMPUTED_VALUE"""),"入力")</f>
        <v>入力</v>
      </c>
      <c r="FL34" s="4" t="str">
        <f ca="1">IFERROR(__xludf.DUMMYFUNCTION("""COMPUTED_VALUE"""),"自立")</f>
        <v>自立</v>
      </c>
      <c r="FM34" s="4" t="str">
        <f ca="1">IFERROR(__xludf.DUMMYFUNCTION("""COMPUTED_VALUE"""),"有")</f>
        <v>有</v>
      </c>
      <c r="FN34" s="4" t="str">
        <f ca="1">IFERROR(__xludf.DUMMYFUNCTION("""COMPUTED_VALUE"""),"有")</f>
        <v>有</v>
      </c>
      <c r="FO34" s="4" t="str">
        <f ca="1">IFERROR(__xludf.DUMMYFUNCTION("""COMPUTED_VALUE"""),"有")</f>
        <v>有</v>
      </c>
      <c r="FP34" s="4" t="str">
        <f ca="1">IFERROR(__xludf.DUMMYFUNCTION("""COMPUTED_VALUE"""),"有")</f>
        <v>有</v>
      </c>
      <c r="FQ34" s="4"/>
      <c r="FR34" s="4" t="str">
        <f ca="1">IFERROR(__xludf.DUMMYFUNCTION("""COMPUTED_VALUE"""),"トイレ")</f>
        <v>トイレ</v>
      </c>
      <c r="FS34" s="4" t="str">
        <f ca="1">IFERROR(__xludf.DUMMYFUNCTION("""COMPUTED_VALUE"""),"オムツ")</f>
        <v>オムツ</v>
      </c>
      <c r="FT34" s="4" t="str">
        <f ca="1">IFERROR(__xludf.DUMMYFUNCTION("""COMPUTED_VALUE"""),"リハビリパンツ")</f>
        <v>リハビリパンツ</v>
      </c>
      <c r="FU34" s="4" t="str">
        <f ca="1">IFERROR(__xludf.DUMMYFUNCTION("""COMPUTED_VALUE"""),"排泄に関しては、日中はご自身でトイレへ行けているものの、夜間はトイレまで間に合わずリハビリパンツ内で行ってしまうことがほとんど。時折シーツに失禁もあり妻の負担も大きい。
汚染されたリハビリパンツはご自身で脱いでビニール袋に入れてゴミ箱に入れている。便も知らないうちに出てしまっていることもある。")</f>
        <v>排泄に関しては、日中はご自身でトイレへ行けているものの、夜間はトイレまで間に合わずリハビリパンツ内で行ってしまうことがほとんど。時折シーツに失禁もあり妻の負担も大きい。
汚染されたリハビリパンツはご自身で脱いでビニール袋に入れてゴミ箱に入れている。便も知らないうちに出てしまっていることもある。</v>
      </c>
      <c r="FV34" s="4"/>
      <c r="FW34" s="4"/>
      <c r="FX34" s="4" t="str">
        <f ca="1">IFERROR(__xludf.DUMMYFUNCTION("""COMPUTED_VALUE"""),"入力")</f>
        <v>入力</v>
      </c>
      <c r="FY34" s="4" t="str">
        <f ca="1">IFERROR(__xludf.DUMMYFUNCTION("""COMPUTED_VALUE"""),"全介助")</f>
        <v>全介助</v>
      </c>
      <c r="FZ34" s="4" t="str">
        <f ca="1">IFERROR(__xludf.DUMMYFUNCTION("""COMPUTED_VALUE"""),"全介助")</f>
        <v>全介助</v>
      </c>
      <c r="GA34" s="4" t="str">
        <f ca="1">IFERROR(__xludf.DUMMYFUNCTION("""COMPUTED_VALUE"""),"全介助")</f>
        <v>全介助</v>
      </c>
      <c r="GB34" s="4" t="str">
        <f ca="1">IFERROR(__xludf.DUMMYFUNCTION("""COMPUTED_VALUE"""),"全介助")</f>
        <v>全介助</v>
      </c>
      <c r="GC34" s="4" t="str">
        <f ca="1">IFERROR(__xludf.DUMMYFUNCTION("""COMPUTED_VALUE"""),"全介助")</f>
        <v>全介助</v>
      </c>
      <c r="GD34" s="4" t="str">
        <f ca="1">IFERROR(__xludf.DUMMYFUNCTION("""COMPUTED_VALUE"""),"現在は奥様の介助を受けている。今後は施設サービスを受けつつ、奥様の援助も受けて生活される。")</f>
        <v>現在は奥様の介助を受けている。今後は施設サービスを受けつつ、奥様の援助も受けて生活される。</v>
      </c>
      <c r="GE34" s="4"/>
      <c r="GF34" s="4"/>
      <c r="GG34" s="4" t="str">
        <f ca="1">IFERROR(__xludf.DUMMYFUNCTION("""COMPUTED_VALUE"""),"特になし。")</f>
        <v>特になし。</v>
      </c>
      <c r="GH34" s="4">
        <f ca="1">IFERROR(__xludf.DUMMYFUNCTION("""COMPUTED_VALUE"""),30)</f>
        <v>30</v>
      </c>
      <c r="GI34" s="4"/>
    </row>
    <row r="35" spans="1:191">
      <c r="A35" s="4"/>
      <c r="B35" s="4"/>
      <c r="C35" s="4" t="str">
        <f ca="1">IFERROR(__xludf.DUMMYFUNCTION("""COMPUTED_VALUE"""),"濱口　よし子")</f>
        <v>濱口　よし子</v>
      </c>
      <c r="D35" s="4" t="str">
        <f ca="1">IFERROR(__xludf.DUMMYFUNCTION("""COMPUTED_VALUE"""),"c62dd14b")</f>
        <v>c62dd14b</v>
      </c>
      <c r="E35" s="4"/>
      <c r="F35" s="4"/>
      <c r="G35" s="4"/>
      <c r="H35" s="4"/>
      <c r="I35" s="5">
        <f ca="1">IFERROR(__xludf.DUMMYFUNCTION("""COMPUTED_VALUE"""),45717)</f>
        <v>45717</v>
      </c>
      <c r="J35" s="4" t="str">
        <f ca="1">IFERROR(__xludf.DUMMYFUNCTION("""COMPUTED_VALUE"""),"山川　和輝")</f>
        <v>山川　和輝</v>
      </c>
      <c r="K35" s="4" t="str">
        <f ca="1">IFERROR(__xludf.DUMMYFUNCTION("""COMPUTED_VALUE"""),"新規")</f>
        <v>新規</v>
      </c>
      <c r="L35" s="4" t="str">
        <f ca="1">IFERROR(__xludf.DUMMYFUNCTION("""COMPUTED_VALUE"""),"本人の居室")</f>
        <v>本人の居室</v>
      </c>
      <c r="M35" s="4" t="str">
        <f ca="1">IFERROR(__xludf.DUMMYFUNCTION("""COMPUTED_VALUE"""),"津市で生まれ兄との二人兄弟。戦後に結婚し、専業主婦として娘2人を育てる。子育て後は兄の会社を夫と共に手伝ってきた。60年程前から現住所で暮らし、25年前に夫が亡くなり一人暮らしとなる。
高齢になり90歳を機に次女夫婦が同居となり、今の家に新しく建て替えた。同居してからもなるべくお多大の生活を尊重し、本人が主体的に生活できるよう家族は見守りながらお互いに自立して生活してきた。")</f>
        <v>津市で生まれ兄との二人兄弟。戦後に結婚し、専業主婦として娘2人を育てる。子育て後は兄の会社を夫と共に手伝ってきた。60年程前から現住所で暮らし、25年前に夫が亡くなり一人暮らしとなる。
高齢になり90歳を機に次女夫婦が同居となり、今の家に新しく建て替えた。同居してからもなるべくお多大の生活を尊重し、本人が主体的に生活できるよう家族は見守りながらお互いに自立して生活してきた。</v>
      </c>
      <c r="N35" s="4" t="str">
        <f ca="1">IFERROR(__xludf.DUMMYFUNCTION("""COMPUTED_VALUE"""),"出来ることは自分で続けながら、安全に生活を続けたいです。")</f>
        <v>出来ることは自分で続けながら、安全に生活を続けたいです。</v>
      </c>
      <c r="O35" s="4" t="str">
        <f ca="1">IFERROR(__xludf.DUMMYFUNCTION("""COMPUTED_VALUE"""),"安濃津ろまんの環境に慣れて、ここで安心して生活してもらいたいです。")</f>
        <v>安濃津ろまんの環境に慣れて、ここで安心して生活してもらいたいです。</v>
      </c>
      <c r="P35" s="4"/>
      <c r="Q35" s="4" t="str">
        <f ca="1">IFERROR(__xludf.DUMMYFUNCTION("""COMPUTED_VALUE"""),"入力")</f>
        <v>入力</v>
      </c>
      <c r="R35" s="4" t="str">
        <f ca="1">IFERROR(__xludf.DUMMYFUNCTION("""COMPUTED_VALUE"""),"要介護１")</f>
        <v>要介護１</v>
      </c>
      <c r="S35" s="4" t="str">
        <f ca="1">IFERROR(__xludf.DUMMYFUNCTION("""COMPUTED_VALUE"""),"令和6年4月1日")</f>
        <v>令和6年4月1日</v>
      </c>
      <c r="T35" s="4" t="str">
        <f ca="1">IFERROR(__xludf.DUMMYFUNCTION("""COMPUTED_VALUE"""),"令和6年4月1日")</f>
        <v>令和6年4月1日</v>
      </c>
      <c r="U35" s="4" t="str">
        <f ca="1">IFERROR(__xludf.DUMMYFUNCTION("""COMPUTED_VALUE"""),"令和7年3月31日")</f>
        <v>令和7年3月31日</v>
      </c>
      <c r="V35" s="4" t="str">
        <f ca="1">IFERROR(__xludf.DUMMYFUNCTION("""COMPUTED_VALUE"""),"１割負担")</f>
        <v>１割負担</v>
      </c>
      <c r="W35" s="4" t="str">
        <f ca="1">IFERROR(__xludf.DUMMYFUNCTION("""COMPUTED_VALUE"""),"後期高齢者医療保険")</f>
        <v>後期高齢者医療保険</v>
      </c>
      <c r="X35" s="4" t="str">
        <f ca="1">IFERROR(__xludf.DUMMYFUNCTION("""COMPUTED_VALUE"""),"無")</f>
        <v>無</v>
      </c>
      <c r="Y35" s="4"/>
      <c r="Z35" s="4" t="str">
        <f ca="1">IFERROR(__xludf.DUMMYFUNCTION("""COMPUTED_VALUE"""),"無")</f>
        <v>無</v>
      </c>
      <c r="AA35" s="4" t="str">
        <f ca="1">IFERROR(__xludf.DUMMYFUNCTION("""COMPUTED_VALUE"""),"無")</f>
        <v>無</v>
      </c>
      <c r="AB35" s="4" t="str">
        <f ca="1">IFERROR(__xludf.DUMMYFUNCTION("""COMPUTED_VALUE"""),"J2")</f>
        <v>J2</v>
      </c>
      <c r="AC35" s="4" t="str">
        <f ca="1">IFERROR(__xludf.DUMMYFUNCTION("""COMPUTED_VALUE"""),"Ⅱa")</f>
        <v>Ⅱa</v>
      </c>
      <c r="AD35" s="4"/>
      <c r="AE35" s="4" t="str">
        <f ca="1">IFERROR(__xludf.DUMMYFUNCTION("""COMPUTED_VALUE"""),"入力")</f>
        <v>入力</v>
      </c>
      <c r="AF35" s="4" t="str">
        <f ca="1">IFERROR(__xludf.DUMMYFUNCTION("""COMPUTED_VALUE"""),"田川　由美子")</f>
        <v>田川　由美子</v>
      </c>
      <c r="AG35" s="4" t="str">
        <f ca="1">IFERROR(__xludf.DUMMYFUNCTION("""COMPUTED_VALUE"""),"次女")</f>
        <v>次女</v>
      </c>
      <c r="AH35" s="4"/>
      <c r="AI35" s="4" t="str">
        <f ca="1">IFERROR(__xludf.DUMMYFUNCTION("""COMPUTED_VALUE"""),"別居")</f>
        <v>別居</v>
      </c>
      <c r="AJ35" s="4" t="str">
        <f ca="1">IFERROR(__xludf.DUMMYFUNCTION("""COMPUTED_VALUE"""),"介護する")</f>
        <v>介護する</v>
      </c>
      <c r="AK35" s="4" t="str">
        <f ca="1">IFERROR(__xludf.DUMMYFUNCTION("""COMPUTED_VALUE"""),"無")</f>
        <v>無</v>
      </c>
      <c r="AL35" s="4" t="str">
        <f ca="1">IFERROR(__xludf.DUMMYFUNCTION("""COMPUTED_VALUE"""),"080-3077-3415")</f>
        <v>080-3077-3415</v>
      </c>
      <c r="AM35" s="4" t="str">
        <f ca="1">IFERROR(__xludf.DUMMYFUNCTION("""COMPUTED_VALUE"""),"KP")</f>
        <v>KP</v>
      </c>
      <c r="AN35" s="4"/>
      <c r="AO35" s="4"/>
      <c r="AP35" s="4"/>
      <c r="AQ35" s="4"/>
      <c r="AR35" s="4"/>
      <c r="AS35" s="4"/>
      <c r="AT35" s="4"/>
      <c r="AU35" s="4"/>
      <c r="AV35" s="4"/>
      <c r="AW35" s="4" t="str">
        <f ca="1">IFERROR(__xludf.DUMMYFUNCTION("""COMPUTED_VALUE"""),"入力")</f>
        <v>入力</v>
      </c>
      <c r="AX35" s="4" t="str">
        <f ca="1">IFERROR(__xludf.DUMMYFUNCTION("""COMPUTED_VALUE"""),"一人暮らし")</f>
        <v>一人暮らし</v>
      </c>
      <c r="AY35" s="4" t="str">
        <f ca="1">IFERROR(__xludf.DUMMYFUNCTION("""COMPUTED_VALUE"""),"集合住宅")</f>
        <v>集合住宅</v>
      </c>
      <c r="AZ35" s="4" t="str">
        <f ca="1">IFERROR(__xludf.DUMMYFUNCTION("""COMPUTED_VALUE"""),"エレベーター有")</f>
        <v>エレベーター有</v>
      </c>
      <c r="BA35" s="4" t="str">
        <f ca="1">IFERROR(__xludf.DUMMYFUNCTION("""COMPUTED_VALUE"""),"賃貸")</f>
        <v>賃貸</v>
      </c>
      <c r="BB35" s="4" t="str">
        <f ca="1">IFERROR(__xludf.DUMMYFUNCTION("""COMPUTED_VALUE"""),"有")</f>
        <v>有</v>
      </c>
      <c r="BC35" s="4" t="str">
        <f ca="1">IFERROR(__xludf.DUMMYFUNCTION("""COMPUTED_VALUE"""),"有")</f>
        <v>有</v>
      </c>
      <c r="BD35" s="4" t="str">
        <f ca="1">IFERROR(__xludf.DUMMYFUNCTION("""COMPUTED_VALUE"""),"洋式")</f>
        <v>洋式</v>
      </c>
      <c r="BE35" s="4" t="str">
        <f ca="1">IFERROR(__xludf.DUMMYFUNCTION("""COMPUTED_VALUE"""),"手すり有")</f>
        <v>手すり有</v>
      </c>
      <c r="BF35" s="4" t="str">
        <f ca="1">IFERROR(__xludf.DUMMYFUNCTION("""COMPUTED_VALUE"""),"段差無")</f>
        <v>段差無</v>
      </c>
      <c r="BG35" s="4" t="str">
        <f ca="1">IFERROR(__xludf.DUMMYFUNCTION("""COMPUTED_VALUE"""),"有")</f>
        <v>有</v>
      </c>
      <c r="BH35" s="4" t="str">
        <f ca="1">IFERROR(__xludf.DUMMYFUNCTION("""COMPUTED_VALUE"""),"手すり有")</f>
        <v>手すり有</v>
      </c>
      <c r="BI35" s="4" t="str">
        <f ca="1">IFERROR(__xludf.DUMMYFUNCTION("""COMPUTED_VALUE"""),"リクライニングベッド")</f>
        <v>リクライニングベッド</v>
      </c>
      <c r="BJ35" s="4" t="str">
        <f ca="1">IFERROR(__xludf.DUMMYFUNCTION("""COMPUTED_VALUE"""),"無")</f>
        <v>無</v>
      </c>
      <c r="BK35" s="4" t="str">
        <f ca="1">IFERROR(__xludf.DUMMYFUNCTION("""COMPUTED_VALUE"""),"無")</f>
        <v>無</v>
      </c>
      <c r="BL35" s="4" t="str">
        <f ca="1">IFERROR(__xludf.DUMMYFUNCTION("""COMPUTED_VALUE"""),"無")</f>
        <v>無</v>
      </c>
      <c r="BM35" s="4" t="str">
        <f ca="1">IFERROR(__xludf.DUMMYFUNCTION("""COMPUTED_VALUE"""),"無")</f>
        <v>無</v>
      </c>
      <c r="BN35" s="4"/>
      <c r="BO35" s="4" t="str">
        <f ca="1">IFERROR(__xludf.DUMMYFUNCTION("""COMPUTED_VALUE"""),"入力")</f>
        <v>入力</v>
      </c>
      <c r="BP35" s="4" t="str">
        <f ca="1">IFERROR(__xludf.DUMMYFUNCTION("""COMPUTED_VALUE"""),"訪問介護 , 訪問看護 , 通所介護")</f>
        <v>訪問介護 , 訪問看護 , 通所介護</v>
      </c>
      <c r="BQ35" s="4" t="str">
        <f ca="1">IFERROR(__xludf.DUMMYFUNCTION("""COMPUTED_VALUE"""),"手すり")</f>
        <v>手すり</v>
      </c>
      <c r="BR35" s="4" t="str">
        <f ca="1">IFERROR(__xludf.DUMMYFUNCTION("""COMPUTED_VALUE"""),"自費で介護用ベッド貸与")</f>
        <v>自費で介護用ベッド貸与</v>
      </c>
      <c r="BS35" s="4" t="str">
        <f ca="1">IFERROR(__xludf.DUMMYFUNCTION("""COMPUTED_VALUE"""),"食事支援 , リネンリース , 洗濯")</f>
        <v>食事支援 , リネンリース , 洗濯</v>
      </c>
      <c r="BT35" s="4" t="str">
        <f ca="1">IFERROR(__xludf.DUMMYFUNCTION("""COMPUTED_VALUE"""),"デイサービスも利用しており、社会交流は良好。")</f>
        <v>デイサービスも利用しており、社会交流は良好。</v>
      </c>
      <c r="BU35" s="4"/>
      <c r="BV35" s="4"/>
      <c r="BW35" s="4" t="str">
        <f ca="1">IFERROR(__xludf.DUMMYFUNCTION("""COMPUTED_VALUE"""),"入力")</f>
        <v>入力</v>
      </c>
      <c r="BX35" s="4" t="str">
        <f ca="1">IFERROR(__xludf.DUMMYFUNCTION("""COMPUTED_VALUE"""),"高血圧症")</f>
        <v>高血圧症</v>
      </c>
      <c r="BY35" s="4" t="str">
        <f ca="1">IFERROR(__xludf.DUMMYFUNCTION("""COMPUTED_VALUE"""),"令和3年12月")</f>
        <v>令和3年12月</v>
      </c>
      <c r="BZ35" s="4" t="str">
        <f ca="1">IFERROR(__xludf.DUMMYFUNCTION("""COMPUTED_VALUE"""),"認知症")</f>
        <v>認知症</v>
      </c>
      <c r="CA35" s="4" t="str">
        <f ca="1">IFERROR(__xludf.DUMMYFUNCTION("""COMPUTED_VALUE"""),"令和3年12月")</f>
        <v>令和3年12月</v>
      </c>
      <c r="CB35" s="4" t="str">
        <f ca="1">IFERROR(__xludf.DUMMYFUNCTION("""COMPUTED_VALUE"""),"腰痛症")</f>
        <v>腰痛症</v>
      </c>
      <c r="CC35" s="4" t="str">
        <f ca="1">IFERROR(__xludf.DUMMYFUNCTION("""COMPUTED_VALUE"""),"令和3年12月")</f>
        <v>令和3年12月</v>
      </c>
      <c r="CD35" s="4"/>
      <c r="CE35" s="4"/>
      <c r="CF35" s="4"/>
      <c r="CG35" s="4"/>
      <c r="CH35" s="4"/>
      <c r="CI35" s="4"/>
      <c r="CJ35" s="4" t="str">
        <f ca="1">IFERROR(__xludf.DUMMYFUNCTION("""COMPUTED_VALUE"""),"主治医を中森内科から加藤医院往診に切り替えることで今後通院の必要性はない。腰痛症に関しては、現在慢性痛となっており、特に整形受診は必要ない。痛みが増悪する場合に受診を検討。")</f>
        <v>主治医を中森内科から加藤医院往診に切り替えることで今後通院の必要性はない。腰痛症に関しては、現在慢性痛となっており、特に整形受診は必要ない。痛みが増悪する場合に受診を検討。</v>
      </c>
      <c r="CK35" s="4"/>
      <c r="CL35" s="4"/>
      <c r="CM35" s="4"/>
      <c r="CN35" s="4"/>
      <c r="CO35" s="4"/>
      <c r="CP35" s="4"/>
      <c r="CQ35" s="4"/>
      <c r="CR35" s="4"/>
      <c r="CS35" s="4" t="str">
        <f ca="1">IFERROR(__xludf.DUMMYFUNCTION("""COMPUTED_VALUE"""),"その他、令和3年12月にサルコペニアや変形性膝関節症となっている。")</f>
        <v>その他、令和3年12月にサルコペニアや変形性膝関節症となっている。</v>
      </c>
      <c r="CT35" s="4" t="str">
        <f ca="1">IFERROR(__xludf.DUMMYFUNCTION("""COMPUTED_VALUE"""),"・ロサルタンK
・アムロジピン
服薬管理はローレル薬局と施設で管理を行う。
お薬の袋を開封しお渡しすることでご自身で内服できる。")</f>
        <v>・ロサルタンK
・アムロジピン
服薬管理はローレル薬局と施設で管理を行う。
お薬の袋を開封しお渡しすることでご自身で内服できる。</v>
      </c>
      <c r="CU35" s="4"/>
      <c r="CV35" s="4"/>
      <c r="CW35" s="4"/>
      <c r="CX35" s="4"/>
      <c r="CY35" s="4"/>
      <c r="CZ35" s="4"/>
      <c r="DA35" s="4"/>
      <c r="DB35" s="4"/>
      <c r="DC35" s="4"/>
      <c r="DD35" s="4"/>
      <c r="DE35" s="4"/>
      <c r="DF35" s="4"/>
      <c r="DG35" s="4"/>
      <c r="DH35" s="4"/>
      <c r="DI35" s="4"/>
      <c r="DJ35" s="4"/>
      <c r="DK35" s="4"/>
      <c r="DL35" s="4"/>
      <c r="DM35" s="4"/>
      <c r="DN35" s="4"/>
      <c r="DO35" s="4"/>
      <c r="DP35" s="4"/>
      <c r="DQ35" s="4"/>
      <c r="DR35" s="4"/>
      <c r="DS35" s="4"/>
      <c r="DT35" s="4"/>
      <c r="DU35" s="4"/>
      <c r="DV35" s="4"/>
      <c r="DW35" s="4"/>
      <c r="DX35" s="4"/>
      <c r="DY35" s="4"/>
      <c r="DZ35" s="4"/>
      <c r="EA35" s="4"/>
      <c r="EB35" s="4"/>
      <c r="EC35" s="4"/>
      <c r="ED35" s="4"/>
      <c r="EE35" s="4"/>
      <c r="EF35" s="4"/>
      <c r="EG35" s="4"/>
      <c r="EH35" s="4"/>
      <c r="EI35" s="4"/>
      <c r="EJ35" s="4"/>
      <c r="EK35" s="4"/>
      <c r="EL35" s="4"/>
      <c r="EM35" s="4"/>
      <c r="EN35" s="4"/>
      <c r="EO35" s="4"/>
      <c r="EP35" s="4"/>
      <c r="EQ35" s="4"/>
      <c r="ER35" s="4"/>
      <c r="ES35" s="4"/>
      <c r="ET35" s="4"/>
      <c r="EU35" s="4"/>
      <c r="EV35" s="4"/>
      <c r="EW35" s="4"/>
      <c r="EX35" s="4"/>
      <c r="EY35" s="4"/>
      <c r="EZ35" s="4"/>
      <c r="FA35" s="4"/>
      <c r="FB35" s="4"/>
      <c r="FC35" s="4"/>
      <c r="FD35" s="4"/>
      <c r="FE35" s="4"/>
      <c r="FF35" s="4"/>
      <c r="FG35" s="4"/>
      <c r="FH35" s="4"/>
      <c r="FI35" s="4"/>
      <c r="FJ35" s="4"/>
      <c r="FK35" s="4"/>
      <c r="FL35" s="4"/>
      <c r="FM35" s="4"/>
      <c r="FN35" s="4"/>
      <c r="FO35" s="4"/>
      <c r="FP35" s="4"/>
      <c r="FQ35" s="4"/>
      <c r="FR35" s="4"/>
      <c r="FS35" s="4"/>
      <c r="FT35" s="4"/>
      <c r="FU35" s="4"/>
      <c r="FV35" s="4"/>
      <c r="FW35" s="4"/>
      <c r="FX35" s="4"/>
      <c r="FY35" s="4"/>
      <c r="FZ35" s="4"/>
      <c r="GA35" s="4"/>
      <c r="GB35" s="4"/>
      <c r="GC35" s="4"/>
      <c r="GD35" s="4"/>
      <c r="GE35" s="4"/>
      <c r="GF35" s="4"/>
      <c r="GG35" s="4" t="str">
        <f ca="1">IFERROR(__xludf.DUMMYFUNCTION("""COMPUTED_VALUE"""),"96歳の頃くらいから「終活」と言い出すようになり荷物の整理を始めた。おしゃれでたくさんの洋服を持っていたが捨ててしまい、現在は同じ服ばかり着ている。外へ出ることがなく家の片づけなどをして過ごしているが、物忘れの為できていないことが増えてきた。")</f>
        <v>96歳の頃くらいから「終活」と言い出すようになり荷物の整理を始めた。おしゃれでたくさんの洋服を持っていたが捨ててしまい、現在は同じ服ばかり着ている。外へ出ることがなく家の片づけなどをして過ごしているが、物忘れの為できていないことが増えてきた。</v>
      </c>
      <c r="GH35" s="4">
        <f ca="1">IFERROR(__xludf.DUMMYFUNCTION("""COMPUTED_VALUE"""),30)</f>
        <v>30</v>
      </c>
      <c r="GI35" s="4"/>
    </row>
    <row r="36" spans="1:191">
      <c r="A36" s="4"/>
      <c r="B36" s="4"/>
      <c r="C36" s="4" t="str">
        <f ca="1">IFERROR(__xludf.DUMMYFUNCTION("""COMPUTED_VALUE"""),"倉田　欣一郎")</f>
        <v>倉田　欣一郎</v>
      </c>
      <c r="D36" s="4" t="str">
        <f ca="1">IFERROR(__xludf.DUMMYFUNCTION("""COMPUTED_VALUE"""),"6c952829")</f>
        <v>6c952829</v>
      </c>
      <c r="E36" s="4"/>
      <c r="F36" s="4"/>
      <c r="G36" s="4"/>
      <c r="H36" s="4"/>
      <c r="I36" s="5">
        <f ca="1">IFERROR(__xludf.DUMMYFUNCTION("""COMPUTED_VALUE"""),45731)</f>
        <v>45731</v>
      </c>
      <c r="J36" s="4" t="str">
        <f ca="1">IFERROR(__xludf.DUMMYFUNCTION("""COMPUTED_VALUE"""),"山川　和輝")</f>
        <v>山川　和輝</v>
      </c>
      <c r="K36" s="4" t="str">
        <f ca="1">IFERROR(__xludf.DUMMYFUNCTION("""COMPUTED_VALUE"""),"新規")</f>
        <v>新規</v>
      </c>
      <c r="L36" s="4" t="str">
        <f ca="1">IFERROR(__xludf.DUMMYFUNCTION("""COMPUTED_VALUE"""),"本人の自宅")</f>
        <v>本人の自宅</v>
      </c>
      <c r="M36" s="4" t="str">
        <f ca="1">IFERROR(__xludf.DUMMYFUNCTION("""COMPUTED_VALUE"""),"自宅にて妻と2人暮らし。同敷地内に三男夫婦が住んでいる。三男夫婦が支援介入していたが、数ヶ月前に三男が癌により入院。以来、三男妻が介入しているものの、妻に任せきりになることが多かった。本人の希望を妻がそのまま聞いてしまうため、食事が減りビールばかり飲んでいたり、動かないことが増え、半年前は歩行移動できたが、急激にADLが低下し、現在は歩行・立位が難しく、排泄もオムツを使用している状態。
他者との関わりを嫌うため、デイは利用していない。何とか先月よりヘルパーを利用開始した。妻も高齢で理解力・介護力が低いため"&amp;"、早期の入居を希望された。")</f>
        <v>自宅にて妻と2人暮らし。同敷地内に三男夫婦が住んでいる。三男夫婦が支援介入していたが、数ヶ月前に三男が癌により入院。以来、三男妻が介入しているものの、妻に任せきりになることが多かった。本人の希望を妻がそのまま聞いてしまうため、食事が減りビールばかり飲んでいたり、動かないことが増え、半年前は歩行移動できたが、急激にADLが低下し、現在は歩行・立位が難しく、排泄もオムツを使用している状態。
他者との関わりを嫌うため、デイは利用していない。何とか先月よりヘルパーを利用開始した。妻も高齢で理解力・介護力が低いため、早期の入居を希望された。</v>
      </c>
      <c r="N36" s="4"/>
      <c r="O36" s="4" t="str">
        <f ca="1">IFERROR(__xludf.DUMMYFUNCTION("""COMPUTED_VALUE"""),"介護が大変になってきたので、施設に入って安心して生活してほしい。")</f>
        <v>介護が大変になってきたので、施設に入って安心して生活してほしい。</v>
      </c>
      <c r="P36" s="4"/>
      <c r="Q36" s="4"/>
      <c r="R36" s="4"/>
      <c r="S36" s="4"/>
      <c r="T36" s="4"/>
      <c r="U36" s="4"/>
      <c r="V36" s="4"/>
      <c r="W36" s="4"/>
      <c r="X36" s="4"/>
      <c r="Y36" s="4"/>
      <c r="Z36" s="4"/>
      <c r="AA36" s="4"/>
      <c r="AB36" s="4"/>
      <c r="AC36" s="4"/>
      <c r="AD36" s="4"/>
      <c r="AE36" s="4" t="str">
        <f ca="1">IFERROR(__xludf.DUMMYFUNCTION("""COMPUTED_VALUE"""),"入力")</f>
        <v>入力</v>
      </c>
      <c r="AF36" s="4" t="str">
        <f ca="1">IFERROR(__xludf.DUMMYFUNCTION("""COMPUTED_VALUE"""),"倉田　弘子")</f>
        <v>倉田　弘子</v>
      </c>
      <c r="AG36" s="4" t="str">
        <f ca="1">IFERROR(__xludf.DUMMYFUNCTION("""COMPUTED_VALUE"""),"妻")</f>
        <v>妻</v>
      </c>
      <c r="AH36" s="4"/>
      <c r="AI36" s="4" t="str">
        <f ca="1">IFERROR(__xludf.DUMMYFUNCTION("""COMPUTED_VALUE"""),"同居")</f>
        <v>同居</v>
      </c>
      <c r="AJ36" s="4" t="str">
        <f ca="1">IFERROR(__xludf.DUMMYFUNCTION("""COMPUTED_VALUE"""),"介護する")</f>
        <v>介護する</v>
      </c>
      <c r="AK36" s="4" t="str">
        <f ca="1">IFERROR(__xludf.DUMMYFUNCTION("""COMPUTED_VALUE"""),"無")</f>
        <v>無</v>
      </c>
      <c r="AL36" s="4" t="str">
        <f ca="1">IFERROR(__xludf.DUMMYFUNCTION("""COMPUTED_VALUE"""),"090-4182-2345")</f>
        <v>090-4182-2345</v>
      </c>
      <c r="AM36" s="4" t="str">
        <f ca="1">IFERROR(__xludf.DUMMYFUNCTION("""COMPUTED_VALUE"""),"KP")</f>
        <v>KP</v>
      </c>
      <c r="AN36" s="4" t="str">
        <f ca="1">IFERROR(__xludf.DUMMYFUNCTION("""COMPUTED_VALUE"""),"倉田　勇人")</f>
        <v>倉田　勇人</v>
      </c>
      <c r="AO36" s="4" t="str">
        <f ca="1">IFERROR(__xludf.DUMMYFUNCTION("""COMPUTED_VALUE"""),"三男")</f>
        <v>三男</v>
      </c>
      <c r="AP36" s="4"/>
      <c r="AQ36" s="4" t="str">
        <f ca="1">IFERROR(__xludf.DUMMYFUNCTION("""COMPUTED_VALUE"""),"別居")</f>
        <v>別居</v>
      </c>
      <c r="AR36" s="4" t="str">
        <f ca="1">IFERROR(__xludf.DUMMYFUNCTION("""COMPUTED_VALUE"""),"介護しない")</f>
        <v>介護しない</v>
      </c>
      <c r="AS36" s="4"/>
      <c r="AT36" s="4" t="str">
        <f ca="1">IFERROR(__xludf.DUMMYFUNCTION("""COMPUTED_VALUE"""),"090-3448-0420")</f>
        <v>090-3448-0420</v>
      </c>
      <c r="AU36" s="4" t="str">
        <f ca="1">IFERROR(__xludf.DUMMYFUNCTION("""COMPUTED_VALUE"""),"癌にて入院。")</f>
        <v>癌にて入院。</v>
      </c>
      <c r="AV36" s="4"/>
      <c r="AW36" s="4" t="str">
        <f ca="1">IFERROR(__xludf.DUMMYFUNCTION("""COMPUTED_VALUE"""),"入力")</f>
        <v>入力</v>
      </c>
      <c r="AX36" s="4" t="str">
        <f ca="1">IFERROR(__xludf.DUMMYFUNCTION("""COMPUTED_VALUE"""),"高齢所帯")</f>
        <v>高齢所帯</v>
      </c>
      <c r="AY36" s="4" t="str">
        <f ca="1">IFERROR(__xludf.DUMMYFUNCTION("""COMPUTED_VALUE"""),"一戸建て")</f>
        <v>一戸建て</v>
      </c>
      <c r="AZ36" s="4"/>
      <c r="BA36" s="4" t="str">
        <f ca="1">IFERROR(__xludf.DUMMYFUNCTION("""COMPUTED_VALUE"""),"所有")</f>
        <v>所有</v>
      </c>
      <c r="BB36" s="4" t="str">
        <f ca="1">IFERROR(__xludf.DUMMYFUNCTION("""COMPUTED_VALUE"""),"有")</f>
        <v>有</v>
      </c>
      <c r="BC36" s="4" t="str">
        <f ca="1">IFERROR(__xludf.DUMMYFUNCTION("""COMPUTED_VALUE"""),"有")</f>
        <v>有</v>
      </c>
      <c r="BD36" s="4" t="str">
        <f ca="1">IFERROR(__xludf.DUMMYFUNCTION("""COMPUTED_VALUE"""),"洋式")</f>
        <v>洋式</v>
      </c>
      <c r="BE36" s="4" t="str">
        <f ca="1">IFERROR(__xludf.DUMMYFUNCTION("""COMPUTED_VALUE"""),"手すり有")</f>
        <v>手すり有</v>
      </c>
      <c r="BF36" s="4" t="str">
        <f ca="1">IFERROR(__xludf.DUMMYFUNCTION("""COMPUTED_VALUE"""),"段差無")</f>
        <v>段差無</v>
      </c>
      <c r="BG36" s="4" t="str">
        <f ca="1">IFERROR(__xludf.DUMMYFUNCTION("""COMPUTED_VALUE"""),"有")</f>
        <v>有</v>
      </c>
      <c r="BH36" s="4" t="str">
        <f ca="1">IFERROR(__xludf.DUMMYFUNCTION("""COMPUTED_VALUE"""),"手すり有")</f>
        <v>手すり有</v>
      </c>
      <c r="BI36" s="4" t="str">
        <f ca="1">IFERROR(__xludf.DUMMYFUNCTION("""COMPUTED_VALUE"""),"リクライニングベッド")</f>
        <v>リクライニングベッド</v>
      </c>
      <c r="BJ36" s="4" t="str">
        <f ca="1">IFERROR(__xludf.DUMMYFUNCTION("""COMPUTED_VALUE"""),"無")</f>
        <v>無</v>
      </c>
      <c r="BK36" s="4" t="str">
        <f ca="1">IFERROR(__xludf.DUMMYFUNCTION("""COMPUTED_VALUE"""),"無")</f>
        <v>無</v>
      </c>
      <c r="BL36" s="4" t="str">
        <f ca="1">IFERROR(__xludf.DUMMYFUNCTION("""COMPUTED_VALUE"""),"無")</f>
        <v>無</v>
      </c>
      <c r="BM36" s="4" t="str">
        <f ca="1">IFERROR(__xludf.DUMMYFUNCTION("""COMPUTED_VALUE"""),"無")</f>
        <v>無</v>
      </c>
      <c r="BN36" s="4"/>
      <c r="BO36" s="4" t="str">
        <f ca="1">IFERROR(__xludf.DUMMYFUNCTION("""COMPUTED_VALUE"""),"入力")</f>
        <v>入力</v>
      </c>
      <c r="BP36" s="4" t="str">
        <f ca="1">IFERROR(__xludf.DUMMYFUNCTION("""COMPUTED_VALUE"""),"訪問介護")</f>
        <v>訪問介護</v>
      </c>
      <c r="BQ36" s="4" t="str">
        <f ca="1">IFERROR(__xludf.DUMMYFUNCTION("""COMPUTED_VALUE"""),"特殊寝台")</f>
        <v>特殊寝台</v>
      </c>
      <c r="BR36" s="4"/>
      <c r="BS36" s="4"/>
      <c r="BT36" s="4" t="str">
        <f ca="1">IFERROR(__xludf.DUMMYFUNCTION("""COMPUTED_VALUE"""),"他の方との交流は多くない。苦手なほう。")</f>
        <v>他の方との交流は多くない。苦手なほう。</v>
      </c>
      <c r="BU36" s="4"/>
      <c r="BV36" s="4"/>
      <c r="BW36" s="4" t="str">
        <f ca="1">IFERROR(__xludf.DUMMYFUNCTION("""COMPUTED_VALUE"""),"入力")</f>
        <v>入力</v>
      </c>
      <c r="BX36" s="4" t="str">
        <f ca="1">IFERROR(__xludf.DUMMYFUNCTION("""COMPUTED_VALUE"""),"高血圧症")</f>
        <v>高血圧症</v>
      </c>
      <c r="BY36" s="4" t="str">
        <f ca="1">IFERROR(__xludf.DUMMYFUNCTION("""COMPUTED_VALUE"""),"平成10年")</f>
        <v>平成10年</v>
      </c>
      <c r="BZ36" s="4"/>
      <c r="CA36" s="4"/>
      <c r="CB36" s="4"/>
      <c r="CC36" s="4"/>
      <c r="CD36" s="4"/>
      <c r="CE36" s="4"/>
      <c r="CF36" s="4"/>
      <c r="CG36" s="4"/>
      <c r="CH36" s="4"/>
      <c r="CI36" s="4"/>
      <c r="CJ36" s="4" t="str">
        <f ca="1">IFERROR(__xludf.DUMMYFUNCTION("""COMPUTED_VALUE"""),"もともとは通院を行っていたが、付き添っていた妻も高齢となり通院しなくなった。それにより高血圧症の薬も飲まなくなった。")</f>
        <v>もともとは通院を行っていたが、付き添っていた妻も高齢となり通院しなくなった。それにより高血圧症の薬も飲まなくなった。</v>
      </c>
      <c r="CK36" s="4"/>
      <c r="CL36" s="4"/>
      <c r="CM36" s="4"/>
      <c r="CN36" s="4"/>
      <c r="CO36" s="4"/>
      <c r="CP36" s="4"/>
      <c r="CQ36" s="4"/>
      <c r="CR36" s="4"/>
      <c r="CS36" s="4" t="str">
        <f ca="1">IFERROR(__xludf.DUMMYFUNCTION("""COMPUTED_VALUE"""),"肺結核(昭和26年頃）、盲腸(昭和26年頃）、大腸がん(昭和51年頃）")</f>
        <v>肺結核(昭和26年頃）、盲腸(昭和26年頃）、大腸がん(昭和51年頃）</v>
      </c>
      <c r="CT36" s="4" t="str">
        <f ca="1">IFERROR(__xludf.DUMMYFUNCTION("""COMPUTED_VALUE"""),"上記記載の通り、通院を行っていないことで処方なし。")</f>
        <v>上記記載の通り、通院を行っていないことで処方なし。</v>
      </c>
      <c r="CU36" s="4"/>
      <c r="CV36" s="4"/>
      <c r="CW36" s="4"/>
      <c r="CX36" s="4" t="str">
        <f ca="1">IFERROR(__xludf.DUMMYFUNCTION("""COMPUTED_VALUE"""),"入力")</f>
        <v>入力</v>
      </c>
      <c r="CY36" s="4" t="str">
        <f ca="1">IFERROR(__xludf.DUMMYFUNCTION("""COMPUTED_VALUE"""),"無")</f>
        <v>無</v>
      </c>
      <c r="CZ36" s="4" t="str">
        <f ca="1">IFERROR(__xludf.DUMMYFUNCTION("""COMPUTED_VALUE"""),"無")</f>
        <v>無</v>
      </c>
      <c r="DA36" s="4" t="str">
        <f ca="1">IFERROR(__xludf.DUMMYFUNCTION("""COMPUTED_VALUE"""),"無")</f>
        <v>無</v>
      </c>
      <c r="DB36" s="4" t="str">
        <f ca="1">IFERROR(__xludf.DUMMYFUNCTION("""COMPUTED_VALUE"""),"なし")</f>
        <v>なし</v>
      </c>
      <c r="DC36" s="4" t="str">
        <f ca="1">IFERROR(__xludf.DUMMYFUNCTION("""COMPUTED_VALUE"""),"なし")</f>
        <v>なし</v>
      </c>
      <c r="DD36" s="4">
        <f ca="1">IFERROR(__xludf.DUMMYFUNCTION("""COMPUTED_VALUE"""),168)</f>
        <v>168</v>
      </c>
      <c r="DE36" s="4"/>
      <c r="DF36" s="4" t="str">
        <f ca="1">IFERROR(__xludf.DUMMYFUNCTION("""COMPUTED_VALUE"""),"正常")</f>
        <v>正常</v>
      </c>
      <c r="DG36" s="4" t="str">
        <f ca="1">IFERROR(__xludf.DUMMYFUNCTION("""COMPUTED_VALUE"""),"有")</f>
        <v>有</v>
      </c>
      <c r="DH36" s="4" t="str">
        <f ca="1">IFERROR(__xludf.DUMMYFUNCTION("""COMPUTED_VALUE"""),"大きい声は可")</f>
        <v>大きい声は可</v>
      </c>
      <c r="DI36" s="4" t="str">
        <f ca="1">IFERROR(__xludf.DUMMYFUNCTION("""COMPUTED_VALUE"""),"無")</f>
        <v>無</v>
      </c>
      <c r="DJ36" s="4" t="str">
        <f ca="1">IFERROR(__xludf.DUMMYFUNCTION("""COMPUTED_VALUE"""),"生まれつき右眼が失明しており眼球を切除している。現在義眼で生活されている。（朝にご自身で装着）")</f>
        <v>生まれつき右眼が失明しており眼球を切除している。現在義眼で生活されている。（朝にご自身で装着）</v>
      </c>
      <c r="DK36" s="4"/>
      <c r="DL36" s="4" t="str">
        <f ca="1">IFERROR(__xludf.DUMMYFUNCTION("""COMPUTED_VALUE"""),"入力")</f>
        <v>入力</v>
      </c>
      <c r="DM36" s="4" t="str">
        <f ca="1">IFERROR(__xludf.DUMMYFUNCTION("""COMPUTED_VALUE"""),"無")</f>
        <v>無</v>
      </c>
      <c r="DN36" s="4"/>
      <c r="DO36" s="4" t="str">
        <f ca="1">IFERROR(__xludf.DUMMYFUNCTION("""COMPUTED_VALUE"""),"作話")</f>
        <v>作話</v>
      </c>
      <c r="DP36" s="4" t="str">
        <f ca="1">IFERROR(__xludf.DUMMYFUNCTION("""COMPUTED_VALUE"""),"可能")</f>
        <v>可能</v>
      </c>
      <c r="DQ36" s="4" t="str">
        <f ca="1">IFERROR(__xludf.DUMMYFUNCTION("""COMPUTED_VALUE"""),"可能")</f>
        <v>可能</v>
      </c>
      <c r="DR36" s="4" t="str">
        <f ca="1">IFERROR(__xludf.DUMMYFUNCTION("""COMPUTED_VALUE"""),"年相応の物忘れ程度。施設入居を拒むための口実として、作話することもある。")</f>
        <v>年相応の物忘れ程度。施設入居を拒むための口実として、作話することもある。</v>
      </c>
      <c r="DS36" s="4"/>
      <c r="DT36" s="4"/>
      <c r="DU36" s="4" t="str">
        <f ca="1">IFERROR(__xludf.DUMMYFUNCTION("""COMPUTED_VALUE"""),"入力")</f>
        <v>入力</v>
      </c>
      <c r="DV36" s="4" t="str">
        <f ca="1">IFERROR(__xludf.DUMMYFUNCTION("""COMPUTED_VALUE"""),"何かにつかまればできる")</f>
        <v>何かにつかまればできる</v>
      </c>
      <c r="DW36" s="4" t="str">
        <f ca="1">IFERROR(__xludf.DUMMYFUNCTION("""COMPUTED_VALUE"""),"何かにつかまればできる")</f>
        <v>何かにつかまればできる</v>
      </c>
      <c r="DX36" s="4" t="str">
        <f ca="1">IFERROR(__xludf.DUMMYFUNCTION("""COMPUTED_VALUE"""),"自分の手で支えればできる")</f>
        <v>自分の手で支えればできる</v>
      </c>
      <c r="DY36" s="4" t="str">
        <f ca="1">IFERROR(__xludf.DUMMYFUNCTION("""COMPUTED_VALUE"""),"何かにつかまればできる")</f>
        <v>何かにつかまればできる</v>
      </c>
      <c r="DZ36" s="4" t="str">
        <f ca="1">IFERROR(__xludf.DUMMYFUNCTION("""COMPUTED_VALUE"""),"何か支えがあればできる")</f>
        <v>何か支えがあればできる</v>
      </c>
      <c r="EA36" s="4" t="str">
        <f ca="1">IFERROR(__xludf.DUMMYFUNCTION("""COMPUTED_VALUE"""),"自立")</f>
        <v>自立</v>
      </c>
      <c r="EB36" s="4" t="str">
        <f ca="1">IFERROR(__xludf.DUMMYFUNCTION("""COMPUTED_VALUE"""),"自立")</f>
        <v>自立</v>
      </c>
      <c r="EC36" s="4" t="str">
        <f ca="1">IFERROR(__xludf.DUMMYFUNCTION("""COMPUTED_VALUE"""),"独歩")</f>
        <v>独歩</v>
      </c>
      <c r="ED36" s="4" t="str">
        <f ca="1">IFERROR(__xludf.DUMMYFUNCTION("""COMPUTED_VALUE"""),"一部介助")</f>
        <v>一部介助</v>
      </c>
      <c r="EE36" s="4" t="str">
        <f ca="1">IFERROR(__xludf.DUMMYFUNCTION("""COMPUTED_VALUE"""),"独歩")</f>
        <v>独歩</v>
      </c>
      <c r="EF36" s="4" t="str">
        <f ca="1">IFERROR(__xludf.DUMMYFUNCTION("""COMPUTED_VALUE"""),"部屋の中は独歩で移動している。移動の動線は、ベッドから炬燵間、ベッドからトイレ間となっている。起居動作や移動はご自身で行うことができている。")</f>
        <v>部屋の中は独歩で移動している。移動の動線は、ベッドから炬燵間、ベッドからトイレ間となっている。起居動作や移動はご自身で行うことができている。</v>
      </c>
      <c r="EG36" s="4"/>
      <c r="EH36" s="4" t="str">
        <f ca="1">IFERROR(__xludf.DUMMYFUNCTION("""COMPUTED_VALUE"""),"入力")</f>
        <v>入力</v>
      </c>
      <c r="EI36" s="4" t="str">
        <f ca="1">IFERROR(__xludf.DUMMYFUNCTION("""COMPUTED_VALUE"""),"入力")</f>
        <v>入力</v>
      </c>
      <c r="EJ36" s="4" t="str">
        <f ca="1">IFERROR(__xludf.DUMMYFUNCTION("""COMPUTED_VALUE"""),"経口摂取")</f>
        <v>経口摂取</v>
      </c>
      <c r="EK36" s="4" t="str">
        <f ca="1">IFERROR(__xludf.DUMMYFUNCTION("""COMPUTED_VALUE"""),"自立")</f>
        <v>自立</v>
      </c>
      <c r="EL36" s="4" t="str">
        <f ca="1">IFERROR(__xludf.DUMMYFUNCTION("""COMPUTED_VALUE"""),"できる")</f>
        <v>できる</v>
      </c>
      <c r="EM36" s="4" t="str">
        <f ca="1">IFERROR(__xludf.DUMMYFUNCTION("""COMPUTED_VALUE"""),"普通")</f>
        <v>普通</v>
      </c>
      <c r="EN36" s="4" t="str">
        <f ca="1">IFERROR(__xludf.DUMMYFUNCTION("""COMPUTED_VALUE"""),"普通")</f>
        <v>普通</v>
      </c>
      <c r="EO36" s="4" t="str">
        <f ca="1">IFERROR(__xludf.DUMMYFUNCTION("""COMPUTED_VALUE"""),"無")</f>
        <v>無</v>
      </c>
      <c r="EP36" s="4" t="str">
        <f ca="1">IFERROR(__xludf.DUMMYFUNCTION("""COMPUTED_VALUE"""),"無")</f>
        <v>無</v>
      </c>
      <c r="EQ36" s="4" t="str">
        <f ca="1">IFERROR(__xludf.DUMMYFUNCTION("""COMPUTED_VALUE"""),"箸 , スプーン")</f>
        <v>箸 , スプーン</v>
      </c>
      <c r="ER36" s="4" t="str">
        <f ca="1">IFERROR(__xludf.DUMMYFUNCTION("""COMPUTED_VALUE"""),"食事は奥様が作っており、奥様と同じ形態の食事を食べられている。
奥様より食事中に時折むせることもあると言われており、嚥下の低下も考えられる。水分でむせるというより、食事でひっかかる感じがあるとのこと。（食事形態の工夫も検討）")</f>
        <v>食事は奥様が作っており、奥様と同じ形態の食事を食べられている。
奥様より食事中に時折むせることもあると言われており、嚥下の低下も考えられる。水分でむせるというより、食事でひっかかる感じがあるとのこと。（食事形態の工夫も検討）</v>
      </c>
      <c r="ES36" s="4"/>
      <c r="ET36" s="4" t="str">
        <f ca="1">IFERROR(__xludf.DUMMYFUNCTION("""COMPUTED_VALUE"""),"入力")</f>
        <v>入力</v>
      </c>
      <c r="EU36" s="4" t="str">
        <f ca="1">IFERROR(__xludf.DUMMYFUNCTION("""COMPUTED_VALUE"""),"自立")</f>
        <v>自立</v>
      </c>
      <c r="EV36" s="4" t="str">
        <f ca="1">IFERROR(__xludf.DUMMYFUNCTION("""COMPUTED_VALUE"""),"無")</f>
        <v>無</v>
      </c>
      <c r="EW36" s="4" t="str">
        <f ca="1">IFERROR(__xludf.DUMMYFUNCTION("""COMPUTED_VALUE"""),"無")</f>
        <v>無</v>
      </c>
      <c r="EX36" s="4"/>
      <c r="EY36" s="4"/>
      <c r="EZ36" s="4" t="str">
        <f ca="1">IFERROR(__xludf.DUMMYFUNCTION("""COMPUTED_VALUE"""),"朝にご自身で歯磨きを行っている。口腔ケアは１日１回、朝のみとなっている。")</f>
        <v>朝にご自身で歯磨きを行っている。口腔ケアは１日１回、朝のみとなっている。</v>
      </c>
      <c r="FA36" s="4"/>
      <c r="FB36" s="4" t="str">
        <f ca="1">IFERROR(__xludf.DUMMYFUNCTION("""COMPUTED_VALUE"""),"入力")</f>
        <v>入力</v>
      </c>
      <c r="FC36" s="4" t="str">
        <f ca="1">IFERROR(__xludf.DUMMYFUNCTION("""COMPUTED_VALUE"""),"全介助")</f>
        <v>全介助</v>
      </c>
      <c r="FD36" s="4"/>
      <c r="FE36" s="4" t="str">
        <f ca="1">IFERROR(__xludf.DUMMYFUNCTION("""COMPUTED_VALUE"""),"無")</f>
        <v>無</v>
      </c>
      <c r="FF36" s="4"/>
      <c r="FG36" s="4" t="str">
        <f ca="1">IFERROR(__xludf.DUMMYFUNCTION("""COMPUTED_VALUE"""),"自立")</f>
        <v>自立</v>
      </c>
      <c r="FH36" s="4" t="str">
        <f ca="1">IFERROR(__xludf.DUMMYFUNCTION("""COMPUTED_VALUE"""),"自立")</f>
        <v>自立</v>
      </c>
      <c r="FI36" s="4" t="str">
        <f ca="1">IFERROR(__xludf.DUMMYFUNCTION("""COMPUTED_VALUE"""),"入浴は行っておらず、週1回ヘルパーが支援に入った際に清拭を行っている。その際に更衣も行っており、更衣は基本ご自身で可能だが、手直しが必要なことが多い。")</f>
        <v>入浴は行っておらず、週1回ヘルパーが支援に入った際に清拭を行っている。その際に更衣も行っており、更衣は基本ご自身で可能だが、手直しが必要なことが多い。</v>
      </c>
      <c r="FJ36" s="4"/>
      <c r="FK36" s="4" t="str">
        <f ca="1">IFERROR(__xludf.DUMMYFUNCTION("""COMPUTED_VALUE"""),"入力")</f>
        <v>入力</v>
      </c>
      <c r="FL36" s="4" t="str">
        <f ca="1">IFERROR(__xludf.DUMMYFUNCTION("""COMPUTED_VALUE"""),"自立")</f>
        <v>自立</v>
      </c>
      <c r="FM36" s="4" t="str">
        <f ca="1">IFERROR(__xludf.DUMMYFUNCTION("""COMPUTED_VALUE"""),"有")</f>
        <v>有</v>
      </c>
      <c r="FN36" s="4" t="str">
        <f ca="1">IFERROR(__xludf.DUMMYFUNCTION("""COMPUTED_VALUE"""),"無")</f>
        <v>無</v>
      </c>
      <c r="FO36" s="4" t="str">
        <f ca="1">IFERROR(__xludf.DUMMYFUNCTION("""COMPUTED_VALUE"""),"有")</f>
        <v>有</v>
      </c>
      <c r="FP36" s="4" t="str">
        <f ca="1">IFERROR(__xludf.DUMMYFUNCTION("""COMPUTED_VALUE"""),"無")</f>
        <v>無</v>
      </c>
      <c r="FQ36" s="4"/>
      <c r="FR36" s="4" t="str">
        <f ca="1">IFERROR(__xludf.DUMMYFUNCTION("""COMPUTED_VALUE"""),"トイレ")</f>
        <v>トイレ</v>
      </c>
      <c r="FS36" s="4" t="str">
        <f ca="1">IFERROR(__xludf.DUMMYFUNCTION("""COMPUTED_VALUE"""),"トイレ")</f>
        <v>トイレ</v>
      </c>
      <c r="FT36" s="4" t="str">
        <f ca="1">IFERROR(__xludf.DUMMYFUNCTION("""COMPUTED_VALUE"""),"リハビリパンツ")</f>
        <v>リハビリパンツ</v>
      </c>
      <c r="FU36" s="4" t="str">
        <f ca="1">IFERROR(__xludf.DUMMYFUNCTION("""COMPUTED_VALUE"""),"ベッドからトイレまで近いため、移動は独歩で可能。
トイレはご自身で行うことができており、失敗もなし。ウォシュレットを使用するため清潔も保たれている。")</f>
        <v>ベッドからトイレまで近いため、移動は独歩で可能。
トイレはご自身で行うことができており、失敗もなし。ウォシュレットを使用するため清潔も保たれている。</v>
      </c>
      <c r="FV36" s="4"/>
      <c r="FW36" s="4"/>
      <c r="FX36" s="4" t="str">
        <f ca="1">IFERROR(__xludf.DUMMYFUNCTION("""COMPUTED_VALUE"""),"入力")</f>
        <v>入力</v>
      </c>
      <c r="FY36" s="4" t="str">
        <f ca="1">IFERROR(__xludf.DUMMYFUNCTION("""COMPUTED_VALUE"""),"全介助")</f>
        <v>全介助</v>
      </c>
      <c r="FZ36" s="4" t="str">
        <f ca="1">IFERROR(__xludf.DUMMYFUNCTION("""COMPUTED_VALUE"""),"全介助")</f>
        <v>全介助</v>
      </c>
      <c r="GA36" s="4" t="str">
        <f ca="1">IFERROR(__xludf.DUMMYFUNCTION("""COMPUTED_VALUE"""),"全介助")</f>
        <v>全介助</v>
      </c>
      <c r="GB36" s="4" t="str">
        <f ca="1">IFERROR(__xludf.DUMMYFUNCTION("""COMPUTED_VALUE"""),"全介助")</f>
        <v>全介助</v>
      </c>
      <c r="GC36" s="4" t="str">
        <f ca="1">IFERROR(__xludf.DUMMYFUNCTION("""COMPUTED_VALUE"""),"自立")</f>
        <v>自立</v>
      </c>
      <c r="GD36" s="4" t="str">
        <f ca="1">IFERROR(__xludf.DUMMYFUNCTION("""COMPUTED_VALUE"""),"調理や掃除、洗濯は妻が行っているが圧迫骨折となってからはなかなかできていない。買い物はどう敷地内に住む三男妻が行っている。")</f>
        <v>調理や掃除、洗濯は妻が行っているが圧迫骨折となってからはなかなかできていない。買い物はどう敷地内に住む三男妻が行っている。</v>
      </c>
      <c r="GE36" s="4"/>
      <c r="GF36" s="4"/>
      <c r="GG36" s="4" t="str">
        <f ca="1">IFERROR(__xludf.DUMMYFUNCTION("""COMPUTED_VALUE"""),"2/21ご自宅で転倒。同居する妻が起こそうとした際に、妻が圧迫骨折を呈した。現在はコルセット固定となっている。そのころから介護ができなくなりヘルパーを利用することとなった。
ヘルパーの支援では更衣やシーツ交換を行い、介護拒否はない。むしろ色々やってもらうのが当然という考え方。
奥様より「介護が大変だから施設に入れたい。」と言われており、長男や三男ともに同じ意見だが、本人は施設入居の受け入れで出来ていない。何かしらの理由を付けて入居を拒んでいた。（例えば、18歳の時に肺結核をしていて、今でも完治していないか"&amp;"ら人に移る。等）
長男様は四日市。教師をされていた。長男の言うことは比較的素直に聞くと言われている。
長男
倉田和典様
08052940423")</f>
        <v>2/21ご自宅で転倒。同居する妻が起こそうとした際に、妻が圧迫骨折を呈した。現在はコルセット固定となっている。そのころから介護ができなくなりヘルパーを利用することとなった。
ヘルパーの支援では更衣やシーツ交換を行い、介護拒否はない。むしろ色々やってもらうのが当然という考え方。
奥様より「介護が大変だから施設に入れたい。」と言われており、長男や三男ともに同じ意見だが、本人は施設入居の受け入れで出来ていない。何かしらの理由を付けて入居を拒んでいた。（例えば、18歳の時に肺結核をしていて、今でも完治していないから人に移る。等）
長男様は四日市。教師をされていた。長男の言うことは比較的素直に聞くと言われている。
長男
倉田和典様
08052940423</v>
      </c>
      <c r="GH36" s="4">
        <f ca="1">IFERROR(__xludf.DUMMYFUNCTION("""COMPUTED_VALUE"""),30)</f>
        <v>30</v>
      </c>
      <c r="GI36" s="4"/>
    </row>
    <row r="37" spans="1:191">
      <c r="A37" s="4"/>
      <c r="B37" s="4"/>
      <c r="C37" s="4" t="str">
        <f ca="1">IFERROR(__xludf.DUMMYFUNCTION("""COMPUTED_VALUE"""),"松本　よ志子")</f>
        <v>松本　よ志子</v>
      </c>
      <c r="D37" s="4" t="str">
        <f ca="1">IFERROR(__xludf.DUMMYFUNCTION("""COMPUTED_VALUE"""),"63aaea41")</f>
        <v>63aaea41</v>
      </c>
      <c r="E37" s="4"/>
      <c r="F37" s="4"/>
      <c r="G37" s="4"/>
      <c r="H37" s="4"/>
      <c r="I37" s="5">
        <f ca="1">IFERROR(__xludf.DUMMYFUNCTION("""COMPUTED_VALUE"""),45741)</f>
        <v>45741</v>
      </c>
      <c r="J37" s="4" t="str">
        <f ca="1">IFERROR(__xludf.DUMMYFUNCTION("""COMPUTED_VALUE"""),"山川　和輝")</f>
        <v>山川　和輝</v>
      </c>
      <c r="K37" s="4" t="str">
        <f ca="1">IFERROR(__xludf.DUMMYFUNCTION("""COMPUTED_VALUE"""),"新規")</f>
        <v>新規</v>
      </c>
      <c r="L37" s="4" t="str">
        <f ca="1">IFERROR(__xludf.DUMMYFUNCTION("""COMPUTED_VALUE"""),"入院先の病院")</f>
        <v>入院先の病院</v>
      </c>
      <c r="M37" s="4" t="str">
        <f ca="1">IFERROR(__xludf.DUMMYFUNCTION("""COMPUTED_VALUE"""),"自宅で独居生活をされていたが、令和7年1月中旬に第二岩崎病院へ入院。長男・次男はともに東京在住のため、退院後も身近での支援が難しく、本人より施設入居を希望されている。入院後はADLが低下し、夜間はオムツを着用していた時期もあったが、徐々に回復され、現在は歩行器を使用しての歩行が可能な状態である。")</f>
        <v>自宅で独居生活をされていたが、令和7年1月中旬に第二岩崎病院へ入院。長男・次男はともに東京在住のため、退院後も身近での支援が難しく、本人より施設入居を希望されている。入院後はADLが低下し、夜間はオムツを着用していた時期もあったが、徐々に回復され、現在は歩行器を使用しての歩行が可能な状態である。</v>
      </c>
      <c r="N37" s="4" t="str">
        <f ca="1">IFERROR(__xludf.DUMMYFUNCTION("""COMPUTED_VALUE"""),"今まで週1回程度習い事や公民館で嚥下体操を行っていたので、今後も継続したいと思っています。")</f>
        <v>今まで週1回程度習い事や公民館で嚥下体操を行っていたので、今後も継続したいと思っています。</v>
      </c>
      <c r="O37" s="4"/>
      <c r="P37" s="4"/>
      <c r="Q37" s="4" t="str">
        <f ca="1">IFERROR(__xludf.DUMMYFUNCTION("""COMPUTED_VALUE"""),"入力")</f>
        <v>入力</v>
      </c>
      <c r="R37" s="4" t="str">
        <f ca="1">IFERROR(__xludf.DUMMYFUNCTION("""COMPUTED_VALUE"""),"要介護１")</f>
        <v>要介護１</v>
      </c>
      <c r="S37" s="4" t="str">
        <f ca="1">IFERROR(__xludf.DUMMYFUNCTION("""COMPUTED_VALUE"""),"令和6年8月20日")</f>
        <v>令和6年8月20日</v>
      </c>
      <c r="T37" s="4" t="str">
        <f ca="1">IFERROR(__xludf.DUMMYFUNCTION("""COMPUTED_VALUE"""),"令和6年9月1日")</f>
        <v>令和6年9月1日</v>
      </c>
      <c r="U37" s="4" t="str">
        <f ca="1">IFERROR(__xludf.DUMMYFUNCTION("""COMPUTED_VALUE"""),"令和7年8月31日")</f>
        <v>令和7年8月31日</v>
      </c>
      <c r="V37" s="4" t="str">
        <f ca="1">IFERROR(__xludf.DUMMYFUNCTION("""COMPUTED_VALUE"""),"１割負担")</f>
        <v>１割負担</v>
      </c>
      <c r="W37" s="4" t="str">
        <f ca="1">IFERROR(__xludf.DUMMYFUNCTION("""COMPUTED_VALUE"""),"後期高齢者医療保険")</f>
        <v>後期高齢者医療保険</v>
      </c>
      <c r="X37" s="4" t="str">
        <f ca="1">IFERROR(__xludf.DUMMYFUNCTION("""COMPUTED_VALUE"""),"有")</f>
        <v>有</v>
      </c>
      <c r="Y37" s="4" t="str">
        <f ca="1">IFERROR(__xludf.DUMMYFUNCTION("""COMPUTED_VALUE"""),"3級2種")</f>
        <v>3級2種</v>
      </c>
      <c r="Z37" s="4" t="str">
        <f ca="1">IFERROR(__xludf.DUMMYFUNCTION("""COMPUTED_VALUE"""),"無")</f>
        <v>無</v>
      </c>
      <c r="AA37" s="4"/>
      <c r="AB37" s="4"/>
      <c r="AC37" s="4"/>
      <c r="AD37" s="4"/>
      <c r="AE37" s="4" t="str">
        <f ca="1">IFERROR(__xludf.DUMMYFUNCTION("""COMPUTED_VALUE"""),"入力")</f>
        <v>入力</v>
      </c>
      <c r="AF37" s="4" t="str">
        <f ca="1">IFERROR(__xludf.DUMMYFUNCTION("""COMPUTED_VALUE"""),"松本　剛")</f>
        <v>松本　剛</v>
      </c>
      <c r="AG37" s="4" t="str">
        <f ca="1">IFERROR(__xludf.DUMMYFUNCTION("""COMPUTED_VALUE"""),"長男")</f>
        <v>長男</v>
      </c>
      <c r="AH37" s="4"/>
      <c r="AI37" s="4" t="str">
        <f ca="1">IFERROR(__xludf.DUMMYFUNCTION("""COMPUTED_VALUE"""),"別居")</f>
        <v>別居</v>
      </c>
      <c r="AJ37" s="4" t="str">
        <f ca="1">IFERROR(__xludf.DUMMYFUNCTION("""COMPUTED_VALUE"""),"介護しない")</f>
        <v>介護しない</v>
      </c>
      <c r="AK37" s="4" t="str">
        <f ca="1">IFERROR(__xludf.DUMMYFUNCTION("""COMPUTED_VALUE"""),"有")</f>
        <v>有</v>
      </c>
      <c r="AL37" s="4" t="str">
        <f ca="1">IFERROR(__xludf.DUMMYFUNCTION("""COMPUTED_VALUE"""),"090-6491-1929")</f>
        <v>090-6491-1929</v>
      </c>
      <c r="AM37" s="4" t="str">
        <f ca="1">IFERROR(__xludf.DUMMYFUNCTION("""COMPUTED_VALUE"""),"東京在住。")</f>
        <v>東京在住。</v>
      </c>
      <c r="AN37" s="4"/>
      <c r="AO37" s="4"/>
      <c r="AP37" s="4"/>
      <c r="AQ37" s="4"/>
      <c r="AR37" s="4"/>
      <c r="AS37" s="4"/>
      <c r="AT37" s="4"/>
      <c r="AU37" s="4"/>
      <c r="AV37" s="4"/>
      <c r="AW37" s="4" t="str">
        <f ca="1">IFERROR(__xludf.DUMMYFUNCTION("""COMPUTED_VALUE"""),"入力")</f>
        <v>入力</v>
      </c>
      <c r="AX37" s="4" t="str">
        <f ca="1">IFERROR(__xludf.DUMMYFUNCTION("""COMPUTED_VALUE"""),"一人暮らし")</f>
        <v>一人暮らし</v>
      </c>
      <c r="AY37" s="4" t="str">
        <f ca="1">IFERROR(__xludf.DUMMYFUNCTION("""COMPUTED_VALUE"""),"集合住宅")</f>
        <v>集合住宅</v>
      </c>
      <c r="AZ37" s="4" t="str">
        <f ca="1">IFERROR(__xludf.DUMMYFUNCTION("""COMPUTED_VALUE"""),"エレベーター有")</f>
        <v>エレベーター有</v>
      </c>
      <c r="BA37" s="4" t="str">
        <f ca="1">IFERROR(__xludf.DUMMYFUNCTION("""COMPUTED_VALUE"""),"賃貸")</f>
        <v>賃貸</v>
      </c>
      <c r="BB37" s="4" t="str">
        <f ca="1">IFERROR(__xludf.DUMMYFUNCTION("""COMPUTED_VALUE"""),"有")</f>
        <v>有</v>
      </c>
      <c r="BC37" s="4" t="str">
        <f ca="1">IFERROR(__xludf.DUMMYFUNCTION("""COMPUTED_VALUE"""),"有")</f>
        <v>有</v>
      </c>
      <c r="BD37" s="4" t="str">
        <f ca="1">IFERROR(__xludf.DUMMYFUNCTION("""COMPUTED_VALUE"""),"洋式")</f>
        <v>洋式</v>
      </c>
      <c r="BE37" s="4" t="str">
        <f ca="1">IFERROR(__xludf.DUMMYFUNCTION("""COMPUTED_VALUE"""),"手すり有")</f>
        <v>手すり有</v>
      </c>
      <c r="BF37" s="4" t="str">
        <f ca="1">IFERROR(__xludf.DUMMYFUNCTION("""COMPUTED_VALUE"""),"段差無")</f>
        <v>段差無</v>
      </c>
      <c r="BG37" s="4" t="str">
        <f ca="1">IFERROR(__xludf.DUMMYFUNCTION("""COMPUTED_VALUE"""),"無")</f>
        <v>無</v>
      </c>
      <c r="BH37" s="4"/>
      <c r="BI37" s="4" t="str">
        <f ca="1">IFERROR(__xludf.DUMMYFUNCTION("""COMPUTED_VALUE"""),"リクライニングベッド")</f>
        <v>リクライニングベッド</v>
      </c>
      <c r="BJ37" s="4" t="str">
        <f ca="1">IFERROR(__xludf.DUMMYFUNCTION("""COMPUTED_VALUE"""),"無")</f>
        <v>無</v>
      </c>
      <c r="BK37" s="4" t="str">
        <f ca="1">IFERROR(__xludf.DUMMYFUNCTION("""COMPUTED_VALUE"""),"無")</f>
        <v>無</v>
      </c>
      <c r="BL37" s="4" t="str">
        <f ca="1">IFERROR(__xludf.DUMMYFUNCTION("""COMPUTED_VALUE"""),"無")</f>
        <v>無</v>
      </c>
      <c r="BM37" s="4" t="str">
        <f ca="1">IFERROR(__xludf.DUMMYFUNCTION("""COMPUTED_VALUE"""),"無")</f>
        <v>無</v>
      </c>
      <c r="BN37" s="4"/>
      <c r="BO37" s="4" t="str">
        <f ca="1">IFERROR(__xludf.DUMMYFUNCTION("""COMPUTED_VALUE"""),"入力")</f>
        <v>入力</v>
      </c>
      <c r="BP37" s="4"/>
      <c r="BQ37" s="4"/>
      <c r="BR37" s="4"/>
      <c r="BS37" s="4"/>
      <c r="BT37" s="4"/>
      <c r="BU37" s="4"/>
      <c r="BV37" s="4"/>
      <c r="BW37" s="4" t="str">
        <f ca="1">IFERROR(__xludf.DUMMYFUNCTION("""COMPUTED_VALUE"""),"入力")</f>
        <v>入力</v>
      </c>
      <c r="BX37" s="4" t="str">
        <f ca="1">IFERROR(__xludf.DUMMYFUNCTION("""COMPUTED_VALUE"""),"廃用症候群")</f>
        <v>廃用症候群</v>
      </c>
      <c r="BY37" s="4" t="str">
        <f ca="1">IFERROR(__xludf.DUMMYFUNCTION("""COMPUTED_VALUE"""),"コロナ後の廃用症候群")</f>
        <v>コロナ後の廃用症候群</v>
      </c>
      <c r="BZ37" s="4"/>
      <c r="CA37" s="4"/>
      <c r="CB37" s="4"/>
      <c r="CC37" s="4"/>
      <c r="CD37" s="4"/>
      <c r="CE37" s="4"/>
      <c r="CF37" s="4"/>
      <c r="CG37" s="4"/>
      <c r="CH37" s="4"/>
      <c r="CI37" s="4"/>
      <c r="CJ37" s="4" t="str">
        <f ca="1">IFERROR(__xludf.DUMMYFUNCTION("""COMPUTED_VALUE"""),"三重大学病院(甲状腺、リウマチ）へ定期受診。岩崎(内分泌）へ定期受診。内服薬を処方して頂いている。
退院後も、介護タクシーで岩崎、三重大へ通院する。")</f>
        <v>三重大学病院(甲状腺、リウマチ）へ定期受診。岩崎(内分泌）へ定期受診。内服薬を処方して頂いている。
退院後も、介護タクシーで岩崎、三重大へ通院する。</v>
      </c>
      <c r="CK37" s="4"/>
      <c r="CL37" s="4"/>
      <c r="CM37" s="4"/>
      <c r="CN37" s="4"/>
      <c r="CO37" s="4"/>
      <c r="CP37" s="4"/>
      <c r="CQ37" s="4"/>
      <c r="CR37" s="4"/>
      <c r="CS37" s="4" t="str">
        <f ca="1">IFERROR(__xludf.DUMMYFUNCTION("""COMPUTED_VALUE"""),"リウマチ(35歳）　白内障(20年前）手術ずみ）　糖尿病(40歳）　甲状腺(30年前）")</f>
        <v>リウマチ(35歳）　白内障(20年前）手術ずみ）　糖尿病(40歳）　甲状腺(30年前）</v>
      </c>
      <c r="CT37" s="4"/>
      <c r="CU37" s="4"/>
      <c r="CV37" s="4"/>
      <c r="CW37" s="4"/>
      <c r="CX37" s="4" t="str">
        <f ca="1">IFERROR(__xludf.DUMMYFUNCTION("""COMPUTED_VALUE"""),"入力")</f>
        <v>入力</v>
      </c>
      <c r="CY37" s="4" t="str">
        <f ca="1">IFERROR(__xludf.DUMMYFUNCTION("""COMPUTED_VALUE"""),"無")</f>
        <v>無</v>
      </c>
      <c r="CZ37" s="4" t="str">
        <f ca="1">IFERROR(__xludf.DUMMYFUNCTION("""COMPUTED_VALUE"""),"無")</f>
        <v>無</v>
      </c>
      <c r="DA37" s="4" t="str">
        <f ca="1">IFERROR(__xludf.DUMMYFUNCTION("""COMPUTED_VALUE"""),"無")</f>
        <v>無</v>
      </c>
      <c r="DB37" s="4" t="str">
        <f ca="1">IFERROR(__xludf.DUMMYFUNCTION("""COMPUTED_VALUE"""),"なし")</f>
        <v>なし</v>
      </c>
      <c r="DC37" s="4" t="str">
        <f ca="1">IFERROR(__xludf.DUMMYFUNCTION("""COMPUTED_VALUE"""),"肘関節から先に痛み")</f>
        <v>肘関節から先に痛み</v>
      </c>
      <c r="DD37" s="4"/>
      <c r="DE37" s="4"/>
      <c r="DF37" s="4" t="str">
        <f ca="1">IFERROR(__xludf.DUMMYFUNCTION("""COMPUTED_VALUE"""),"正常")</f>
        <v>正常</v>
      </c>
      <c r="DG37" s="4" t="str">
        <f ca="1">IFERROR(__xludf.DUMMYFUNCTION("""COMPUTED_VALUE"""),"無")</f>
        <v>無</v>
      </c>
      <c r="DH37" s="4" t="str">
        <f ca="1">IFERROR(__xludf.DUMMYFUNCTION("""COMPUTED_VALUE"""),"正常")</f>
        <v>正常</v>
      </c>
      <c r="DI37" s="4" t="str">
        <f ca="1">IFERROR(__xludf.DUMMYFUNCTION("""COMPUTED_VALUE"""),"無")</f>
        <v>無</v>
      </c>
      <c r="DJ37" s="4"/>
      <c r="DK37" s="4"/>
      <c r="DL37" s="4"/>
      <c r="DM37" s="4"/>
      <c r="DN37" s="4"/>
      <c r="DO37" s="4"/>
      <c r="DP37" s="4"/>
      <c r="DQ37" s="4"/>
      <c r="DR37" s="4"/>
      <c r="DS37" s="4"/>
      <c r="DT37" s="4"/>
      <c r="DU37" s="4" t="str">
        <f ca="1">IFERROR(__xludf.DUMMYFUNCTION("""COMPUTED_VALUE"""),"入力")</f>
        <v>入力</v>
      </c>
      <c r="DV37" s="4" t="str">
        <f ca="1">IFERROR(__xludf.DUMMYFUNCTION("""COMPUTED_VALUE"""),"何かにつかまればできる")</f>
        <v>何かにつかまればできる</v>
      </c>
      <c r="DW37" s="4" t="str">
        <f ca="1">IFERROR(__xludf.DUMMYFUNCTION("""COMPUTED_VALUE"""),"何かにつかまればできる")</f>
        <v>何かにつかまればできる</v>
      </c>
      <c r="DX37" s="4" t="str">
        <f ca="1">IFERROR(__xludf.DUMMYFUNCTION("""COMPUTED_VALUE"""),"自分の手で支えればできる")</f>
        <v>自分の手で支えればできる</v>
      </c>
      <c r="DY37" s="4" t="str">
        <f ca="1">IFERROR(__xludf.DUMMYFUNCTION("""COMPUTED_VALUE"""),"何かにつかまればできる")</f>
        <v>何かにつかまればできる</v>
      </c>
      <c r="DZ37" s="4" t="str">
        <f ca="1">IFERROR(__xludf.DUMMYFUNCTION("""COMPUTED_VALUE"""),"何か支えがあればできる")</f>
        <v>何か支えがあればできる</v>
      </c>
      <c r="EA37" s="4" t="str">
        <f ca="1">IFERROR(__xludf.DUMMYFUNCTION("""COMPUTED_VALUE"""),"自立")</f>
        <v>自立</v>
      </c>
      <c r="EB37" s="4" t="str">
        <f ca="1">IFERROR(__xludf.DUMMYFUNCTION("""COMPUTED_VALUE"""),"自立")</f>
        <v>自立</v>
      </c>
      <c r="EC37" s="4" t="str">
        <f ca="1">IFERROR(__xludf.DUMMYFUNCTION("""COMPUTED_VALUE"""),"歩行器")</f>
        <v>歩行器</v>
      </c>
      <c r="ED37" s="4"/>
      <c r="EE37" s="4"/>
      <c r="EF37" s="4" t="str">
        <f ca="1">IFERROR(__xludf.DUMMYFUNCTION("""COMPUTED_VALUE"""),"30mくらい
腰が曲がってしまう。
リハビリで、独歩の練習も行う。")</f>
        <v>30mくらい
腰が曲がってしまう。
リハビリで、独歩の練習も行う。</v>
      </c>
      <c r="EG37" s="4"/>
      <c r="EH37" s="4" t="str">
        <f ca="1">IFERROR(__xludf.DUMMYFUNCTION("""COMPUTED_VALUE"""),"入力")</f>
        <v>入力</v>
      </c>
      <c r="EI37" s="4" t="str">
        <f ca="1">IFERROR(__xludf.DUMMYFUNCTION("""COMPUTED_VALUE"""),"入力")</f>
        <v>入力</v>
      </c>
      <c r="EJ37" s="4" t="str">
        <f ca="1">IFERROR(__xludf.DUMMYFUNCTION("""COMPUTED_VALUE"""),"経口摂取")</f>
        <v>経口摂取</v>
      </c>
      <c r="EK37" s="4" t="str">
        <f ca="1">IFERROR(__xludf.DUMMYFUNCTION("""COMPUTED_VALUE"""),"自立")</f>
        <v>自立</v>
      </c>
      <c r="EL37" s="4" t="str">
        <f ca="1">IFERROR(__xludf.DUMMYFUNCTION("""COMPUTED_VALUE"""),"できる")</f>
        <v>できる</v>
      </c>
      <c r="EM37" s="4" t="str">
        <f ca="1">IFERROR(__xludf.DUMMYFUNCTION("""COMPUTED_VALUE"""),"全粥")</f>
        <v>全粥</v>
      </c>
      <c r="EN37" s="4" t="str">
        <f ca="1">IFERROR(__xludf.DUMMYFUNCTION("""COMPUTED_VALUE"""),"普通")</f>
        <v>普通</v>
      </c>
      <c r="EO37" s="4" t="str">
        <f ca="1">IFERROR(__xludf.DUMMYFUNCTION("""COMPUTED_VALUE"""),"無")</f>
        <v>無</v>
      </c>
      <c r="EP37" s="4" t="str">
        <f ca="1">IFERROR(__xludf.DUMMYFUNCTION("""COMPUTED_VALUE"""),"有")</f>
        <v>有</v>
      </c>
      <c r="EQ37" s="4" t="str">
        <f ca="1">IFERROR(__xludf.DUMMYFUNCTION("""COMPUTED_VALUE"""),"箸 , スプーン")</f>
        <v>箸 , スプーン</v>
      </c>
      <c r="ER37" s="4" t="str">
        <f ca="1">IFERROR(__xludf.DUMMYFUNCTION("""COMPUTED_VALUE"""),"糖尿病食　揚げ物禁止　カレー
柔らかめの副食
なぜ揚げ物禁止なのか")</f>
        <v>糖尿病食　揚げ物禁止　カレー
柔らかめの副食
なぜ揚げ物禁止なのか</v>
      </c>
      <c r="ES37" s="4"/>
      <c r="ET37" s="4" t="str">
        <f ca="1">IFERROR(__xludf.DUMMYFUNCTION("""COMPUTED_VALUE"""),"入力")</f>
        <v>入力</v>
      </c>
      <c r="EU37" s="4" t="str">
        <f ca="1">IFERROR(__xludf.DUMMYFUNCTION("""COMPUTED_VALUE"""),"自立")</f>
        <v>自立</v>
      </c>
      <c r="EV37" s="4" t="str">
        <f ca="1">IFERROR(__xludf.DUMMYFUNCTION("""COMPUTED_VALUE"""),"有")</f>
        <v>有</v>
      </c>
      <c r="EW37" s="4" t="str">
        <f ca="1">IFERROR(__xludf.DUMMYFUNCTION("""COMPUTED_VALUE"""),"無")</f>
        <v>無</v>
      </c>
      <c r="EX37" s="4"/>
      <c r="EY37" s="4"/>
      <c r="EZ37" s="4" t="str">
        <f ca="1">IFERROR(__xludf.DUMMYFUNCTION("""COMPUTED_VALUE"""),"毎食後。
朝夜はきちんと。歯間ブラシも使用。
少し気になるところはある。")</f>
        <v>毎食後。
朝夜はきちんと。歯間ブラシも使用。
少し気になるところはある。</v>
      </c>
      <c r="FA37" s="4"/>
      <c r="FB37" s="4" t="str">
        <f ca="1">IFERROR(__xludf.DUMMYFUNCTION("""COMPUTED_VALUE"""),"入力")</f>
        <v>入力</v>
      </c>
      <c r="FC37" s="4" t="str">
        <f ca="1">IFERROR(__xludf.DUMMYFUNCTION("""COMPUTED_VALUE"""),"一部介助")</f>
        <v>一部介助</v>
      </c>
      <c r="FD37" s="4" t="str">
        <f ca="1">IFERROR(__xludf.DUMMYFUNCTION("""COMPUTED_VALUE"""),"一般浴")</f>
        <v>一般浴</v>
      </c>
      <c r="FE37" s="4" t="str">
        <f ca="1">IFERROR(__xludf.DUMMYFUNCTION("""COMPUTED_VALUE"""),"無")</f>
        <v>無</v>
      </c>
      <c r="FF37" s="4"/>
      <c r="FG37" s="4"/>
      <c r="FH37" s="4"/>
      <c r="FI37" s="4" t="str">
        <f ca="1">IFERROR(__xludf.DUMMYFUNCTION("""COMPUTED_VALUE"""),"頭は左手で。今は背中だけ洗ってもらっている。
ボタンはなしのもの。")</f>
        <v>頭は左手で。今は背中だけ洗ってもらっている。
ボタンはなしのもの。</v>
      </c>
      <c r="FJ37" s="4"/>
      <c r="FK37" s="4" t="str">
        <f ca="1">IFERROR(__xludf.DUMMYFUNCTION("""COMPUTED_VALUE"""),"入力")</f>
        <v>入力</v>
      </c>
      <c r="FL37" s="4" t="str">
        <f ca="1">IFERROR(__xludf.DUMMYFUNCTION("""COMPUTED_VALUE"""),"自立")</f>
        <v>自立</v>
      </c>
      <c r="FM37" s="4" t="str">
        <f ca="1">IFERROR(__xludf.DUMMYFUNCTION("""COMPUTED_VALUE"""),"有")</f>
        <v>有</v>
      </c>
      <c r="FN37" s="4" t="str">
        <f ca="1">IFERROR(__xludf.DUMMYFUNCTION("""COMPUTED_VALUE"""),"無")</f>
        <v>無</v>
      </c>
      <c r="FO37" s="4" t="str">
        <f ca="1">IFERROR(__xludf.DUMMYFUNCTION("""COMPUTED_VALUE"""),"有")</f>
        <v>有</v>
      </c>
      <c r="FP37" s="4" t="str">
        <f ca="1">IFERROR(__xludf.DUMMYFUNCTION("""COMPUTED_VALUE"""),"無")</f>
        <v>無</v>
      </c>
      <c r="FQ37" s="4"/>
      <c r="FR37" s="4" t="str">
        <f ca="1">IFERROR(__xludf.DUMMYFUNCTION("""COMPUTED_VALUE"""),"トイレ")</f>
        <v>トイレ</v>
      </c>
      <c r="FS37" s="4" t="str">
        <f ca="1">IFERROR(__xludf.DUMMYFUNCTION("""COMPUTED_VALUE"""),"トイレ")</f>
        <v>トイレ</v>
      </c>
      <c r="FT37" s="4" t="str">
        <f ca="1">IFERROR(__xludf.DUMMYFUNCTION("""COMPUTED_VALUE"""),"リハビリパンツ , 小パット")</f>
        <v>リハビリパンツ , 小パット</v>
      </c>
      <c r="FU37" s="4" t="str">
        <f ca="1">IFERROR(__xludf.DUMMYFUNCTION("""COMPUTED_VALUE"""),"歩行器で")</f>
        <v>歩行器で</v>
      </c>
      <c r="FV37" s="4"/>
      <c r="FW37" s="4"/>
      <c r="FX37" s="4"/>
      <c r="FY37" s="4"/>
      <c r="FZ37" s="4"/>
      <c r="GA37" s="4"/>
      <c r="GB37" s="4"/>
      <c r="GC37" s="4"/>
      <c r="GD37" s="4"/>
      <c r="GE37" s="4"/>
      <c r="GF37" s="4"/>
      <c r="GG37" s="4" t="str">
        <f ca="1">IFERROR(__xludf.DUMMYFUNCTION("""COMPUTED_VALUE"""),"4/13 
長男　会社員　海外にも
次男　国家公務員　税理士
通帳も息子へ
オルミエン、
4/5.6で契約　12、13くらいで退院。")</f>
        <v>4/13 
長男　会社員　海外にも
次男　国家公務員　税理士
通帳も息子へ
オルミエン、
4/5.6で契約　12、13くらいで退院。</v>
      </c>
      <c r="GH37" s="4">
        <f ca="1">IFERROR(__xludf.DUMMYFUNCTION("""COMPUTED_VALUE"""),30)</f>
        <v>30</v>
      </c>
      <c r="GI37" s="4"/>
    </row>
    <row r="38" spans="1:191">
      <c r="A38" s="4"/>
      <c r="B38" s="4"/>
      <c r="C38" s="4" t="str">
        <f ca="1">IFERROR(__xludf.DUMMYFUNCTION("""COMPUTED_VALUE"""),"吉川　たね子")</f>
        <v>吉川　たね子</v>
      </c>
      <c r="D38" s="4" t="str">
        <f ca="1">IFERROR(__xludf.DUMMYFUNCTION("""COMPUTED_VALUE"""),"915c47fd")</f>
        <v>915c47fd</v>
      </c>
      <c r="E38" s="4"/>
      <c r="F38" s="4"/>
      <c r="G38" s="4"/>
      <c r="H38" s="4"/>
      <c r="I38" s="5">
        <f ca="1">IFERROR(__xludf.DUMMYFUNCTION("""COMPUTED_VALUE"""),45780)</f>
        <v>45780</v>
      </c>
      <c r="J38" s="4" t="str">
        <f ca="1">IFERROR(__xludf.DUMMYFUNCTION("""COMPUTED_VALUE"""),"山川　和輝")</f>
        <v>山川　和輝</v>
      </c>
      <c r="K38" s="4" t="str">
        <f ca="1">IFERROR(__xludf.DUMMYFUNCTION("""COMPUTED_VALUE"""),"新規")</f>
        <v>新規</v>
      </c>
      <c r="L38" s="4" t="str">
        <f ca="1">IFERROR(__xludf.DUMMYFUNCTION("""COMPUTED_VALUE"""),"病院")</f>
        <v>病院</v>
      </c>
      <c r="M38" s="4" t="str">
        <f ca="1">IFERROR(__xludf.DUMMYFUNCTION("""COMPUTED_VALUE"""),"娘と孫2人でご自宅で同居されていたが、令和7年1月14日に洗濯物を干していた際に足がもつれ転倒。右大腿骨頸部骨折と診断され、1月22日に人口骨頭置換術を施行。2月18日にリハビリ目的で大門病院へ転院。その後、自宅で生活することは難しく安濃津ろまんへ申し込まれた。")</f>
        <v>娘と孫2人でご自宅で同居されていたが、令和7年1月14日に洗濯物を干していた際に足がもつれ転倒。右大腿骨頸部骨折と診断され、1月22日に人口骨頭置換術を施行。2月18日にリハビリ目的で大門病院へ転院。その後、自宅で生活することは難しく安濃津ろまんへ申し込まれた。</v>
      </c>
      <c r="N38" s="4" t="str">
        <f ca="1">IFERROR(__xludf.DUMMYFUNCTION("""COMPUTED_VALUE"""),"安濃津ろまんに入居したあともリハビリを続けたい。")</f>
        <v>安濃津ろまんに入居したあともリハビリを続けたい。</v>
      </c>
      <c r="O38" s="4" t="str">
        <f ca="1">IFERROR(__xludf.DUMMYFUNCTION("""COMPUTED_VALUE"""),"安濃津ろまんで安心して生活してもらいたいと思っている。")</f>
        <v>安濃津ろまんで安心して生活してもらいたいと思っている。</v>
      </c>
      <c r="P38" s="4"/>
      <c r="Q38" s="4" t="str">
        <f ca="1">IFERROR(__xludf.DUMMYFUNCTION("""COMPUTED_VALUE"""),"入力")</f>
        <v>入力</v>
      </c>
      <c r="R38" s="4" t="str">
        <f ca="1">IFERROR(__xludf.DUMMYFUNCTION("""COMPUTED_VALUE"""),"要介護３")</f>
        <v>要介護３</v>
      </c>
      <c r="S38" s="4"/>
      <c r="T38" s="4"/>
      <c r="U38" s="4"/>
      <c r="V38" s="4" t="str">
        <f ca="1">IFERROR(__xludf.DUMMYFUNCTION("""COMPUTED_VALUE"""),"２割負担")</f>
        <v>２割負担</v>
      </c>
      <c r="W38" s="4"/>
      <c r="X38" s="4"/>
      <c r="Y38" s="4"/>
      <c r="Z38" s="4"/>
      <c r="AA38" s="4"/>
      <c r="AB38" s="4"/>
      <c r="AC38" s="4"/>
      <c r="AD38" s="4"/>
      <c r="AE38" s="4" t="str">
        <f ca="1">IFERROR(__xludf.DUMMYFUNCTION("""COMPUTED_VALUE"""),"入力")</f>
        <v>入力</v>
      </c>
      <c r="AF38" s="4" t="str">
        <f ca="1">IFERROR(__xludf.DUMMYFUNCTION("""COMPUTED_VALUE"""),"吉川　徹")</f>
        <v>吉川　徹</v>
      </c>
      <c r="AG38" s="4" t="str">
        <f ca="1">IFERROR(__xludf.DUMMYFUNCTION("""COMPUTED_VALUE"""),"長男")</f>
        <v>長男</v>
      </c>
      <c r="AH38" s="4"/>
      <c r="AI38" s="4" t="str">
        <f ca="1">IFERROR(__xludf.DUMMYFUNCTION("""COMPUTED_VALUE"""),"別居")</f>
        <v>別居</v>
      </c>
      <c r="AJ38" s="4" t="str">
        <f ca="1">IFERROR(__xludf.DUMMYFUNCTION("""COMPUTED_VALUE"""),"介護する")</f>
        <v>介護する</v>
      </c>
      <c r="AK38" s="4"/>
      <c r="AL38" s="4" t="str">
        <f ca="1">IFERROR(__xludf.DUMMYFUNCTION("""COMPUTED_VALUE"""),"090-5854-2441")</f>
        <v>090-5854-2441</v>
      </c>
      <c r="AM38" s="4" t="str">
        <f ca="1">IFERROR(__xludf.DUMMYFUNCTION("""COMPUTED_VALUE"""),"KP")</f>
        <v>KP</v>
      </c>
      <c r="AN38" s="4" t="str">
        <f ca="1">IFERROR(__xludf.DUMMYFUNCTION("""COMPUTED_VALUE"""),"井上　朱美")</f>
        <v>井上　朱美</v>
      </c>
      <c r="AO38" s="4" t="str">
        <f ca="1">IFERROR(__xludf.DUMMYFUNCTION("""COMPUTED_VALUE"""),"長女")</f>
        <v>長女</v>
      </c>
      <c r="AP38" s="4"/>
      <c r="AQ38" s="4" t="str">
        <f ca="1">IFERROR(__xludf.DUMMYFUNCTION("""COMPUTED_VALUE"""),"同居")</f>
        <v>同居</v>
      </c>
      <c r="AR38" s="4" t="str">
        <f ca="1">IFERROR(__xludf.DUMMYFUNCTION("""COMPUTED_VALUE"""),"介護する")</f>
        <v>介護する</v>
      </c>
      <c r="AS38" s="4"/>
      <c r="AT38" s="4"/>
      <c r="AU38" s="4" t="str">
        <f ca="1">IFERROR(__xludf.DUMMYFUNCTION("""COMPUTED_VALUE"""),"注意")</f>
        <v>注意</v>
      </c>
      <c r="AV38" s="4"/>
      <c r="AW38" s="4" t="str">
        <f ca="1">IFERROR(__xludf.DUMMYFUNCTION("""COMPUTED_VALUE"""),"入力")</f>
        <v>入力</v>
      </c>
      <c r="AX38" s="4"/>
      <c r="AY38" s="4"/>
      <c r="AZ38" s="4"/>
      <c r="BA38" s="4"/>
      <c r="BB38" s="4"/>
      <c r="BC38" s="4"/>
      <c r="BD38" s="4"/>
      <c r="BE38" s="4"/>
      <c r="BF38" s="4"/>
      <c r="BG38" s="4"/>
      <c r="BH38" s="4"/>
      <c r="BI38" s="4"/>
      <c r="BJ38" s="4"/>
      <c r="BK38" s="4"/>
      <c r="BL38" s="4"/>
      <c r="BM38" s="4"/>
      <c r="BN38" s="4"/>
      <c r="BO38" s="4"/>
      <c r="BP38" s="4"/>
      <c r="BQ38" s="4"/>
      <c r="BR38" s="4"/>
      <c r="BS38" s="4"/>
      <c r="BT38" s="4"/>
      <c r="BU38" s="4"/>
      <c r="BV38" s="4"/>
      <c r="BW38" s="4" t="str">
        <f ca="1">IFERROR(__xludf.DUMMYFUNCTION("""COMPUTED_VALUE"""),"入力")</f>
        <v>入力</v>
      </c>
      <c r="BX38" s="4" t="str">
        <f ca="1">IFERROR(__xludf.DUMMYFUNCTION("""COMPUTED_VALUE"""),"右大腿骨頸部骨折（OPE1/22：人工骨頭置換術）")</f>
        <v>右大腿骨頸部骨折（OPE1/22：人工骨頭置換術）</v>
      </c>
      <c r="BY38" s="4" t="str">
        <f ca="1">IFERROR(__xludf.DUMMYFUNCTION("""COMPUTED_VALUE"""),"令和7年1月14日")</f>
        <v>令和7年1月14日</v>
      </c>
      <c r="BZ38" s="4"/>
      <c r="CA38" s="4"/>
      <c r="CB38" s="4"/>
      <c r="CC38" s="4"/>
      <c r="CD38" s="4"/>
      <c r="CE38" s="4"/>
      <c r="CF38" s="4"/>
      <c r="CG38" s="4"/>
      <c r="CH38" s="4"/>
      <c r="CI38" s="4"/>
      <c r="CJ38" s="4" t="str">
        <f ca="1">IFERROR(__xludf.DUMMYFUNCTION("""COMPUTED_VALUE"""),"大門病院退院後の主治医は、加藤医院となる。")</f>
        <v>大門病院退院後の主治医は、加藤医院となる。</v>
      </c>
      <c r="CK38" s="4"/>
      <c r="CL38" s="4"/>
      <c r="CM38" s="4"/>
      <c r="CN38" s="4"/>
      <c r="CO38" s="4"/>
      <c r="CP38" s="4"/>
      <c r="CQ38" s="4"/>
      <c r="CR38" s="4"/>
      <c r="CS38" s="4" t="str">
        <f ca="1">IFERROR(__xludf.DUMMYFUNCTION("""COMPUTED_VALUE"""),"大球性貧血（時期不詳）")</f>
        <v>大球性貧血（時期不詳）</v>
      </c>
      <c r="CT38" s="4" t="str">
        <f ca="1">IFERROR(__xludf.DUMMYFUNCTION("""COMPUTED_VALUE"""),"今後ローレル薬局契約
・カンデサルタンOD錠
・アムロジピンOD錠
・ビソプロロールフマル酸塩錠
・リクシアナOD錠
・デノタスチュアブル配合錠")</f>
        <v>今後ローレル薬局契約
・カンデサルタンOD錠
・アムロジピンOD錠
・ビソプロロールフマル酸塩錠
・リクシアナOD錠
・デノタスチュアブル配合錠</v>
      </c>
      <c r="CU38" s="4"/>
      <c r="CV38" s="4"/>
      <c r="CW38" s="4"/>
      <c r="CX38" s="4" t="str">
        <f ca="1">IFERROR(__xludf.DUMMYFUNCTION("""COMPUTED_VALUE"""),"入力")</f>
        <v>入力</v>
      </c>
      <c r="CY38" s="4" t="str">
        <f ca="1">IFERROR(__xludf.DUMMYFUNCTION("""COMPUTED_VALUE"""),"無")</f>
        <v>無</v>
      </c>
      <c r="CZ38" s="4" t="str">
        <f ca="1">IFERROR(__xludf.DUMMYFUNCTION("""COMPUTED_VALUE"""),"無")</f>
        <v>無</v>
      </c>
      <c r="DA38" s="4" t="str">
        <f ca="1">IFERROR(__xludf.DUMMYFUNCTION("""COMPUTED_VALUE"""),"無")</f>
        <v>無</v>
      </c>
      <c r="DB38" s="4" t="str">
        <f ca="1">IFERROR(__xludf.DUMMYFUNCTION("""COMPUTED_VALUE"""),"無")</f>
        <v>無</v>
      </c>
      <c r="DC38" s="4" t="str">
        <f ca="1">IFERROR(__xludf.DUMMYFUNCTION("""COMPUTED_VALUE"""),"無")</f>
        <v>無</v>
      </c>
      <c r="DD38" s="4"/>
      <c r="DE38" s="4"/>
      <c r="DF38" s="4" t="str">
        <f ca="1">IFERROR(__xludf.DUMMYFUNCTION("""COMPUTED_VALUE"""),"正常")</f>
        <v>正常</v>
      </c>
      <c r="DG38" s="4" t="str">
        <f ca="1">IFERROR(__xludf.DUMMYFUNCTION("""COMPUTED_VALUE"""),"無")</f>
        <v>無</v>
      </c>
      <c r="DH38" s="4" t="str">
        <f ca="1">IFERROR(__xludf.DUMMYFUNCTION("""COMPUTED_VALUE"""),"正常")</f>
        <v>正常</v>
      </c>
      <c r="DI38" s="4" t="str">
        <f ca="1">IFERROR(__xludf.DUMMYFUNCTION("""COMPUTED_VALUE"""),"無")</f>
        <v>無</v>
      </c>
      <c r="DJ38" s="4" t="str">
        <f ca="1">IFERROR(__xludf.DUMMYFUNCTION("""COMPUTED_VALUE"""),"右大腿骨に人口骨頭置換術されており、脱臼姿位に注意する必要がある。無意識で、脱臼姿位を取ることが多い。（股関節内転内旋屈曲位）")</f>
        <v>右大腿骨に人口骨頭置換術されており、脱臼姿位に注意する必要がある。無意識で、脱臼姿位を取ることが多い。（股関節内転内旋屈曲位）</v>
      </c>
      <c r="DK38" s="4"/>
      <c r="DL38" s="4" t="str">
        <f ca="1">IFERROR(__xludf.DUMMYFUNCTION("""COMPUTED_VALUE"""),"入力")</f>
        <v>入力</v>
      </c>
      <c r="DM38" s="4" t="str">
        <f ca="1">IFERROR(__xludf.DUMMYFUNCTION("""COMPUTED_VALUE"""),"有")</f>
        <v>有</v>
      </c>
      <c r="DN38" s="4" t="str">
        <f ca="1">IFERROR(__xludf.DUMMYFUNCTION("""COMPUTED_VALUE"""),"軽度")</f>
        <v>軽度</v>
      </c>
      <c r="DO38" s="4" t="str">
        <f ca="1">IFERROR(__xludf.DUMMYFUNCTION("""COMPUTED_VALUE"""),"感情の不安定")</f>
        <v>感情の不安定</v>
      </c>
      <c r="DP38" s="4" t="str">
        <f ca="1">IFERROR(__xludf.DUMMYFUNCTION("""COMPUTED_VALUE"""),"可能")</f>
        <v>可能</v>
      </c>
      <c r="DQ38" s="4" t="str">
        <f ca="1">IFERROR(__xludf.DUMMYFUNCTION("""COMPUTED_VALUE"""),"可能")</f>
        <v>可能</v>
      </c>
      <c r="DR38" s="4" t="str">
        <f ca="1">IFERROR(__xludf.DUMMYFUNCTION("""COMPUTED_VALUE"""),"日常会話や意思の疎通は可能なものの、年相応の認知機能の低下はありい。また家庭の問題で、精神や感情の乱れが大きい状態。")</f>
        <v>日常会話や意思の疎通は可能なものの、年相応の認知機能の低下はありい。また家庭の問題で、精神や感情の乱れが大きい状態。</v>
      </c>
      <c r="DS38" s="4"/>
      <c r="DT38" s="4"/>
      <c r="DU38" s="4" t="str">
        <f ca="1">IFERROR(__xludf.DUMMYFUNCTION("""COMPUTED_VALUE"""),"入力")</f>
        <v>入力</v>
      </c>
      <c r="DV38" s="4" t="str">
        <f ca="1">IFERROR(__xludf.DUMMYFUNCTION("""COMPUTED_VALUE"""),"何かにつかまればできる")</f>
        <v>何かにつかまればできる</v>
      </c>
      <c r="DW38" s="4" t="str">
        <f ca="1">IFERROR(__xludf.DUMMYFUNCTION("""COMPUTED_VALUE"""),"何かにつかまればできる")</f>
        <v>何かにつかまればできる</v>
      </c>
      <c r="DX38" s="4" t="str">
        <f ca="1">IFERROR(__xludf.DUMMYFUNCTION("""COMPUTED_VALUE"""),"自分の手で支えればできる")</f>
        <v>自分の手で支えればできる</v>
      </c>
      <c r="DY38" s="4" t="str">
        <f ca="1">IFERROR(__xludf.DUMMYFUNCTION("""COMPUTED_VALUE"""),"何かにつかまればできる")</f>
        <v>何かにつかまればできる</v>
      </c>
      <c r="DZ38" s="4" t="str">
        <f ca="1">IFERROR(__xludf.DUMMYFUNCTION("""COMPUTED_VALUE"""),"何か支えがあればできる")</f>
        <v>何か支えがあればできる</v>
      </c>
      <c r="EA38" s="4" t="str">
        <f ca="1">IFERROR(__xludf.DUMMYFUNCTION("""COMPUTED_VALUE"""),"見守り")</f>
        <v>見守り</v>
      </c>
      <c r="EB38" s="4" t="str">
        <f ca="1">IFERROR(__xludf.DUMMYFUNCTION("""COMPUTED_VALUE"""),"見守り")</f>
        <v>見守り</v>
      </c>
      <c r="EC38" s="4" t="str">
        <f ca="1">IFERROR(__xludf.DUMMYFUNCTION("""COMPUTED_VALUE"""),"歩行器")</f>
        <v>歩行器</v>
      </c>
      <c r="ED38" s="4" t="str">
        <f ca="1">IFERROR(__xludf.DUMMYFUNCTION("""COMPUTED_VALUE"""),"一部介助")</f>
        <v>一部介助</v>
      </c>
      <c r="EE38" s="4" t="str">
        <f ca="1">IFERROR(__xludf.DUMMYFUNCTION("""COMPUTED_VALUE"""),"歩行器")</f>
        <v>歩行器</v>
      </c>
      <c r="EF38" s="4" t="str">
        <f ca="1">IFERROR(__xludf.DUMMYFUNCTION("""COMPUTED_VALUE"""),"基本動作はご自身で行うことができるものの、ベッドから立ち上がったり移動に関しては病院では見守りを行っている。
移動はシルバーカーを用いることで比較的安定して歩くことが可能だが、靴を履く際に脱臼姿位を取りやすく注意が必要。
ベッドから立ち上がって移動する際は必ずNCコールをきちんと押すことができている。")</f>
        <v>基本動作はご自身で行うことができるものの、ベッドから立ち上がったり移動に関しては病院では見守りを行っている。
移動はシルバーカーを用いることで比較的安定して歩くことが可能だが、靴を履く際に脱臼姿位を取りやすく注意が必要。
ベッドから立ち上がって移動する際は必ずNCコールをきちんと押すことができている。</v>
      </c>
      <c r="EG38" s="4"/>
      <c r="EH38" s="4" t="str">
        <f ca="1">IFERROR(__xludf.DUMMYFUNCTION("""COMPUTED_VALUE"""),"入力")</f>
        <v>入力</v>
      </c>
      <c r="EI38" s="4" t="str">
        <f ca="1">IFERROR(__xludf.DUMMYFUNCTION("""COMPUTED_VALUE"""),"入力")</f>
        <v>入力</v>
      </c>
      <c r="EJ38" s="4" t="str">
        <f ca="1">IFERROR(__xludf.DUMMYFUNCTION("""COMPUTED_VALUE"""),"経口摂取")</f>
        <v>経口摂取</v>
      </c>
      <c r="EK38" s="4" t="str">
        <f ca="1">IFERROR(__xludf.DUMMYFUNCTION("""COMPUTED_VALUE"""),"自立")</f>
        <v>自立</v>
      </c>
      <c r="EL38" s="4" t="str">
        <f ca="1">IFERROR(__xludf.DUMMYFUNCTION("""COMPUTED_VALUE"""),"できる")</f>
        <v>できる</v>
      </c>
      <c r="EM38" s="4" t="str">
        <f ca="1">IFERROR(__xludf.DUMMYFUNCTION("""COMPUTED_VALUE"""),"普通")</f>
        <v>普通</v>
      </c>
      <c r="EN38" s="4" t="str">
        <f ca="1">IFERROR(__xludf.DUMMYFUNCTION("""COMPUTED_VALUE"""),"普通")</f>
        <v>普通</v>
      </c>
      <c r="EO38" s="4" t="str">
        <f ca="1">IFERROR(__xludf.DUMMYFUNCTION("""COMPUTED_VALUE"""),"無")</f>
        <v>無</v>
      </c>
      <c r="EP38" s="4" t="str">
        <f ca="1">IFERROR(__xludf.DUMMYFUNCTION("""COMPUTED_VALUE"""),"有")</f>
        <v>有</v>
      </c>
      <c r="EQ38" s="4" t="str">
        <f ca="1">IFERROR(__xludf.DUMMYFUNCTION("""COMPUTED_VALUE"""),"箸 , スプーン")</f>
        <v>箸 , スプーン</v>
      </c>
      <c r="ER38" s="4" t="str">
        <f ca="1">IFERROR(__xludf.DUMMYFUNCTION("""COMPUTED_VALUE"""),"食事摂取はご自身で可能。食事制限があり、療養食（心臓食1400kcal　米飯130　塩分6g未満）となっている。")</f>
        <v>食事摂取はご自身で可能。食事制限があり、療養食（心臓食1400kcal　米飯130　塩分6g未満）となっている。</v>
      </c>
      <c r="ES38" s="4"/>
      <c r="ET38" s="4" t="str">
        <f ca="1">IFERROR(__xludf.DUMMYFUNCTION("""COMPUTED_VALUE"""),"入力")</f>
        <v>入力</v>
      </c>
      <c r="EU38" s="4" t="str">
        <f ca="1">IFERROR(__xludf.DUMMYFUNCTION("""COMPUTED_VALUE"""),"見守り")</f>
        <v>見守り</v>
      </c>
      <c r="EV38" s="4" t="str">
        <f ca="1">IFERROR(__xludf.DUMMYFUNCTION("""COMPUTED_VALUE"""),"有")</f>
        <v>有</v>
      </c>
      <c r="EW38" s="4"/>
      <c r="EX38" s="4"/>
      <c r="EY38" s="4"/>
      <c r="EZ38" s="4" t="str">
        <f ca="1">IFERROR(__xludf.DUMMYFUNCTION("""COMPUTED_VALUE"""),"口腔ケアは病院では見守りで行っているものの、手伝いはほとんど必要がない。義歯の有無は入居後に確認。")</f>
        <v>口腔ケアは病院では見守りで行っているものの、手伝いはほとんど必要がない。義歯の有無は入居後に確認。</v>
      </c>
      <c r="FA38" s="4"/>
      <c r="FB38" s="4" t="str">
        <f ca="1">IFERROR(__xludf.DUMMYFUNCTION("""COMPUTED_VALUE"""),"入力")</f>
        <v>入力</v>
      </c>
      <c r="FC38" s="4" t="str">
        <f ca="1">IFERROR(__xludf.DUMMYFUNCTION("""COMPUTED_VALUE"""),"一部介助")</f>
        <v>一部介助</v>
      </c>
      <c r="FD38" s="4" t="str">
        <f ca="1">IFERROR(__xludf.DUMMYFUNCTION("""COMPUTED_VALUE"""),"一般浴")</f>
        <v>一般浴</v>
      </c>
      <c r="FE38" s="4" t="str">
        <f ca="1">IFERROR(__xludf.DUMMYFUNCTION("""COMPUTED_VALUE"""),"無")</f>
        <v>無</v>
      </c>
      <c r="FF38" s="4"/>
      <c r="FG38" s="4" t="str">
        <f ca="1">IFERROR(__xludf.DUMMYFUNCTION("""COMPUTED_VALUE"""),"見守り")</f>
        <v>見守り</v>
      </c>
      <c r="FH38" s="4" t="str">
        <f ca="1">IFERROR(__xludf.DUMMYFUNCTION("""COMPUTED_VALUE"""),"一部介助")</f>
        <v>一部介助</v>
      </c>
      <c r="FI38" s="4" t="str">
        <f ca="1">IFERROR(__xludf.DUMMYFUNCTION("""COMPUTED_VALUE"""),"浴室までの移動の際に支えるところがないと不安定となるため職員による介助が必要。また浴槽へ跨ぐ際に、脱臼姿位を取ってしまう可能性があるため介助を行う必要がある。
更衣も同様の理由から介助が必要。")</f>
        <v>浴室までの移動の際に支えるところがないと不安定となるため職員による介助が必要。また浴槽へ跨ぐ際に、脱臼姿位を取ってしまう可能性があるため介助を行う必要がある。
更衣も同様の理由から介助が必要。</v>
      </c>
      <c r="FJ38" s="4"/>
      <c r="FK38" s="4" t="str">
        <f ca="1">IFERROR(__xludf.DUMMYFUNCTION("""COMPUTED_VALUE"""),"入力")</f>
        <v>入力</v>
      </c>
      <c r="FL38" s="4" t="str">
        <f ca="1">IFERROR(__xludf.DUMMYFUNCTION("""COMPUTED_VALUE"""),"自立")</f>
        <v>自立</v>
      </c>
      <c r="FM38" s="4" t="str">
        <f ca="1">IFERROR(__xludf.DUMMYFUNCTION("""COMPUTED_VALUE"""),"有")</f>
        <v>有</v>
      </c>
      <c r="FN38" s="4" t="str">
        <f ca="1">IFERROR(__xludf.DUMMYFUNCTION("""COMPUTED_VALUE"""),"無")</f>
        <v>無</v>
      </c>
      <c r="FO38" s="4" t="str">
        <f ca="1">IFERROR(__xludf.DUMMYFUNCTION("""COMPUTED_VALUE"""),"有")</f>
        <v>有</v>
      </c>
      <c r="FP38" s="4" t="str">
        <f ca="1">IFERROR(__xludf.DUMMYFUNCTION("""COMPUTED_VALUE"""),"無")</f>
        <v>無</v>
      </c>
      <c r="FQ38" s="4"/>
      <c r="FR38" s="4" t="str">
        <f ca="1">IFERROR(__xludf.DUMMYFUNCTION("""COMPUTED_VALUE"""),"トイレ")</f>
        <v>トイレ</v>
      </c>
      <c r="FS38" s="4" t="str">
        <f ca="1">IFERROR(__xludf.DUMMYFUNCTION("""COMPUTED_VALUE"""),"トイレ")</f>
        <v>トイレ</v>
      </c>
      <c r="FT38" s="4" t="str">
        <f ca="1">IFERROR(__xludf.DUMMYFUNCTION("""COMPUTED_VALUE"""),"リハビリパンツ")</f>
        <v>リハビリパンツ</v>
      </c>
      <c r="FU38" s="4" t="str">
        <f ca="1">IFERROR(__xludf.DUMMYFUNCTION("""COMPUTED_VALUE"""),"排泄はご自身で可能。")</f>
        <v>排泄はご自身で可能。</v>
      </c>
      <c r="FV38" s="4"/>
      <c r="FW38" s="4"/>
      <c r="FX38" s="4" t="str">
        <f ca="1">IFERROR(__xludf.DUMMYFUNCTION("""COMPUTED_VALUE"""),"入力")</f>
        <v>入力</v>
      </c>
      <c r="FY38" s="4" t="str">
        <f ca="1">IFERROR(__xludf.DUMMYFUNCTION("""COMPUTED_VALUE"""),"全介助")</f>
        <v>全介助</v>
      </c>
      <c r="FZ38" s="4" t="str">
        <f ca="1">IFERROR(__xludf.DUMMYFUNCTION("""COMPUTED_VALUE"""),"全介助")</f>
        <v>全介助</v>
      </c>
      <c r="GA38" s="4" t="str">
        <f ca="1">IFERROR(__xludf.DUMMYFUNCTION("""COMPUTED_VALUE"""),"全介助")</f>
        <v>全介助</v>
      </c>
      <c r="GB38" s="4" t="str">
        <f ca="1">IFERROR(__xludf.DUMMYFUNCTION("""COMPUTED_VALUE"""),"全介助")</f>
        <v>全介助</v>
      </c>
      <c r="GC38" s="4" t="str">
        <f ca="1">IFERROR(__xludf.DUMMYFUNCTION("""COMPUTED_VALUE"""),"全介助")</f>
        <v>全介助</v>
      </c>
      <c r="GD38" s="4" t="str">
        <f ca="1">IFERROR(__xludf.DUMMYFUNCTION("""COMPUTED_VALUE"""),"施設サービスを受けたり、長男様の手伝いが必要。")</f>
        <v>施設サービスを受けたり、長男様の手伝いが必要。</v>
      </c>
      <c r="GE38" s="4"/>
      <c r="GF38" s="4"/>
      <c r="GG38" s="4" t="str">
        <f ca="1">IFERROR(__xludf.DUMMYFUNCTION("""COMPUTED_VALUE"""),"家庭環境に問題あり。
入院前は自宅で、長女とその子ども（孫にあたる長男・長女）の4人で同居していた。生活の中で、たね子様が孫（長男）から経済的・身体的な負担を強いられていた様子があり、これまでの貯金4000万円も使い切っていたとの情報がある。
退院後の生活については、大門病院MSWがそのような家庭への帰宅は難しいと判断し、安濃津ろまんへの入居につながった。今後のキーパーソンは長男となる。孫（長男）は安濃津ろまんへの出入り禁止とし、長女にもたね子さんに関する情報提供は行わない方針。
施設内での安心・安全を守"&amp;"るため、不適切な言動（大声、威圧的な態度など）があった場合には、即時退居の対応を取ることを事前に説明済み。孫（長男）は病院でも大声を出す、物を壊すといったトラブルがあり、すでに出入り禁止となっている。")</f>
        <v>家庭環境に問題あり。
入院前は自宅で、長女とその子ども（孫にあたる長男・長女）の4人で同居していた。生活の中で、たね子様が孫（長男）から経済的・身体的な負担を強いられていた様子があり、これまでの貯金4000万円も使い切っていたとの情報がある。
退院後の生活については、大門病院MSWがそのような家庭への帰宅は難しいと判断し、安濃津ろまんへの入居につながった。今後のキーパーソンは長男となる。孫（長男）は安濃津ろまんへの出入り禁止とし、長女にもたね子さんに関する情報提供は行わない方針。
施設内での安心・安全を守るため、不適切な言動（大声、威圧的な態度など）があった場合には、即時退居の対応を取ることを事前に説明済み。孫（長男）は病院でも大声を出す、物を壊すといったトラブルがあり、すでに出入り禁止となっている。</v>
      </c>
      <c r="GH38" s="4">
        <f ca="1">IFERROR(__xludf.DUMMYFUNCTION("""COMPUTED_VALUE"""),30)</f>
        <v>30</v>
      </c>
      <c r="GI38" s="4"/>
    </row>
    <row r="39" spans="1:191">
      <c r="A39" s="4"/>
      <c r="B39" s="4"/>
      <c r="C39" s="4" t="str">
        <f ca="1">IFERROR(__xludf.DUMMYFUNCTION("""COMPUTED_VALUE"""),"川村　宗夫")</f>
        <v>川村　宗夫</v>
      </c>
      <c r="D39" s="4" t="str">
        <f ca="1">IFERROR(__xludf.DUMMYFUNCTION("""COMPUTED_VALUE"""),"dacb6e53")</f>
        <v>dacb6e53</v>
      </c>
      <c r="E39" s="4"/>
      <c r="F39" s="4"/>
      <c r="G39" s="4"/>
      <c r="H39" s="4"/>
      <c r="I39" s="5">
        <f ca="1">IFERROR(__xludf.DUMMYFUNCTION("""COMPUTED_VALUE"""),45794)</f>
        <v>45794</v>
      </c>
      <c r="J39" s="4" t="str">
        <f ca="1">IFERROR(__xludf.DUMMYFUNCTION("""COMPUTED_VALUE"""),"山川　和輝")</f>
        <v>山川　和輝</v>
      </c>
      <c r="K39" s="4" t="str">
        <f ca="1">IFERROR(__xludf.DUMMYFUNCTION("""COMPUTED_VALUE"""),"新規")</f>
        <v>新規</v>
      </c>
      <c r="L39" s="4" t="str">
        <f ca="1">IFERROR(__xludf.DUMMYFUNCTION("""COMPUTED_VALUE"""),"施設")</f>
        <v>施設</v>
      </c>
      <c r="M39" s="4" t="str">
        <f ca="1">IFERROR(__xludf.DUMMYFUNCTION("""COMPUTED_VALUE"""),"長年三重県で暮らし、これまで自宅で家族とともに生活してきた。ここ数年で物忘れが進み、昼夜が逆転したり、外に出て帰れなくなることも増え、同居する息子様は仕事をしながらの見守りや対応には限界があり、安全や生活の安定を第一に考え、入所の申し込みに至った。")</f>
        <v>長年三重県で暮らし、これまで自宅で家族とともに生活してきた。ここ数年で物忘れが進み、昼夜が逆転したり、外に出て帰れなくなることも増え、同居する息子様は仕事をしながらの見守りや対応には限界があり、安全や生活の安定を第一に考え、入所の申し込みに至った。</v>
      </c>
      <c r="N39" s="4" t="str">
        <f ca="1">IFERROR(__xludf.DUMMYFUNCTION("""COMPUTED_VALUE"""),"認知機能の低下から具体的な希望の聴取は困難であった。")</f>
        <v>認知機能の低下から具体的な希望の聴取は困難であった。</v>
      </c>
      <c r="O39" s="4" t="str">
        <f ca="1">IFERROR(__xludf.DUMMYFUNCTION("""COMPUTED_VALUE"""),"家族としても無理のないかたちで関わりを続け、見守りやサポートを安心して任せられる体制を望んでいる。")</f>
        <v>家族としても無理のないかたちで関わりを続け、見守りやサポートを安心して任せられる体制を望んでいる。</v>
      </c>
      <c r="P39" s="4"/>
      <c r="Q39" s="4" t="str">
        <f ca="1">IFERROR(__xludf.DUMMYFUNCTION("""COMPUTED_VALUE"""),"入力")</f>
        <v>入力</v>
      </c>
      <c r="R39" s="4" t="str">
        <f ca="1">IFERROR(__xludf.DUMMYFUNCTION("""COMPUTED_VALUE"""),"要介護１")</f>
        <v>要介護１</v>
      </c>
      <c r="S39" s="4"/>
      <c r="T39" s="4"/>
      <c r="U39" s="4"/>
      <c r="V39" s="4"/>
      <c r="W39" s="4"/>
      <c r="X39" s="4"/>
      <c r="Y39" s="4"/>
      <c r="Z39" s="4"/>
      <c r="AA39" s="4"/>
      <c r="AB39" s="4"/>
      <c r="AC39" s="4"/>
      <c r="AD39" s="4"/>
      <c r="AE39" s="4" t="str">
        <f ca="1">IFERROR(__xludf.DUMMYFUNCTION("""COMPUTED_VALUE"""),"入力")</f>
        <v>入力</v>
      </c>
      <c r="AF39" s="4" t="str">
        <f ca="1">IFERROR(__xludf.DUMMYFUNCTION("""COMPUTED_VALUE"""),"川村　眞次")</f>
        <v>川村　眞次</v>
      </c>
      <c r="AG39" s="4" t="str">
        <f ca="1">IFERROR(__xludf.DUMMYFUNCTION("""COMPUTED_VALUE"""),"長男")</f>
        <v>長男</v>
      </c>
      <c r="AH39" s="4"/>
      <c r="AI39" s="4" t="str">
        <f ca="1">IFERROR(__xludf.DUMMYFUNCTION("""COMPUTED_VALUE"""),"同居")</f>
        <v>同居</v>
      </c>
      <c r="AJ39" s="4" t="str">
        <f ca="1">IFERROR(__xludf.DUMMYFUNCTION("""COMPUTED_VALUE"""),"介護する")</f>
        <v>介護する</v>
      </c>
      <c r="AK39" s="4" t="str">
        <f ca="1">IFERROR(__xludf.DUMMYFUNCTION("""COMPUTED_VALUE"""),"有")</f>
        <v>有</v>
      </c>
      <c r="AL39" s="4" t="str">
        <f ca="1">IFERROR(__xludf.DUMMYFUNCTION("""COMPUTED_VALUE"""),"090-7858-3763")</f>
        <v>090-7858-3763</v>
      </c>
      <c r="AM39" s="4" t="str">
        <f ca="1">IFERROR(__xludf.DUMMYFUNCTION("""COMPUTED_VALUE"""),"KP")</f>
        <v>KP</v>
      </c>
      <c r="AN39" s="4"/>
      <c r="AO39" s="4"/>
      <c r="AP39" s="4"/>
      <c r="AQ39" s="4"/>
      <c r="AR39" s="4"/>
      <c r="AS39" s="4"/>
      <c r="AT39" s="4"/>
      <c r="AU39" s="4"/>
      <c r="AV39" s="4"/>
      <c r="AW39" s="4"/>
      <c r="AX39" s="4"/>
      <c r="AY39" s="4"/>
      <c r="AZ39" s="4"/>
      <c r="BA39" s="4"/>
      <c r="BB39" s="4"/>
      <c r="BC39" s="4"/>
      <c r="BD39" s="4"/>
      <c r="BE39" s="4"/>
      <c r="BF39" s="4"/>
      <c r="BG39" s="4"/>
      <c r="BH39" s="4"/>
      <c r="BI39" s="4"/>
      <c r="BJ39" s="4"/>
      <c r="BK39" s="4"/>
      <c r="BL39" s="4"/>
      <c r="BM39" s="4"/>
      <c r="BN39" s="4"/>
      <c r="BO39" s="4" t="str">
        <f ca="1">IFERROR(__xludf.DUMMYFUNCTION("""COMPUTED_VALUE"""),"入力")</f>
        <v>入力</v>
      </c>
      <c r="BP39" s="4" t="str">
        <f ca="1">IFERROR(__xludf.DUMMYFUNCTION("""COMPUTED_VALUE"""),"通所介護")</f>
        <v>通所介護</v>
      </c>
      <c r="BQ39" s="4"/>
      <c r="BR39" s="4" t="str">
        <f ca="1">IFERROR(__xludf.DUMMYFUNCTION("""COMPUTED_VALUE"""),"無")</f>
        <v>無</v>
      </c>
      <c r="BS39" s="4"/>
      <c r="BT39" s="4" t="str">
        <f ca="1">IFERROR(__xludf.DUMMYFUNCTION("""COMPUTED_VALUE"""),"認知機能の低下があり他の利用者様とコミュニケーションはあまりないが、トラブルもなし。")</f>
        <v>認知機能の低下があり他の利用者様とコミュニケーションはあまりないが、トラブルもなし。</v>
      </c>
      <c r="BU39" s="4"/>
      <c r="BV39" s="4"/>
      <c r="BW39" s="4" t="str">
        <f ca="1">IFERROR(__xludf.DUMMYFUNCTION("""COMPUTED_VALUE"""),"入力")</f>
        <v>入力</v>
      </c>
      <c r="BX39" s="4" t="str">
        <f ca="1">IFERROR(__xludf.DUMMYFUNCTION("""COMPUTED_VALUE"""),"認知症")</f>
        <v>認知症</v>
      </c>
      <c r="BY39" s="4" t="str">
        <f ca="1">IFERROR(__xludf.DUMMYFUNCTION("""COMPUTED_VALUE"""),"不詳")</f>
        <v>不詳</v>
      </c>
      <c r="BZ39" s="4" t="str">
        <f ca="1">IFERROR(__xludf.DUMMYFUNCTION("""COMPUTED_VALUE"""),"高血圧症")</f>
        <v>高血圧症</v>
      </c>
      <c r="CA39" s="4" t="str">
        <f ca="1">IFERROR(__xludf.DUMMYFUNCTION("""COMPUTED_VALUE"""),"不詳")</f>
        <v>不詳</v>
      </c>
      <c r="CB39" s="4"/>
      <c r="CC39" s="4"/>
      <c r="CD39" s="4"/>
      <c r="CE39" s="4"/>
      <c r="CF39" s="4"/>
      <c r="CG39" s="4"/>
      <c r="CH39" s="4"/>
      <c r="CI39" s="4"/>
      <c r="CJ39" s="4" t="str">
        <f ca="1">IFERROR(__xludf.DUMMYFUNCTION("""COMPUTED_VALUE"""),"現在、吉田クリニック（2ヶ月毎）とベタニヤ内科・神経内科クリニック（1ヶ月毎）に受診を行っているが、今後は往診へ切り替える。")</f>
        <v>現在、吉田クリニック（2ヶ月毎）とベタニヤ内科・神経内科クリニック（1ヶ月毎）に受診を行っているが、今後は往診へ切り替える。</v>
      </c>
      <c r="CK39" s="4" t="str">
        <f ca="1">IFERROR(__xludf.DUMMYFUNCTION("""COMPUTED_VALUE"""),"加藤医院")</f>
        <v>加藤医院</v>
      </c>
      <c r="CL39" s="4" t="str">
        <f ca="1">IFERROR(__xludf.DUMMYFUNCTION("""COMPUTED_VALUE"""),"加藤　裕也")</f>
        <v>加藤　裕也</v>
      </c>
      <c r="CM39" s="4"/>
      <c r="CN39" s="4"/>
      <c r="CO39" s="4" t="str">
        <f ca="1">IFERROR(__xludf.DUMMYFUNCTION("""COMPUTED_VALUE"""),"吉田クリニック")</f>
        <v>吉田クリニック</v>
      </c>
      <c r="CP39" s="4" t="str">
        <f ca="1">IFERROR(__xludf.DUMMYFUNCTION("""COMPUTED_VALUE"""),"ベタニヤ内科・神経内科クリニック")</f>
        <v>ベタニヤ内科・神経内科クリニック</v>
      </c>
      <c r="CQ39" s="4"/>
      <c r="CR39" s="4"/>
      <c r="CS39" s="4" t="str">
        <f ca="1">IFERROR(__xludf.DUMMYFUNCTION("""COMPUTED_VALUE"""),"前立腺がん（10年前、現在再発・転移なし）")</f>
        <v>前立腺がん（10年前、現在再発・転移なし）</v>
      </c>
      <c r="CT39" s="4" t="str">
        <f ca="1">IFERROR(__xludf.DUMMYFUNCTION("""COMPUTED_VALUE"""),"・クラシエ抑肝散　・チアプリド錠　・プロチゾラム錠　・イルベサルタン錠
薬の管理は息子様が行っている。")</f>
        <v>・クラシエ抑肝散　・チアプリド錠　・プロチゾラム錠　・イルベサルタン錠
薬の管理は息子様が行っている。</v>
      </c>
      <c r="CU39" s="4" t="str">
        <f ca="1">IFERROR(__xludf.DUMMYFUNCTION("""COMPUTED_VALUE"""),"無")</f>
        <v>無</v>
      </c>
      <c r="CV39" s="4"/>
      <c r="CW39" s="4"/>
      <c r="CX39" s="4" t="str">
        <f ca="1">IFERROR(__xludf.DUMMYFUNCTION("""COMPUTED_VALUE"""),"入力")</f>
        <v>入力</v>
      </c>
      <c r="CY39" s="4" t="str">
        <f ca="1">IFERROR(__xludf.DUMMYFUNCTION("""COMPUTED_VALUE"""),"無")</f>
        <v>無</v>
      </c>
      <c r="CZ39" s="4" t="str">
        <f ca="1">IFERROR(__xludf.DUMMYFUNCTION("""COMPUTED_VALUE"""),"無")</f>
        <v>無</v>
      </c>
      <c r="DA39" s="4" t="str">
        <f ca="1">IFERROR(__xludf.DUMMYFUNCTION("""COMPUTED_VALUE"""),"無")</f>
        <v>無</v>
      </c>
      <c r="DB39" s="4" t="str">
        <f ca="1">IFERROR(__xludf.DUMMYFUNCTION("""COMPUTED_VALUE"""),"無")</f>
        <v>無</v>
      </c>
      <c r="DC39" s="4" t="str">
        <f ca="1">IFERROR(__xludf.DUMMYFUNCTION("""COMPUTED_VALUE"""),"無")</f>
        <v>無</v>
      </c>
      <c r="DD39" s="4"/>
      <c r="DE39" s="4"/>
      <c r="DF39" s="4" t="str">
        <f ca="1">IFERROR(__xludf.DUMMYFUNCTION("""COMPUTED_VALUE"""),"正常")</f>
        <v>正常</v>
      </c>
      <c r="DG39" s="4" t="str">
        <f ca="1">IFERROR(__xludf.DUMMYFUNCTION("""COMPUTED_VALUE"""),"無")</f>
        <v>無</v>
      </c>
      <c r="DH39" s="4" t="str">
        <f ca="1">IFERROR(__xludf.DUMMYFUNCTION("""COMPUTED_VALUE"""),"正常")</f>
        <v>正常</v>
      </c>
      <c r="DI39" s="4" t="str">
        <f ca="1">IFERROR(__xludf.DUMMYFUNCTION("""COMPUTED_VALUE"""),"無")</f>
        <v>無</v>
      </c>
      <c r="DJ39" s="4" t="str">
        <f ca="1">IFERROR(__xludf.DUMMYFUNCTION("""COMPUTED_VALUE"""),"前立腺がんの手術歴があり（10年以上前、三重大にて）、現在は再発や転移は認められていない。高血圧および脂質異常症に対しては吉田クリニックで定期的に投薬管理を受けており、認知症に対してはベタニア病院（物忘れ外来）で治療を継続中。服薬は主に息子が夜間に手渡しで対応しており、朝の内服は本人の状況により中止されている。入居後は加藤医院への主治医変更を予定。
視力・聴力ともに大きな支障はないが、約2年前に白内障手術を受けている。")</f>
        <v>前立腺がんの手術歴があり（10年以上前、三重大にて）、現在は再発や転移は認められていない。高血圧および脂質異常症に対しては吉田クリニックで定期的に投薬管理を受けており、認知症に対してはベタニア病院（物忘れ外来）で治療を継続中。服薬は主に息子が夜間に手渡しで対応しており、朝の内服は本人の状況により中止されている。入居後は加藤医院への主治医変更を予定。
視力・聴力ともに大きな支障はないが、約2年前に白内障手術を受けている。</v>
      </c>
      <c r="DK39" s="4"/>
      <c r="DL39" s="4" t="str">
        <f ca="1">IFERROR(__xludf.DUMMYFUNCTION("""COMPUTED_VALUE"""),"入力")</f>
        <v>入力</v>
      </c>
      <c r="DM39" s="4" t="str">
        <f ca="1">IFERROR(__xludf.DUMMYFUNCTION("""COMPUTED_VALUE"""),"有")</f>
        <v>有</v>
      </c>
      <c r="DN39" s="4" t="str">
        <f ca="1">IFERROR(__xludf.DUMMYFUNCTION("""COMPUTED_VALUE"""),"中等度")</f>
        <v>中等度</v>
      </c>
      <c r="DO39" s="4" t="str">
        <f ca="1">IFERROR(__xludf.DUMMYFUNCTION("""COMPUTED_VALUE"""),"昼夜逆転 , 徘徊")</f>
        <v>昼夜逆転 , 徘徊</v>
      </c>
      <c r="DP39" s="4" t="str">
        <f ca="1">IFERROR(__xludf.DUMMYFUNCTION("""COMPUTED_VALUE"""),"不明瞭")</f>
        <v>不明瞭</v>
      </c>
      <c r="DQ39" s="4" t="str">
        <f ca="1">IFERROR(__xludf.DUMMYFUNCTION("""COMPUTED_VALUE"""),"やや不自由")</f>
        <v>やや不自由</v>
      </c>
      <c r="DR39" s="4" t="str">
        <f ca="1">IFERROR(__xludf.DUMMYFUNCTION("""COMPUTED_VALUE"""),"会話自体は成立するものの、内容の理解に時間がかかり、短期記憶障害が顕著にみられる。同じ話題を繰り返すことや一人言が多く、時間や場所、人の認識にも混乱がある。昼夜逆転傾向が強く、夜間に「誰かに呼ばれている」と訴えたり、徘徊行動が見られることがある。過去には深夜に自転車や徒歩で外出し、デイサービスに向かうなどのエピソードもあり、安全確保が重要な課題となっている。また、転倒歴や幻聴様の訴えもあるが、暴力行為や強い興奮はなく、混乱時には落ち込む傾向がある。")</f>
        <v>会話自体は成立するものの、内容の理解に時間がかかり、短期記憶障害が顕著にみられる。同じ話題を繰り返すことや一人言が多く、時間や場所、人の認識にも混乱がある。昼夜逆転傾向が強く、夜間に「誰かに呼ばれている」と訴えたり、徘徊行動が見られることがある。過去には深夜に自転車や徒歩で外出し、デイサービスに向かうなどのエピソードもあり、安全確保が重要な課題となっている。また、転倒歴や幻聴様の訴えもあるが、暴力行為や強い興奮はなく、混乱時には落ち込む傾向がある。</v>
      </c>
      <c r="DS39" s="4"/>
      <c r="DT39" s="4"/>
      <c r="DU39" s="4" t="str">
        <f ca="1">IFERROR(__xludf.DUMMYFUNCTION("""COMPUTED_VALUE"""),"入力")</f>
        <v>入力</v>
      </c>
      <c r="DV39" s="4" t="str">
        <f ca="1">IFERROR(__xludf.DUMMYFUNCTION("""COMPUTED_VALUE"""),"何かにつかまればできる")</f>
        <v>何かにつかまればできる</v>
      </c>
      <c r="DW39" s="4" t="str">
        <f ca="1">IFERROR(__xludf.DUMMYFUNCTION("""COMPUTED_VALUE"""),"何かにつかまればできる")</f>
        <v>何かにつかまればできる</v>
      </c>
      <c r="DX39" s="4" t="str">
        <f ca="1">IFERROR(__xludf.DUMMYFUNCTION("""COMPUTED_VALUE"""),"自分の手で支えればできる")</f>
        <v>自分の手で支えればできる</v>
      </c>
      <c r="DY39" s="4" t="str">
        <f ca="1">IFERROR(__xludf.DUMMYFUNCTION("""COMPUTED_VALUE"""),"何かにつかまればできる")</f>
        <v>何かにつかまればできる</v>
      </c>
      <c r="DZ39" s="4" t="str">
        <f ca="1">IFERROR(__xludf.DUMMYFUNCTION("""COMPUTED_VALUE"""),"何か支えがあればできる")</f>
        <v>何か支えがあればできる</v>
      </c>
      <c r="EA39" s="4" t="str">
        <f ca="1">IFERROR(__xludf.DUMMYFUNCTION("""COMPUTED_VALUE"""),"自立")</f>
        <v>自立</v>
      </c>
      <c r="EB39" s="4" t="str">
        <f ca="1">IFERROR(__xludf.DUMMYFUNCTION("""COMPUTED_VALUE"""),"自立")</f>
        <v>自立</v>
      </c>
      <c r="EC39" s="4" t="str">
        <f ca="1">IFERROR(__xludf.DUMMYFUNCTION("""COMPUTED_VALUE"""),"独歩")</f>
        <v>独歩</v>
      </c>
      <c r="ED39" s="4" t="str">
        <f ca="1">IFERROR(__xludf.DUMMYFUNCTION("""COMPUTED_VALUE"""),"自立")</f>
        <v>自立</v>
      </c>
      <c r="EE39" s="4" t="str">
        <f ca="1">IFERROR(__xludf.DUMMYFUNCTION("""COMPUTED_VALUE"""),"独歩")</f>
        <v>独歩</v>
      </c>
      <c r="EF39" s="4" t="str">
        <f ca="1">IFERROR(__xludf.DUMMYFUNCTION("""COMPUTED_VALUE"""),"移動は自立しており、屋内では概ね安定して歩行可能だが、屋外や夜間はふらつきや不安定さが見られ、転倒のリスクがある。")</f>
        <v>移動は自立しており、屋内では概ね安定して歩行可能だが、屋外や夜間はふらつきや不安定さが見られ、転倒のリスクがある。</v>
      </c>
      <c r="EG39" s="4"/>
      <c r="EH39" s="4" t="str">
        <f ca="1">IFERROR(__xludf.DUMMYFUNCTION("""COMPUTED_VALUE"""),"入力")</f>
        <v>入力</v>
      </c>
      <c r="EI39" s="4" t="str">
        <f ca="1">IFERROR(__xludf.DUMMYFUNCTION("""COMPUTED_VALUE"""),"入力")</f>
        <v>入力</v>
      </c>
      <c r="EJ39" s="4" t="str">
        <f ca="1">IFERROR(__xludf.DUMMYFUNCTION("""COMPUTED_VALUE"""),"経口摂取")</f>
        <v>経口摂取</v>
      </c>
      <c r="EK39" s="4" t="str">
        <f ca="1">IFERROR(__xludf.DUMMYFUNCTION("""COMPUTED_VALUE"""),"自立")</f>
        <v>自立</v>
      </c>
      <c r="EL39" s="4" t="str">
        <f ca="1">IFERROR(__xludf.DUMMYFUNCTION("""COMPUTED_VALUE"""),"できる")</f>
        <v>できる</v>
      </c>
      <c r="EM39" s="4" t="str">
        <f ca="1">IFERROR(__xludf.DUMMYFUNCTION("""COMPUTED_VALUE"""),"普通")</f>
        <v>普通</v>
      </c>
      <c r="EN39" s="4" t="str">
        <f ca="1">IFERROR(__xludf.DUMMYFUNCTION("""COMPUTED_VALUE"""),"普通")</f>
        <v>普通</v>
      </c>
      <c r="EO39" s="4" t="str">
        <f ca="1">IFERROR(__xludf.DUMMYFUNCTION("""COMPUTED_VALUE"""),"無")</f>
        <v>無</v>
      </c>
      <c r="EP39" s="4" t="str">
        <f ca="1">IFERROR(__xludf.DUMMYFUNCTION("""COMPUTED_VALUE"""),"無")</f>
        <v>無</v>
      </c>
      <c r="EQ39" s="4" t="str">
        <f ca="1">IFERROR(__xludf.DUMMYFUNCTION("""COMPUTED_VALUE"""),"箸 , スプーン")</f>
        <v>箸 , スプーン</v>
      </c>
      <c r="ER39" s="4" t="str">
        <f ca="1">IFERROR(__xludf.DUMMYFUNCTION("""COMPUTED_VALUE"""),"食事は自宅およびデイサービスにて1日3食しっかり摂取できており、食欲も良好である。現在のところ、摂食や嚥下に関する問題は見られておらず、介助も不要。")</f>
        <v>食事は自宅およびデイサービスにて1日3食しっかり摂取できており、食欲も良好である。現在のところ、摂食や嚥下に関する問題は見られておらず、介助も不要。</v>
      </c>
      <c r="ES39" s="4"/>
      <c r="ET39" s="4" t="str">
        <f ca="1">IFERROR(__xludf.DUMMYFUNCTION("""COMPUTED_VALUE"""),"入力")</f>
        <v>入力</v>
      </c>
      <c r="EU39" s="4" t="str">
        <f ca="1">IFERROR(__xludf.DUMMYFUNCTION("""COMPUTED_VALUE"""),"一部介助")</f>
        <v>一部介助</v>
      </c>
      <c r="EV39" s="4" t="str">
        <f ca="1">IFERROR(__xludf.DUMMYFUNCTION("""COMPUTED_VALUE"""),"有")</f>
        <v>有</v>
      </c>
      <c r="EW39" s="4" t="str">
        <f ca="1">IFERROR(__xludf.DUMMYFUNCTION("""COMPUTED_VALUE"""),"有")</f>
        <v>有</v>
      </c>
      <c r="EX39" s="4" t="str">
        <f ca="1">IFERROR(__xludf.DUMMYFUNCTION("""COMPUTED_VALUE"""),"部分義歯")</f>
        <v>部分義歯</v>
      </c>
      <c r="EY39" s="4" t="str">
        <f ca="1">IFERROR(__xludf.DUMMYFUNCTION("""COMPUTED_VALUE"""),"下")</f>
        <v>下</v>
      </c>
      <c r="EZ39" s="4" t="str">
        <f ca="1">IFERROR(__xludf.DUMMYFUNCTION("""COMPUTED_VALUE"""),"上顎は総義歯を使用、下顎には一部自歯が残存しているが、義歯の不適合を訴えている。入れ歯の清掃状況は不十分であり、口腔衛生面の支援が必要。今後は往診歯科による対応を検討している。")</f>
        <v>上顎は総義歯を使用、下顎には一部自歯が残存しているが、義歯の不適合を訴えている。入れ歯の清掃状況は不十分であり、口腔衛生面の支援が必要。今後は往診歯科による対応を検討している。</v>
      </c>
      <c r="FA39" s="4"/>
      <c r="FB39" s="4" t="str">
        <f ca="1">IFERROR(__xludf.DUMMYFUNCTION("""COMPUTED_VALUE"""),"入力")</f>
        <v>入力</v>
      </c>
      <c r="FC39" s="4" t="str">
        <f ca="1">IFERROR(__xludf.DUMMYFUNCTION("""COMPUTED_VALUE"""),"自立")</f>
        <v>自立</v>
      </c>
      <c r="FD39" s="4" t="str">
        <f ca="1">IFERROR(__xludf.DUMMYFUNCTION("""COMPUTED_VALUE"""),"一般浴")</f>
        <v>一般浴</v>
      </c>
      <c r="FE39" s="4" t="str">
        <f ca="1">IFERROR(__xludf.DUMMYFUNCTION("""COMPUTED_VALUE"""),"無")</f>
        <v>無</v>
      </c>
      <c r="FF39" s="4"/>
      <c r="FG39" s="4" t="str">
        <f ca="1">IFERROR(__xludf.DUMMYFUNCTION("""COMPUTED_VALUE"""),"自立")</f>
        <v>自立</v>
      </c>
      <c r="FH39" s="4" t="str">
        <f ca="1">IFERROR(__xludf.DUMMYFUNCTION("""COMPUTED_VALUE"""),"自立")</f>
        <v>自立</v>
      </c>
      <c r="FI39" s="4" t="str">
        <f ca="1">IFERROR(__xludf.DUMMYFUNCTION("""COMPUTED_VALUE"""),"入浴はデイサービスにて週2回利用しており、自宅でも継続して入浴を行っていた。入居後は週3回の入浴を希望しており、清潔保持の意識は保たれている。
更衣は自立可能であるものの、衣類の選択に混乱があり、色柄や季節に合わない服を選ぶ場面があるため、今後は見守りや支援が必要。")</f>
        <v>入浴はデイサービスにて週2回利用しており、自宅でも継続して入浴を行っていた。入居後は週3回の入浴を希望しており、清潔保持の意識は保たれている。
更衣は自立可能であるものの、衣類の選択に混乱があり、色柄や季節に合わない服を選ぶ場面があるため、今後は見守りや支援が必要。</v>
      </c>
      <c r="FJ39" s="4"/>
      <c r="FK39" s="4" t="str">
        <f ca="1">IFERROR(__xludf.DUMMYFUNCTION("""COMPUTED_VALUE"""),"入力")</f>
        <v>入力</v>
      </c>
      <c r="FL39" s="4" t="str">
        <f ca="1">IFERROR(__xludf.DUMMYFUNCTION("""COMPUTED_VALUE"""),"自立")</f>
        <v>自立</v>
      </c>
      <c r="FM39" s="4" t="str">
        <f ca="1">IFERROR(__xludf.DUMMYFUNCTION("""COMPUTED_VALUE"""),"有")</f>
        <v>有</v>
      </c>
      <c r="FN39" s="4" t="str">
        <f ca="1">IFERROR(__xludf.DUMMYFUNCTION("""COMPUTED_VALUE"""),"有")</f>
        <v>有</v>
      </c>
      <c r="FO39" s="4" t="str">
        <f ca="1">IFERROR(__xludf.DUMMYFUNCTION("""COMPUTED_VALUE"""),"有")</f>
        <v>有</v>
      </c>
      <c r="FP39" s="4" t="str">
        <f ca="1">IFERROR(__xludf.DUMMYFUNCTION("""COMPUTED_VALUE"""),"無")</f>
        <v>無</v>
      </c>
      <c r="FQ39" s="4"/>
      <c r="FR39" s="4" t="str">
        <f ca="1">IFERROR(__xludf.DUMMYFUNCTION("""COMPUTED_VALUE"""),"トイレ")</f>
        <v>トイレ</v>
      </c>
      <c r="FS39" s="4" t="str">
        <f ca="1">IFERROR(__xludf.DUMMYFUNCTION("""COMPUTED_VALUE"""),"トイレ")</f>
        <v>トイレ</v>
      </c>
      <c r="FT39" s="4" t="str">
        <f ca="1">IFERROR(__xludf.DUMMYFUNCTION("""COMPUTED_VALUE"""),"リハビリパンツ , 小パット")</f>
        <v>リハビリパンツ , 小パット</v>
      </c>
      <c r="FU39" s="4" t="str">
        <f ca="1">IFERROR(__xludf.DUMMYFUNCTION("""COMPUTED_VALUE"""),"排泄は概ね自立しているが、失禁がありパッドを常用している。本人の自覚が乏しく、管理は主に家族が行っている。")</f>
        <v>排泄は概ね自立しているが、失禁がありパッドを常用している。本人の自覚が乏しく、管理は主に家族が行っている。</v>
      </c>
      <c r="FV39" s="4"/>
      <c r="FW39" s="4"/>
      <c r="FX39" s="4" t="str">
        <f ca="1">IFERROR(__xludf.DUMMYFUNCTION("""COMPUTED_VALUE"""),"入力")</f>
        <v>入力</v>
      </c>
      <c r="FY39" s="4" t="str">
        <f ca="1">IFERROR(__xludf.DUMMYFUNCTION("""COMPUTED_VALUE"""),"全介助")</f>
        <v>全介助</v>
      </c>
      <c r="FZ39" s="4" t="str">
        <f ca="1">IFERROR(__xludf.DUMMYFUNCTION("""COMPUTED_VALUE"""),"全介助")</f>
        <v>全介助</v>
      </c>
      <c r="GA39" s="4" t="str">
        <f ca="1">IFERROR(__xludf.DUMMYFUNCTION("""COMPUTED_VALUE"""),"全介助")</f>
        <v>全介助</v>
      </c>
      <c r="GB39" s="4" t="str">
        <f ca="1">IFERROR(__xludf.DUMMYFUNCTION("""COMPUTED_VALUE"""),"全介助")</f>
        <v>全介助</v>
      </c>
      <c r="GC39" s="4" t="str">
        <f ca="1">IFERROR(__xludf.DUMMYFUNCTION("""COMPUTED_VALUE"""),"全介助")</f>
        <v>全介助</v>
      </c>
      <c r="GD39" s="4" t="str">
        <f ca="1">IFERROR(__xludf.DUMMYFUNCTION("""COMPUTED_VALUE"""),"すべて息子様や奥様が行っている。")</f>
        <v>すべて息子様や奥様が行っている。</v>
      </c>
      <c r="GE39" s="4"/>
      <c r="GF39" s="4"/>
      <c r="GG39" s="4" t="str">
        <f ca="1">IFERROR(__xludf.DUMMYFUNCTION("""COMPUTED_VALUE"""),"夜間に「誰かに呼ばれている」と訴えることがあり、実際に深夜の外出や徘徊の既往があるため、安全確保の観点から夜間の見守り体制や外出防止策が必要である。また、歩行は基本的に自立しているが、屋外や夜間は不安定で転倒歴もあることから、転倒予防を含めた環境整備が求められる。
現在、要介護1で認定の区分変更申請を行っている。")</f>
        <v>夜間に「誰かに呼ばれている」と訴えることがあり、実際に深夜の外出や徘徊の既往があるため、安全確保の観点から夜間の見守り体制や外出防止策が必要である。また、歩行は基本的に自立しているが、屋外や夜間は不安定で転倒歴もあることから、転倒予防を含めた環境整備が求められる。
現在、要介護1で認定の区分変更申請を行っている。</v>
      </c>
      <c r="GH39" s="4">
        <f ca="1">IFERROR(__xludf.DUMMYFUNCTION("""COMPUTED_VALUE"""),30)</f>
        <v>30</v>
      </c>
      <c r="GI39" s="4"/>
    </row>
    <row r="40" spans="1:191">
      <c r="A40" s="4"/>
      <c r="B40" s="4"/>
      <c r="C40" s="4" t="str">
        <f ca="1">IFERROR(__xludf.DUMMYFUNCTION("""COMPUTED_VALUE"""),"渡辺　三津子")</f>
        <v>渡辺　三津子</v>
      </c>
      <c r="D40" s="4" t="str">
        <f ca="1">IFERROR(__xludf.DUMMYFUNCTION("""COMPUTED_VALUE"""),"d7b0bce7")</f>
        <v>d7b0bce7</v>
      </c>
      <c r="E40" s="4"/>
      <c r="F40" s="4"/>
      <c r="G40" s="4"/>
      <c r="H40" s="4"/>
      <c r="I40" s="5">
        <f ca="1">IFERROR(__xludf.DUMMYFUNCTION("""COMPUTED_VALUE"""),45828)</f>
        <v>45828</v>
      </c>
      <c r="J40" s="4" t="str">
        <f ca="1">IFERROR(__xludf.DUMMYFUNCTION("""COMPUTED_VALUE"""),"山川　和輝")</f>
        <v>山川　和輝</v>
      </c>
      <c r="K40" s="4" t="str">
        <f ca="1">IFERROR(__xludf.DUMMYFUNCTION("""COMPUTED_VALUE"""),"新規")</f>
        <v>新規</v>
      </c>
      <c r="L40" s="4" t="str">
        <f ca="1">IFERROR(__xludf.DUMMYFUNCTION("""COMPUTED_VALUE"""),"施設")</f>
        <v>施設</v>
      </c>
      <c r="M40" s="4" t="str">
        <f ca="1">IFERROR(__xludf.DUMMYFUNCTION("""COMPUTED_VALUE"""),"自宅にて独居。子供はいない。脊柱管狭窄症にて下肢の動きが緩慢になった事や、膠原病、肝機能低下などがあり、令和6年10月にゴールドエイジ一身田に入居したが、昨年コロナに罹患した際に、状態の報告がなかったり、「人手不足のためトイレではなくオムツを使用させて下さい。」と言われたことで不信感が積もり、安濃津ろまんへの入居の流れとなった。")</f>
        <v>自宅にて独居。子供はいない。脊柱管狭窄症にて下肢の動きが緩慢になった事や、膠原病、肝機能低下などがあり、令和6年10月にゴールドエイジ一身田に入居したが、昨年コロナに罹患した際に、状態の報告がなかったり、「人手不足のためトイレではなくオムツを使用させて下さい。」と言われたことで不信感が積もり、安濃津ろまんへの入居の流れとなった。</v>
      </c>
      <c r="N40" s="4" t="str">
        <f ca="1">IFERROR(__xludf.DUMMYFUNCTION("""COMPUTED_VALUE"""),"施設で安心して生活を続けたい。")</f>
        <v>施設で安心して生活を続けたい。</v>
      </c>
      <c r="O40" s="4" t="str">
        <f ca="1">IFERROR(__xludf.DUMMYFUNCTION("""COMPUTED_VALUE"""),"本人が安心して過ごせる環境と、信頼できる支援体制を希望している。")</f>
        <v>本人が安心して過ごせる環境と、信頼できる支援体制を希望している。</v>
      </c>
      <c r="P40" s="4"/>
      <c r="Q40" s="4" t="str">
        <f ca="1">IFERROR(__xludf.DUMMYFUNCTION("""COMPUTED_VALUE"""),"入力")</f>
        <v>入力</v>
      </c>
      <c r="R40" s="4" t="str">
        <f ca="1">IFERROR(__xludf.DUMMYFUNCTION("""COMPUTED_VALUE"""),"要介護３")</f>
        <v>要介護３</v>
      </c>
      <c r="S40" s="4" t="str">
        <f ca="1">IFERROR(__xludf.DUMMYFUNCTION("""COMPUTED_VALUE"""),"令和6年9月10日")</f>
        <v>令和6年9月10日</v>
      </c>
      <c r="T40" s="4" t="str">
        <f ca="1">IFERROR(__xludf.DUMMYFUNCTION("""COMPUTED_VALUE"""),"令和6年8月14日")</f>
        <v>令和6年8月14日</v>
      </c>
      <c r="U40" s="4" t="str">
        <f ca="1">IFERROR(__xludf.DUMMYFUNCTION("""COMPUTED_VALUE"""),"令和7年8月31日")</f>
        <v>令和7年8月31日</v>
      </c>
      <c r="V40" s="4" t="str">
        <f ca="1">IFERROR(__xludf.DUMMYFUNCTION("""COMPUTED_VALUE"""),"１割負担")</f>
        <v>１割負担</v>
      </c>
      <c r="W40" s="4"/>
      <c r="X40" s="4"/>
      <c r="Y40" s="4"/>
      <c r="Z40" s="4"/>
      <c r="AA40" s="4"/>
      <c r="AB40" s="4"/>
      <c r="AC40" s="4"/>
      <c r="AD40" s="4"/>
      <c r="AE40" s="4" t="str">
        <f ca="1">IFERROR(__xludf.DUMMYFUNCTION("""COMPUTED_VALUE"""),"入力")</f>
        <v>入力</v>
      </c>
      <c r="AF40" s="4" t="str">
        <f ca="1">IFERROR(__xludf.DUMMYFUNCTION("""COMPUTED_VALUE"""),"岡垣　勝子")</f>
        <v>岡垣　勝子</v>
      </c>
      <c r="AG40" s="4" t="str">
        <f ca="1">IFERROR(__xludf.DUMMYFUNCTION("""COMPUTED_VALUE"""),"姪")</f>
        <v>姪</v>
      </c>
      <c r="AH40" s="4" t="str">
        <f ca="1">IFERROR(__xludf.DUMMYFUNCTION("""COMPUTED_VALUE"""),"鳥取県鳥取市江崎町91番地")</f>
        <v>鳥取県鳥取市江崎町91番地</v>
      </c>
      <c r="AI40" s="4" t="str">
        <f ca="1">IFERROR(__xludf.DUMMYFUNCTION("""COMPUTED_VALUE"""),"別居")</f>
        <v>別居</v>
      </c>
      <c r="AJ40" s="4" t="str">
        <f ca="1">IFERROR(__xludf.DUMMYFUNCTION("""COMPUTED_VALUE"""),"介護しない")</f>
        <v>介護しない</v>
      </c>
      <c r="AK40" s="4"/>
      <c r="AL40" s="4" t="str">
        <f ca="1">IFERROR(__xludf.DUMMYFUNCTION("""COMPUTED_VALUE"""),"090-7891-6813")</f>
        <v>090-7891-6813</v>
      </c>
      <c r="AM40" s="4" t="str">
        <f ca="1">IFERROR(__xludf.DUMMYFUNCTION("""COMPUTED_VALUE"""),"KP")</f>
        <v>KP</v>
      </c>
      <c r="AN40" s="4" t="str">
        <f ca="1">IFERROR(__xludf.DUMMYFUNCTION("""COMPUTED_VALUE"""),"岡垣　智也")</f>
        <v>岡垣　智也</v>
      </c>
      <c r="AO40" s="4" t="str">
        <f ca="1">IFERROR(__xludf.DUMMYFUNCTION("""COMPUTED_VALUE"""),"姪の子")</f>
        <v>姪の子</v>
      </c>
      <c r="AP40" s="4" t="str">
        <f ca="1">IFERROR(__xludf.DUMMYFUNCTION("""COMPUTED_VALUE"""),"鳥取県倉吉市駄経寺町41-1")</f>
        <v>鳥取県倉吉市駄経寺町41-1</v>
      </c>
      <c r="AQ40" s="4" t="str">
        <f ca="1">IFERROR(__xludf.DUMMYFUNCTION("""COMPUTED_VALUE"""),"別居")</f>
        <v>別居</v>
      </c>
      <c r="AR40" s="4" t="str">
        <f ca="1">IFERROR(__xludf.DUMMYFUNCTION("""COMPUTED_VALUE"""),"介護しない")</f>
        <v>介護しない</v>
      </c>
      <c r="AS40" s="4"/>
      <c r="AT40" s="4" t="str">
        <f ca="1">IFERROR(__xludf.DUMMYFUNCTION("""COMPUTED_VALUE"""),"090-3173-8533")</f>
        <v>090-3173-8533</v>
      </c>
      <c r="AU40" s="4"/>
      <c r="AV40" s="4"/>
      <c r="AW40" s="4" t="str">
        <f ca="1">IFERROR(__xludf.DUMMYFUNCTION("""COMPUTED_VALUE"""),"入力")</f>
        <v>入力</v>
      </c>
      <c r="AX40" s="4" t="str">
        <f ca="1">IFERROR(__xludf.DUMMYFUNCTION("""COMPUTED_VALUE"""),"一人暮らし")</f>
        <v>一人暮らし</v>
      </c>
      <c r="AY40" s="4" t="str">
        <f ca="1">IFERROR(__xludf.DUMMYFUNCTION("""COMPUTED_VALUE"""),"集合住宅")</f>
        <v>集合住宅</v>
      </c>
      <c r="AZ40" s="4" t="str">
        <f ca="1">IFERROR(__xludf.DUMMYFUNCTION("""COMPUTED_VALUE"""),"エレベーター有")</f>
        <v>エレベーター有</v>
      </c>
      <c r="BA40" s="4" t="str">
        <f ca="1">IFERROR(__xludf.DUMMYFUNCTION("""COMPUTED_VALUE"""),"賃貸")</f>
        <v>賃貸</v>
      </c>
      <c r="BB40" s="4" t="str">
        <f ca="1">IFERROR(__xludf.DUMMYFUNCTION("""COMPUTED_VALUE"""),"有")</f>
        <v>有</v>
      </c>
      <c r="BC40" s="4" t="str">
        <f ca="1">IFERROR(__xludf.DUMMYFUNCTION("""COMPUTED_VALUE"""),"有")</f>
        <v>有</v>
      </c>
      <c r="BD40" s="4" t="str">
        <f ca="1">IFERROR(__xludf.DUMMYFUNCTION("""COMPUTED_VALUE"""),"洋式")</f>
        <v>洋式</v>
      </c>
      <c r="BE40" s="4" t="str">
        <f ca="1">IFERROR(__xludf.DUMMYFUNCTION("""COMPUTED_VALUE"""),"手すり有")</f>
        <v>手すり有</v>
      </c>
      <c r="BF40" s="4" t="str">
        <f ca="1">IFERROR(__xludf.DUMMYFUNCTION("""COMPUTED_VALUE"""),"段差無")</f>
        <v>段差無</v>
      </c>
      <c r="BG40" s="4" t="str">
        <f ca="1">IFERROR(__xludf.DUMMYFUNCTION("""COMPUTED_VALUE"""),"無")</f>
        <v>無</v>
      </c>
      <c r="BH40" s="4"/>
      <c r="BI40" s="4" t="str">
        <f ca="1">IFERROR(__xludf.DUMMYFUNCTION("""COMPUTED_VALUE"""),"リクライニングベッド")</f>
        <v>リクライニングベッド</v>
      </c>
      <c r="BJ40" s="4" t="str">
        <f ca="1">IFERROR(__xludf.DUMMYFUNCTION("""COMPUTED_VALUE"""),"無")</f>
        <v>無</v>
      </c>
      <c r="BK40" s="4" t="str">
        <f ca="1">IFERROR(__xludf.DUMMYFUNCTION("""COMPUTED_VALUE"""),"無")</f>
        <v>無</v>
      </c>
      <c r="BL40" s="4" t="str">
        <f ca="1">IFERROR(__xludf.DUMMYFUNCTION("""COMPUTED_VALUE"""),"無")</f>
        <v>無</v>
      </c>
      <c r="BM40" s="4" t="str">
        <f ca="1">IFERROR(__xludf.DUMMYFUNCTION("""COMPUTED_VALUE"""),"無")</f>
        <v>無</v>
      </c>
      <c r="BN40" s="4"/>
      <c r="BO40" s="4" t="str">
        <f ca="1">IFERROR(__xludf.DUMMYFUNCTION("""COMPUTED_VALUE"""),"入力")</f>
        <v>入力</v>
      </c>
      <c r="BP40" s="4" t="str">
        <f ca="1">IFERROR(__xludf.DUMMYFUNCTION("""COMPUTED_VALUE"""),"通所介護")</f>
        <v>通所介護</v>
      </c>
      <c r="BQ40" s="4" t="str">
        <f ca="1">IFERROR(__xludf.DUMMYFUNCTION("""COMPUTED_VALUE"""),"車いす , 特殊寝台 , 特殊寝台付属品")</f>
        <v>車いす , 特殊寝台 , 特殊寝台付属品</v>
      </c>
      <c r="BR40" s="4" t="str">
        <f ca="1">IFERROR(__xludf.DUMMYFUNCTION("""COMPUTED_VALUE"""),"訪問マッサージ（週3回）")</f>
        <v>訪問マッサージ（週3回）</v>
      </c>
      <c r="BS40" s="4"/>
      <c r="BT40" s="4" t="str">
        <f ca="1">IFERROR(__xludf.DUMMYFUNCTION("""COMPUTED_VALUE"""),"自発的にコミュニケーションは取ろうとしないが、話しかけられたら話す。")</f>
        <v>自発的にコミュニケーションは取ろうとしないが、話しかけられたら話す。</v>
      </c>
      <c r="BU40" s="4"/>
      <c r="BV40" s="4"/>
      <c r="BW40" s="4" t="str">
        <f ca="1">IFERROR(__xludf.DUMMYFUNCTION("""COMPUTED_VALUE"""),"入力")</f>
        <v>入力</v>
      </c>
      <c r="BX40" s="4" t="str">
        <f ca="1">IFERROR(__xludf.DUMMYFUNCTION("""COMPUTED_VALUE"""),"認知症")</f>
        <v>認知症</v>
      </c>
      <c r="BY40" s="4" t="str">
        <f ca="1">IFERROR(__xludf.DUMMYFUNCTION("""COMPUTED_VALUE"""),"令和6年頃")</f>
        <v>令和6年頃</v>
      </c>
      <c r="BZ40" s="4" t="str">
        <f ca="1">IFERROR(__xludf.DUMMYFUNCTION("""COMPUTED_VALUE"""),"慢性心不全")</f>
        <v>慢性心不全</v>
      </c>
      <c r="CA40" s="4" t="str">
        <f ca="1">IFERROR(__xludf.DUMMYFUNCTION("""COMPUTED_VALUE"""),"不詳")</f>
        <v>不詳</v>
      </c>
      <c r="CB40" s="4" t="str">
        <f ca="1">IFERROR(__xludf.DUMMYFUNCTION("""COMPUTED_VALUE"""),"骨粗鬆症")</f>
        <v>骨粗鬆症</v>
      </c>
      <c r="CC40" s="4" t="str">
        <f ca="1">IFERROR(__xludf.DUMMYFUNCTION("""COMPUTED_VALUE"""),"不詳")</f>
        <v>不詳</v>
      </c>
      <c r="CD40" s="4"/>
      <c r="CE40" s="4"/>
      <c r="CF40" s="4"/>
      <c r="CG40" s="4"/>
      <c r="CH40" s="4"/>
      <c r="CI40" s="4"/>
      <c r="CJ40" s="4" t="str">
        <f ca="1">IFERROR(__xludf.DUMMYFUNCTION("""COMPUTED_VALUE"""),"現在通院は行っておらず、津生協病院の往診を受けている。")</f>
        <v>現在通院は行っておらず、津生協病院の往診を受けている。</v>
      </c>
      <c r="CK40" s="4" t="str">
        <f ca="1">IFERROR(__xludf.DUMMYFUNCTION("""COMPUTED_VALUE"""),"津生協病院　往診（確認）")</f>
        <v>津生協病院　往診（確認）</v>
      </c>
      <c r="CL40" s="4" t="str">
        <f ca="1">IFERROR(__xludf.DUMMYFUNCTION("""COMPUTED_VALUE"""),"不詳")</f>
        <v>不詳</v>
      </c>
      <c r="CM40" s="4" t="str">
        <f ca="1">IFERROR(__xludf.DUMMYFUNCTION("""COMPUTED_VALUE"""),"津生協病院　往診")</f>
        <v>津生協病院　往診</v>
      </c>
      <c r="CN40" s="4" t="str">
        <f ca="1">IFERROR(__xludf.DUMMYFUNCTION("""COMPUTED_VALUE"""),"不詳")</f>
        <v>不詳</v>
      </c>
      <c r="CO40" s="4" t="str">
        <f ca="1">IFERROR(__xludf.DUMMYFUNCTION("""COMPUTED_VALUE"""),"無")</f>
        <v>無</v>
      </c>
      <c r="CP40" s="4"/>
      <c r="CQ40" s="4"/>
      <c r="CR40" s="4"/>
      <c r="CS40" s="4" t="str">
        <f ca="1">IFERROR(__xludf.DUMMYFUNCTION("""COMPUTED_VALUE"""),"膠原病、肝機能障害、脊柱管狭窄症")</f>
        <v>膠原病、肝機能障害、脊柱管狭窄症</v>
      </c>
      <c r="CT40" s="4"/>
      <c r="CU40" s="4"/>
      <c r="CV40" s="4"/>
      <c r="CW40" s="4"/>
      <c r="CX40" s="4" t="str">
        <f ca="1">IFERROR(__xludf.DUMMYFUNCTION("""COMPUTED_VALUE"""),"入力")</f>
        <v>入力</v>
      </c>
      <c r="CY40" s="4" t="str">
        <f ca="1">IFERROR(__xludf.DUMMYFUNCTION("""COMPUTED_VALUE"""),"無")</f>
        <v>無</v>
      </c>
      <c r="CZ40" s="4" t="str">
        <f ca="1">IFERROR(__xludf.DUMMYFUNCTION("""COMPUTED_VALUE"""),"無")</f>
        <v>無</v>
      </c>
      <c r="DA40" s="4" t="str">
        <f ca="1">IFERROR(__xludf.DUMMYFUNCTION("""COMPUTED_VALUE"""),"無")</f>
        <v>無</v>
      </c>
      <c r="DB40" s="4" t="str">
        <f ca="1">IFERROR(__xludf.DUMMYFUNCTION("""COMPUTED_VALUE"""),"無")</f>
        <v>無</v>
      </c>
      <c r="DC40" s="4" t="str">
        <f ca="1">IFERROR(__xludf.DUMMYFUNCTION("""COMPUTED_VALUE"""),"腰、足（場所は曖昧）")</f>
        <v>腰、足（場所は曖昧）</v>
      </c>
      <c r="DD40" s="4"/>
      <c r="DE40" s="4"/>
      <c r="DF40" s="4" t="str">
        <f ca="1">IFERROR(__xludf.DUMMYFUNCTION("""COMPUTED_VALUE"""),"大きい字は可")</f>
        <v>大きい字は可</v>
      </c>
      <c r="DG40" s="4"/>
      <c r="DH40" s="4" t="str">
        <f ca="1">IFERROR(__xludf.DUMMYFUNCTION("""COMPUTED_VALUE"""),"大きい声は可")</f>
        <v>大きい声は可</v>
      </c>
      <c r="DI40" s="4" t="str">
        <f ca="1">IFERROR(__xludf.DUMMYFUNCTION("""COMPUTED_VALUE"""),"無")</f>
        <v>無</v>
      </c>
      <c r="DJ40" s="4" t="str">
        <f ca="1">IFERROR(__xludf.DUMMYFUNCTION("""COMPUTED_VALUE"""),"4ヶ月前のコロナ罹患以降、ADLが著しく低下しており、以前は自立して行えていた排泄や移動にも全面的な支援が必要となっている。
皮膚状態に褥瘡は見られず、むくみ対策として包帯による下肢の圧迫が行われている（ストッキングは締め付けが強く本人が拒否）。腰部や足などに不定愁訴的な痛みを訴えることがある。
浮腫の軽減を目的に訪問マッサージを週3回受けており、疼痛の軽減や身体機能の維持に寄与している。")</f>
        <v>4ヶ月前のコロナ罹患以降、ADLが著しく低下しており、以前は自立して行えていた排泄や移動にも全面的な支援が必要となっている。
皮膚状態に褥瘡は見られず、むくみ対策として包帯による下肢の圧迫が行われている（ストッキングは締め付けが強く本人が拒否）。腰部や足などに不定愁訴的な痛みを訴えることがある。
浮腫の軽減を目的に訪問マッサージを週3回受けており、疼痛の軽減や身体機能の維持に寄与している。</v>
      </c>
      <c r="DK40" s="4"/>
      <c r="DL40" s="4" t="str">
        <f ca="1">IFERROR(__xludf.DUMMYFUNCTION("""COMPUTED_VALUE"""),"入力")</f>
        <v>入力</v>
      </c>
      <c r="DM40" s="4" t="str">
        <f ca="1">IFERROR(__xludf.DUMMYFUNCTION("""COMPUTED_VALUE"""),"有")</f>
        <v>有</v>
      </c>
      <c r="DN40" s="4" t="str">
        <f ca="1">IFERROR(__xludf.DUMMYFUNCTION("""COMPUTED_VALUE"""),"中等度")</f>
        <v>中等度</v>
      </c>
      <c r="DO40" s="4" t="str">
        <f ca="1">IFERROR(__xludf.DUMMYFUNCTION("""COMPUTED_VALUE"""),"大声・奇声")</f>
        <v>大声・奇声</v>
      </c>
      <c r="DP40" s="4" t="str">
        <f ca="1">IFERROR(__xludf.DUMMYFUNCTION("""COMPUTED_VALUE"""),"可能")</f>
        <v>可能</v>
      </c>
      <c r="DQ40" s="4" t="str">
        <f ca="1">IFERROR(__xludf.DUMMYFUNCTION("""COMPUTED_VALUE"""),"その場のみ可")</f>
        <v>その場のみ可</v>
      </c>
      <c r="DR40" s="4" t="str">
        <f ca="1">IFERROR(__xludf.DUMMYFUNCTION("""COMPUTED_VALUE"""),"記憶力の低下が顕著であり、新しい情報の保持が困難。短期記憶障害が強く、伝えた内容をすぐに忘れる場面が多くみられる。不安が強く、特に夜間や周囲に人がいない状況では「助けて」と大声で訴えることがあるが、日中や他者が近くにいる場面では落ち着いて過ごすことができる。
見当識に一部混乱が見られ、時間や状況の把握が不安定な傾向がある。問題行動（徘徊、暴力、不適切行動等）は現時点で認められていない。人との関わりは受動的ではあるが、促しにより応じることは可能。")</f>
        <v>記憶力の低下が顕著であり、新しい情報の保持が困難。短期記憶障害が強く、伝えた内容をすぐに忘れる場面が多くみられる。不安が強く、特に夜間や周囲に人がいない状況では「助けて」と大声で訴えることがあるが、日中や他者が近くにいる場面では落ち着いて過ごすことができる。
見当識に一部混乱が見られ、時間や状況の把握が不安定な傾向がある。問題行動（徘徊、暴力、不適切行動等）は現時点で認められていない。人との関わりは受動的ではあるが、促しにより応じることは可能。</v>
      </c>
      <c r="DS40" s="4"/>
      <c r="DT40" s="4"/>
      <c r="DU40" s="4" t="str">
        <f ca="1">IFERROR(__xludf.DUMMYFUNCTION("""COMPUTED_VALUE"""),"入力")</f>
        <v>入力</v>
      </c>
      <c r="DV40" s="4" t="str">
        <f ca="1">IFERROR(__xludf.DUMMYFUNCTION("""COMPUTED_VALUE"""),"何かにつかまればできる")</f>
        <v>何かにつかまればできる</v>
      </c>
      <c r="DW40" s="4" t="str">
        <f ca="1">IFERROR(__xludf.DUMMYFUNCTION("""COMPUTED_VALUE"""),"何かにつかまればできる")</f>
        <v>何かにつかまればできる</v>
      </c>
      <c r="DX40" s="4" t="str">
        <f ca="1">IFERROR(__xludf.DUMMYFUNCTION("""COMPUTED_VALUE"""),"自分の手で支えればできる")</f>
        <v>自分の手で支えればできる</v>
      </c>
      <c r="DY40" s="4" t="str">
        <f ca="1">IFERROR(__xludf.DUMMYFUNCTION("""COMPUTED_VALUE"""),"できない")</f>
        <v>できない</v>
      </c>
      <c r="DZ40" s="4" t="str">
        <f ca="1">IFERROR(__xludf.DUMMYFUNCTION("""COMPUTED_VALUE"""),"できない")</f>
        <v>できない</v>
      </c>
      <c r="EA40" s="4" t="str">
        <f ca="1">IFERROR(__xludf.DUMMYFUNCTION("""COMPUTED_VALUE"""),"一部介助")</f>
        <v>一部介助</v>
      </c>
      <c r="EB40" s="4" t="str">
        <f ca="1">IFERROR(__xludf.DUMMYFUNCTION("""COMPUTED_VALUE"""),"全介助")</f>
        <v>全介助</v>
      </c>
      <c r="EC40" s="4" t="str">
        <f ca="1">IFERROR(__xludf.DUMMYFUNCTION("""COMPUTED_VALUE"""),"車椅子")</f>
        <v>車椅子</v>
      </c>
      <c r="ED40" s="4" t="str">
        <f ca="1">IFERROR(__xludf.DUMMYFUNCTION("""COMPUTED_VALUE"""),"全介助")</f>
        <v>全介助</v>
      </c>
      <c r="EE40" s="4" t="str">
        <f ca="1">IFERROR(__xludf.DUMMYFUNCTION("""COMPUTED_VALUE"""),"車椅子")</f>
        <v>車椅子</v>
      </c>
      <c r="EF40" s="4" t="str">
        <f ca="1">IFERROR(__xludf.DUMMYFUNCTION("""COMPUTED_VALUE"""),"起き上がりは、自力でも可能な場面があるが、全体的に時間を要し、介助を必要とする場面が多い。立ち上がりは支えがあれば可能であり、立ち上がろうとする意欲は保たれている。
移乗動作は一人で行うことはなく、ベッドに車椅子を横付けし、支えながらの介助によって実施されている。中等度の介助が必要である。
車椅子への移乗後は安定して座位を保つことができ、座位保持は見守りで対応できている。ベッドからの離床は介助を要するが、環境設定と声かけにより可能な範囲で実施されている。
車椅子の自操は現在行っていない。以前は自操で"&amp;"きていたが、現在は足の痛みや筋力の低下により、自力での移動は行われていない。ベッド上での体位変換も、介助が必要な場面が多い。")</f>
        <v>起き上がりは、自力でも可能な場面があるが、全体的に時間を要し、介助を必要とする場面が多い。立ち上がりは支えがあれば可能であり、立ち上がろうとする意欲は保たれている。
移乗動作は一人で行うことはなく、ベッドに車椅子を横付けし、支えながらの介助によって実施されている。中等度の介助が必要である。
車椅子への移乗後は安定して座位を保つことができ、座位保持は見守りで対応できている。ベッドからの離床は介助を要するが、環境設定と声かけにより可能な範囲で実施されている。
車椅子の自操は現在行っていない。以前は自操できていたが、現在は足の痛みや筋力の低下により、自力での移動は行われていない。ベッド上での体位変換も、介助が必要な場面が多い。</v>
      </c>
      <c r="EG40" s="4"/>
      <c r="EH40" s="4" t="str">
        <f ca="1">IFERROR(__xludf.DUMMYFUNCTION("""COMPUTED_VALUE"""),"入力")</f>
        <v>入力</v>
      </c>
      <c r="EI40" s="4" t="str">
        <f ca="1">IFERROR(__xludf.DUMMYFUNCTION("""COMPUTED_VALUE"""),"入力")</f>
        <v>入力</v>
      </c>
      <c r="EJ40" s="4" t="str">
        <f ca="1">IFERROR(__xludf.DUMMYFUNCTION("""COMPUTED_VALUE"""),"経口摂取")</f>
        <v>経口摂取</v>
      </c>
      <c r="EK40" s="4" t="str">
        <f ca="1">IFERROR(__xludf.DUMMYFUNCTION("""COMPUTED_VALUE"""),"自立")</f>
        <v>自立</v>
      </c>
      <c r="EL40" s="4" t="str">
        <f ca="1">IFERROR(__xludf.DUMMYFUNCTION("""COMPUTED_VALUE"""),"できる")</f>
        <v>できる</v>
      </c>
      <c r="EM40" s="4" t="str">
        <f ca="1">IFERROR(__xludf.DUMMYFUNCTION("""COMPUTED_VALUE"""),"全粥")</f>
        <v>全粥</v>
      </c>
      <c r="EN40" s="4" t="str">
        <f ca="1">IFERROR(__xludf.DUMMYFUNCTION("""COMPUTED_VALUE"""),"キザミ")</f>
        <v>キザミ</v>
      </c>
      <c r="EO40" s="4" t="str">
        <f ca="1">IFERROR(__xludf.DUMMYFUNCTION("""COMPUTED_VALUE"""),"無")</f>
        <v>無</v>
      </c>
      <c r="EP40" s="4" t="str">
        <f ca="1">IFERROR(__xludf.DUMMYFUNCTION("""COMPUTED_VALUE"""),"無")</f>
        <v>無</v>
      </c>
      <c r="EQ40" s="4" t="str">
        <f ca="1">IFERROR(__xludf.DUMMYFUNCTION("""COMPUTED_VALUE"""),"箸 , スプーン")</f>
        <v>箸 , スプーン</v>
      </c>
      <c r="ER40" s="4" t="str">
        <f ca="1">IFERROR(__xludf.DUMMYFUNCTION("""COMPUTED_VALUE"""),"食事は全粥、キザミ食で提供されているが、パンは好きなようでクロワッサンが提供されている。摂取量は全体の約5割程度。ご家族様が持ちこんだお菓子やパンなどをデイサービス利用時に提供され間食されている。1回の摂取量が少ないため、空腹感は感じやすい。
朝食にパンを提供した場合は比較的よく食べている。カロリーメイトパウチなどの栄養補助食品を過去に家族が持参していたが、現在は使用されていない。必要に応じて補助食品の再導入が望まれる状態である。
食事動作は自力で可能であり、スプーンや箸を使用して摂取している。食事中の見"&amp;"守りや声かけは必要であるが、介助は不要である。嚥下状態は安定しており、とろみ剤等の使用はしていない。食事制限（塩分・水分等）はなく、特別な食事療法も行っていない。")</f>
        <v>食事は全粥、キザミ食で提供されているが、パンは好きなようでクロワッサンが提供されている。摂取量は全体の約5割程度。ご家族様が持ちこんだお菓子やパンなどをデイサービス利用時に提供され間食されている。1回の摂取量が少ないため、空腹感は感じやすい。
朝食にパンを提供した場合は比較的よく食べている。カロリーメイトパウチなどの栄養補助食品を過去に家族が持参していたが、現在は使用されていない。必要に応じて補助食品の再導入が望まれる状態である。
食事動作は自力で可能であり、スプーンや箸を使用して摂取している。食事中の見守りや声かけは必要であるが、介助は不要である。嚥下状態は安定しており、とろみ剤等の使用はしていない。食事制限（塩分・水分等）はなく、特別な食事療法も行っていない。</v>
      </c>
      <c r="ES40" s="4"/>
      <c r="ET40" s="4" t="str">
        <f ca="1">IFERROR(__xludf.DUMMYFUNCTION("""COMPUTED_VALUE"""),"入力")</f>
        <v>入力</v>
      </c>
      <c r="EU40" s="4" t="str">
        <f ca="1">IFERROR(__xludf.DUMMYFUNCTION("""COMPUTED_VALUE"""),"一部介助")</f>
        <v>一部介助</v>
      </c>
      <c r="EV40" s="4" t="str">
        <f ca="1">IFERROR(__xludf.DUMMYFUNCTION("""COMPUTED_VALUE"""),"有")</f>
        <v>有</v>
      </c>
      <c r="EW40" s="4" t="str">
        <f ca="1">IFERROR(__xludf.DUMMYFUNCTION("""COMPUTED_VALUE"""),"無")</f>
        <v>無</v>
      </c>
      <c r="EX40" s="4"/>
      <c r="EY40" s="4"/>
      <c r="EZ40" s="4" t="str">
        <f ca="1">IFERROR(__xludf.DUMMYFUNCTION("""COMPUTED_VALUE"""),"歯ブラシやコップを準備し、洗面所へ誘導することでご自身で歯みがきされる。義歯は使用していないが、下の歯はなく、上は少しのみ。")</f>
        <v>歯ブラシやコップを準備し、洗面所へ誘導することでご自身で歯みがきされる。義歯は使用していないが、下の歯はなく、上は少しのみ。</v>
      </c>
      <c r="FA40" s="4"/>
      <c r="FB40" s="4" t="str">
        <f ca="1">IFERROR(__xludf.DUMMYFUNCTION("""COMPUTED_VALUE"""),"入力")</f>
        <v>入力</v>
      </c>
      <c r="FC40" s="4" t="str">
        <f ca="1">IFERROR(__xludf.DUMMYFUNCTION("""COMPUTED_VALUE"""),"全介助")</f>
        <v>全介助</v>
      </c>
      <c r="FD40" s="4" t="str">
        <f ca="1">IFERROR(__xludf.DUMMYFUNCTION("""COMPUTED_VALUE"""),"寝台浴")</f>
        <v>寝台浴</v>
      </c>
      <c r="FE40" s="4" t="str">
        <f ca="1">IFERROR(__xludf.DUMMYFUNCTION("""COMPUTED_VALUE"""),"無")</f>
        <v>無</v>
      </c>
      <c r="FF40" s="4"/>
      <c r="FG40" s="4" t="str">
        <f ca="1">IFERROR(__xludf.DUMMYFUNCTION("""COMPUTED_VALUE"""),"一部介助")</f>
        <v>一部介助</v>
      </c>
      <c r="FH40" s="4" t="str">
        <f ca="1">IFERROR(__xludf.DUMMYFUNCTION("""COMPUTED_VALUE"""),"全介助")</f>
        <v>全介助</v>
      </c>
      <c r="FI40" s="4" t="str">
        <f ca="1">IFERROR(__xludf.DUMMYFUNCTION("""COMPUTED_VALUE"""),"入浴は機械浴を使用して実施されている。寝たままの姿勢での入浴であり、全身の洗身・洗髪ともに全介助が必要である。身体状況および安全面を考慮し、一般浴や個浴での対応は行っていない。
更衣は上下ともに介助を要する。本人に協力動作は見られ、声かけや支えによって動作に参加することは可能である。衣類の着脱においては、手足の痛みや関節の不安定さから、スムーズに進まない場面もあるため、時間に余裕を持った対応が必要。")</f>
        <v>入浴は機械浴を使用して実施されている。寝たままの姿勢での入浴であり、全身の洗身・洗髪ともに全介助が必要である。身体状況および安全面を考慮し、一般浴や個浴での対応は行っていない。
更衣は上下ともに介助を要する。本人に協力動作は見られ、声かけや支えによって動作に参加することは可能である。衣類の着脱においては、手足の痛みや関節の不安定さから、スムーズに進まない場面もあるため、時間に余裕を持った対応が必要。</v>
      </c>
      <c r="FJ40" s="4"/>
      <c r="FK40" s="4" t="str">
        <f ca="1">IFERROR(__xludf.DUMMYFUNCTION("""COMPUTED_VALUE"""),"入力")</f>
        <v>入力</v>
      </c>
      <c r="FL40" s="4" t="str">
        <f ca="1">IFERROR(__xludf.DUMMYFUNCTION("""COMPUTED_VALUE"""),"全介助")</f>
        <v>全介助</v>
      </c>
      <c r="FM40" s="4" t="str">
        <f ca="1">IFERROR(__xludf.DUMMYFUNCTION("""COMPUTED_VALUE"""),"有")</f>
        <v>有</v>
      </c>
      <c r="FN40" s="4" t="str">
        <f ca="1">IFERROR(__xludf.DUMMYFUNCTION("""COMPUTED_VALUE"""),"有")</f>
        <v>有</v>
      </c>
      <c r="FO40" s="4" t="str">
        <f ca="1">IFERROR(__xludf.DUMMYFUNCTION("""COMPUTED_VALUE"""),"有")</f>
        <v>有</v>
      </c>
      <c r="FP40" s="4" t="str">
        <f ca="1">IFERROR(__xludf.DUMMYFUNCTION("""COMPUTED_VALUE"""),"有")</f>
        <v>有</v>
      </c>
      <c r="FQ40" s="4"/>
      <c r="FR40" s="4" t="str">
        <f ca="1">IFERROR(__xludf.DUMMYFUNCTION("""COMPUTED_VALUE"""),"オムツ")</f>
        <v>オムツ</v>
      </c>
      <c r="FS40" s="4" t="str">
        <f ca="1">IFERROR(__xludf.DUMMYFUNCTION("""COMPUTED_VALUE"""),"オムツ")</f>
        <v>オムツ</v>
      </c>
      <c r="FT40" s="4" t="str">
        <f ca="1">IFERROR(__xludf.DUMMYFUNCTION("""COMPUTED_VALUE"""),"紙おむつ , 大パット")</f>
        <v>紙おむつ , 大パット</v>
      </c>
      <c r="FU40" s="4" t="str">
        <f ca="1">IFERROR(__xludf.DUMMYFUNCTION("""COMPUTED_VALUE"""),"現在、パッド内での対応となっており、定期的な交換によって管理されている。排便・排尿ともにトイレでの排泄は行っておらず、トイレ誘導は基本的には実施されていない。ただし、まれに訴えがあった際に誘導を行う場合があるが、実際に排便・排尿があるかどうかは不明である。
おむついじりや排泄に関する問題行動（不適切な排泄行動、失禁後の不潔行動など）は認められていない。パッド類は定額制のサブスクリプションを利用し、施設での支給が行われている。")</f>
        <v>現在、パッド内での対応となっており、定期的な交換によって管理されている。排便・排尿ともにトイレでの排泄は行っておらず、トイレ誘導は基本的には実施されていない。ただし、まれに訴えがあった際に誘導を行う場合があるが、実際に排便・排尿があるかどうかは不明である。
おむついじりや排泄に関する問題行動（不適切な排泄行動、失禁後の不潔行動など）は認められていない。パッド類は定額制のサブスクリプションを利用し、施設での支給が行われている。</v>
      </c>
      <c r="FV40" s="4"/>
      <c r="FW40" s="4"/>
      <c r="FX40" s="4" t="str">
        <f ca="1">IFERROR(__xludf.DUMMYFUNCTION("""COMPUTED_VALUE"""),"入力")</f>
        <v>入力</v>
      </c>
      <c r="FY40" s="4" t="str">
        <f ca="1">IFERROR(__xludf.DUMMYFUNCTION("""COMPUTED_VALUE"""),"全介助")</f>
        <v>全介助</v>
      </c>
      <c r="FZ40" s="4" t="str">
        <f ca="1">IFERROR(__xludf.DUMMYFUNCTION("""COMPUTED_VALUE"""),"全介助")</f>
        <v>全介助</v>
      </c>
      <c r="GA40" s="4" t="str">
        <f ca="1">IFERROR(__xludf.DUMMYFUNCTION("""COMPUTED_VALUE"""),"全介助")</f>
        <v>全介助</v>
      </c>
      <c r="GB40" s="4" t="str">
        <f ca="1">IFERROR(__xludf.DUMMYFUNCTION("""COMPUTED_VALUE"""),"全介助")</f>
        <v>全介助</v>
      </c>
      <c r="GC40" s="4" t="str">
        <f ca="1">IFERROR(__xludf.DUMMYFUNCTION("""COMPUTED_VALUE"""),"全介助")</f>
        <v>全介助</v>
      </c>
      <c r="GD40" s="4" t="str">
        <f ca="1">IFERROR(__xludf.DUMMYFUNCTION("""COMPUTED_VALUE"""),"現在サービス付き高齢者向け住宅に入居されており、IADLは施設のサポートがある状況。安濃津ろまんへ入居となった後も、同様に施設サービスを活用していく。")</f>
        <v>現在サービス付き高齢者向け住宅に入居されており、IADLは施設のサポートがある状況。安濃津ろまんへ入居となった後も、同様に施設サービスを活用していく。</v>
      </c>
      <c r="GE40" s="4"/>
      <c r="GF40" s="4"/>
      <c r="GG40" s="4" t="str">
        <f ca="1">IFERROR(__xludf.DUMMYFUNCTION("""COMPUTED_VALUE"""),"・一人になると不安から「助けて」と大声を出すことがあるが、人の気配があると落ち着いて過ごせている。環境調整や声かけによる安心の確保が必要である。
・家族は2ヶ月に1回訪問。関与は限定的だが本人の意向を尊重している。
・水分の摂取に関して、視界に飲み物が入っていないと飲まない。ストローマグをベッドの横に置いて対応。")</f>
        <v>・一人になると不安から「助けて」と大声を出すことがあるが、人の気配があると落ち着いて過ごせている。環境調整や声かけによる安心の確保が必要である。
・家族は2ヶ月に1回訪問。関与は限定的だが本人の意向を尊重している。
・水分の摂取に関して、視界に飲み物が入っていないと飲まない。ストローマグをベッドの横に置いて対応。</v>
      </c>
      <c r="GH40" s="4">
        <f ca="1">IFERROR(__xludf.DUMMYFUNCTION("""COMPUTED_VALUE"""),30)</f>
        <v>30</v>
      </c>
      <c r="GI40" s="4"/>
    </row>
    <row r="41" spans="1:191">
      <c r="A41" s="4"/>
      <c r="B41" s="4"/>
      <c r="C41" s="4" t="str">
        <f ca="1">IFERROR(__xludf.DUMMYFUNCTION("""COMPUTED_VALUE"""),"生駒　潤一")</f>
        <v>生駒　潤一</v>
      </c>
      <c r="D41" s="4" t="str">
        <f ca="1">IFERROR(__xludf.DUMMYFUNCTION("""COMPUTED_VALUE"""),"48e6da85")</f>
        <v>48e6da85</v>
      </c>
      <c r="E41" s="4"/>
      <c r="F41" s="4"/>
      <c r="G41" s="4"/>
      <c r="H41" s="4"/>
      <c r="I41" s="5">
        <f ca="1">IFERROR(__xludf.DUMMYFUNCTION("""COMPUTED_VALUE"""),45855)</f>
        <v>45855</v>
      </c>
      <c r="J41" s="4" t="str">
        <f ca="1">IFERROR(__xludf.DUMMYFUNCTION("""COMPUTED_VALUE"""),"山川　和輝")</f>
        <v>山川　和輝</v>
      </c>
      <c r="K41" s="4" t="str">
        <f ca="1">IFERROR(__xludf.DUMMYFUNCTION("""COMPUTED_VALUE"""),"新規")</f>
        <v>新規</v>
      </c>
      <c r="L41" s="4" t="str">
        <f ca="1">IFERROR(__xludf.DUMMYFUNCTION("""COMPUTED_VALUE"""),"病院")</f>
        <v>病院</v>
      </c>
      <c r="M41" s="4" t="str">
        <f ca="1">IFERROR(__xludf.DUMMYFUNCTION("""COMPUTED_VALUE"""),"自宅で母親と妹の3人暮らし。5年程前に、糖尿病の悪化から自宅での生活が困難となる。妹は実母の面倒を見ており、潤一様のお世話まではできず、サ高住さくらに入居した。糖尿病の合併症により透析が必要となり、月・水・金と透析に通っていた。今年5月に狭心症によりバイパス手術のため、三重大学病院に入院、その後はリハビリのため武内病院に転院となる。退院後はサ高住さくらに戻ることは難しく、透析の通院ができる施設として安濃津ろまんへ入居の流れとなった。")</f>
        <v>自宅で母親と妹の3人暮らし。5年程前に、糖尿病の悪化から自宅での生活が困難となる。妹は実母の面倒を見ており、潤一様のお世話まではできず、サ高住さくらに入居した。糖尿病の合併症により透析が必要となり、月・水・金と透析に通っていた。今年5月に狭心症によりバイパス手術のため、三重大学病院に入院、その後はリハビリのため武内病院に転院となる。退院後はサ高住さくらに戻ることは難しく、透析の通院ができる施設として安濃津ろまんへ入居の流れとなった。</v>
      </c>
      <c r="N41" s="4"/>
      <c r="O41" s="4"/>
      <c r="P41" s="4"/>
      <c r="Q41" s="4" t="str">
        <f ca="1">IFERROR(__xludf.DUMMYFUNCTION("""COMPUTED_VALUE"""),"入力")</f>
        <v>入力</v>
      </c>
      <c r="R41" s="4" t="str">
        <f ca="1">IFERROR(__xludf.DUMMYFUNCTION("""COMPUTED_VALUE"""),"区分変更")</f>
        <v>区分変更</v>
      </c>
      <c r="S41" s="4"/>
      <c r="T41" s="4"/>
      <c r="U41" s="4"/>
      <c r="V41" s="4"/>
      <c r="W41" s="4"/>
      <c r="X41" s="4"/>
      <c r="Y41" s="4"/>
      <c r="Z41" s="4"/>
      <c r="AA41" s="4"/>
      <c r="AB41" s="4"/>
      <c r="AC41" s="4"/>
      <c r="AD41" s="4"/>
      <c r="AE41" s="4" t="str">
        <f ca="1">IFERROR(__xludf.DUMMYFUNCTION("""COMPUTED_VALUE"""),"入力")</f>
        <v>入力</v>
      </c>
      <c r="AF41" s="4" t="str">
        <f ca="1">IFERROR(__xludf.DUMMYFUNCTION("""COMPUTED_VALUE"""),"生駒　恭平")</f>
        <v>生駒　恭平</v>
      </c>
      <c r="AG41" s="4" t="str">
        <f ca="1">IFERROR(__xludf.DUMMYFUNCTION("""COMPUTED_VALUE"""),"子")</f>
        <v>子</v>
      </c>
      <c r="AH41" s="4" t="str">
        <f ca="1">IFERROR(__xludf.DUMMYFUNCTION("""COMPUTED_VALUE"""),"静岡健浜松市中央区5-4-6　コンフォート103")</f>
        <v>静岡健浜松市中央区5-4-6　コンフォート103</v>
      </c>
      <c r="AI41" s="4" t="str">
        <f ca="1">IFERROR(__xludf.DUMMYFUNCTION("""COMPUTED_VALUE"""),"別居")</f>
        <v>別居</v>
      </c>
      <c r="AJ41" s="4" t="str">
        <f ca="1">IFERROR(__xludf.DUMMYFUNCTION("""COMPUTED_VALUE"""),"介護する")</f>
        <v>介護する</v>
      </c>
      <c r="AK41" s="4"/>
      <c r="AL41" s="4" t="str">
        <f ca="1">IFERROR(__xludf.DUMMYFUNCTION("""COMPUTED_VALUE"""),"090-2578-9458")</f>
        <v>090-2578-9458</v>
      </c>
      <c r="AM41" s="4"/>
      <c r="AN41" s="4"/>
      <c r="AO41" s="4"/>
      <c r="AP41" s="4"/>
      <c r="AQ41" s="4"/>
      <c r="AR41" s="4"/>
      <c r="AS41" s="4"/>
      <c r="AT41" s="4"/>
      <c r="AU41" s="4"/>
      <c r="AV41" s="4"/>
      <c r="AW41" s="4"/>
      <c r="AX41" s="4"/>
      <c r="AY41" s="4"/>
      <c r="AZ41" s="4"/>
      <c r="BA41" s="4"/>
      <c r="BB41" s="4"/>
      <c r="BC41" s="4"/>
      <c r="BD41" s="4"/>
      <c r="BE41" s="4"/>
      <c r="BF41" s="4"/>
      <c r="BG41" s="4"/>
      <c r="BH41" s="4"/>
      <c r="BI41" s="4"/>
      <c r="BJ41" s="4"/>
      <c r="BK41" s="4"/>
      <c r="BL41" s="4"/>
      <c r="BM41" s="4"/>
      <c r="BN41" s="4"/>
      <c r="BO41" s="4"/>
      <c r="BP41" s="4"/>
      <c r="BQ41" s="4"/>
      <c r="BR41" s="4"/>
      <c r="BS41" s="4"/>
      <c r="BT41" s="4"/>
      <c r="BU41" s="4"/>
      <c r="BV41" s="4"/>
      <c r="BW41" s="4" t="str">
        <f ca="1">IFERROR(__xludf.DUMMYFUNCTION("""COMPUTED_VALUE"""),"入力")</f>
        <v>入力</v>
      </c>
      <c r="BX41" s="4" t="str">
        <f ca="1">IFERROR(__xludf.DUMMYFUNCTION("""COMPUTED_VALUE"""),"冠動脈バイパス手術後")</f>
        <v>冠動脈バイパス手術後</v>
      </c>
      <c r="BY41" s="4" t="str">
        <f ca="1">IFERROR(__xludf.DUMMYFUNCTION("""COMPUTED_VALUE"""),"令和7年5月6日")</f>
        <v>令和7年5月6日</v>
      </c>
      <c r="BZ41" s="4" t="str">
        <f ca="1">IFERROR(__xludf.DUMMYFUNCTION("""COMPUTED_VALUE"""),"糖尿病")</f>
        <v>糖尿病</v>
      </c>
      <c r="CA41" s="4" t="str">
        <f ca="1">IFERROR(__xludf.DUMMYFUNCTION("""COMPUTED_VALUE"""),"不詳")</f>
        <v>不詳</v>
      </c>
      <c r="CB41" s="4" t="str">
        <f ca="1">IFERROR(__xludf.DUMMYFUNCTION("""COMPUTED_VALUE"""),"閉塞性動脈硬化症")</f>
        <v>閉塞性動脈硬化症</v>
      </c>
      <c r="CC41" s="4" t="str">
        <f ca="1">IFERROR(__xludf.DUMMYFUNCTION("""COMPUTED_VALUE"""),"不詳")</f>
        <v>不詳</v>
      </c>
      <c r="CD41" s="4" t="str">
        <f ca="1">IFERROR(__xludf.DUMMYFUNCTION("""COMPUTED_VALUE"""),"逆流性食道炎")</f>
        <v>逆流性食道炎</v>
      </c>
      <c r="CE41" s="4" t="str">
        <f ca="1">IFERROR(__xludf.DUMMYFUNCTION("""COMPUTED_VALUE"""),"不詳")</f>
        <v>不詳</v>
      </c>
      <c r="CF41" s="4"/>
      <c r="CG41" s="4"/>
      <c r="CH41" s="4"/>
      <c r="CI41" s="4"/>
      <c r="CJ41" s="4" t="str">
        <f ca="1">IFERROR(__xludf.DUMMYFUNCTION("""COMPUTED_VALUE"""),"透析のため津腎クリニックへ月・水・金で通院。通院はおたすけ工房を利用。")</f>
        <v>透析のため津腎クリニックへ月・水・金で通院。通院はおたすけ工房を利用。</v>
      </c>
      <c r="CK41" s="4" t="str">
        <f ca="1">IFERROR(__xludf.DUMMYFUNCTION("""COMPUTED_VALUE"""),"津腎クリニック")</f>
        <v>津腎クリニック</v>
      </c>
      <c r="CL41" s="4"/>
      <c r="CM41" s="4" t="str">
        <f ca="1">IFERROR(__xludf.DUMMYFUNCTION("""COMPUTED_VALUE"""),"加藤医院")</f>
        <v>加藤医院</v>
      </c>
      <c r="CN41" s="4" t="str">
        <f ca="1">IFERROR(__xludf.DUMMYFUNCTION("""COMPUTED_VALUE"""),"加藤裕也先生")</f>
        <v>加藤裕也先生</v>
      </c>
      <c r="CO41" s="4" t="str">
        <f ca="1">IFERROR(__xludf.DUMMYFUNCTION("""COMPUTED_VALUE"""),"武内病院")</f>
        <v>武内病院</v>
      </c>
      <c r="CP41" s="4"/>
      <c r="CQ41" s="4"/>
      <c r="CR41" s="4"/>
      <c r="CS41" s="4" t="str">
        <f ca="1">IFERROR(__xludf.DUMMYFUNCTION("""COMPUTED_VALUE"""),"アルコール依存症の指摘有（2019年）、人口股関節手術（2022年）")</f>
        <v>アルコール依存症の指摘有（2019年）、人口股関節手術（2022年）</v>
      </c>
      <c r="CT41" s="4" t="str">
        <f ca="1">IFERROR(__xludf.DUMMYFUNCTION("""COMPUTED_VALUE"""),"現在入院中のため、病院で管理を行い、看護師が配薬を行う。最近では内服の拒否に拒否があり、必要に応じて時間を空けて提供したり、職員を変えて提供する。口に入れて飲み込むまでの確認が必要。よく落としてそのままになっていることが多いため。")</f>
        <v>現在入院中のため、病院で管理を行い、看護師が配薬を行う。最近では内服の拒否に拒否があり、必要に応じて時間を空けて提供したり、職員を変えて提供する。口に入れて飲み込むまでの確認が必要。よく落としてそのままになっていることが多いため。</v>
      </c>
      <c r="CU41" s="4"/>
      <c r="CV41" s="4"/>
      <c r="CW41" s="4"/>
      <c r="CX41" s="4" t="str">
        <f ca="1">IFERROR(__xludf.DUMMYFUNCTION("""COMPUTED_VALUE"""),"入力")</f>
        <v>入力</v>
      </c>
      <c r="CY41" s="4"/>
      <c r="CZ41" s="4" t="str">
        <f ca="1">IFERROR(__xludf.DUMMYFUNCTION("""COMPUTED_VALUE"""),"無")</f>
        <v>無</v>
      </c>
      <c r="DA41" s="4" t="str">
        <f ca="1">IFERROR(__xludf.DUMMYFUNCTION("""COMPUTED_VALUE"""),"点滴の管理 , 透析")</f>
        <v>点滴の管理 , 透析</v>
      </c>
      <c r="DB41" s="4" t="str">
        <f ca="1">IFERROR(__xludf.DUMMYFUNCTION("""COMPUTED_VALUE"""),"無")</f>
        <v>無</v>
      </c>
      <c r="DC41" s="4" t="str">
        <f ca="1">IFERROR(__xludf.DUMMYFUNCTION("""COMPUTED_VALUE"""),"有")</f>
        <v>有</v>
      </c>
      <c r="DD41" s="4"/>
      <c r="DE41" s="4"/>
      <c r="DF41" s="4" t="str">
        <f ca="1">IFERROR(__xludf.DUMMYFUNCTION("""COMPUTED_VALUE"""),"正常")</f>
        <v>正常</v>
      </c>
      <c r="DG41" s="4" t="str">
        <f ca="1">IFERROR(__xludf.DUMMYFUNCTION("""COMPUTED_VALUE"""),"無")</f>
        <v>無</v>
      </c>
      <c r="DH41" s="4" t="str">
        <f ca="1">IFERROR(__xludf.DUMMYFUNCTION("""COMPUTED_VALUE"""),"正常")</f>
        <v>正常</v>
      </c>
      <c r="DI41" s="4" t="str">
        <f ca="1">IFERROR(__xludf.DUMMYFUNCTION("""COMPUTED_VALUE"""),"無")</f>
        <v>無</v>
      </c>
      <c r="DJ41" s="4" t="str">
        <f ca="1">IFERROR(__xludf.DUMMYFUNCTION("""COMPUTED_VALUE"""),"現在は武内病院で透析を受けているが、透析の必要性は理解しているものの「針が怖い」と透析自体を拒否することも多々ある。説得することで渋々行かれることもあるが、完全に拒否がある場合は都度先生に相談を行っている。")</f>
        <v>現在は武内病院で透析を受けているが、透析の必要性は理解しているものの「針が怖い」と透析自体を拒否することも多々ある。説得することで渋々行かれることもあるが、完全に拒否がある場合は都度先生に相談を行っている。</v>
      </c>
      <c r="DK41" s="4"/>
      <c r="DL41" s="4" t="str">
        <f ca="1">IFERROR(__xludf.DUMMYFUNCTION("""COMPUTED_VALUE"""),"入力")</f>
        <v>入力</v>
      </c>
      <c r="DM41" s="4" t="str">
        <f ca="1">IFERROR(__xludf.DUMMYFUNCTION("""COMPUTED_VALUE"""),"有")</f>
        <v>有</v>
      </c>
      <c r="DN41" s="4" t="str">
        <f ca="1">IFERROR(__xludf.DUMMYFUNCTION("""COMPUTED_VALUE"""),"軽度")</f>
        <v>軽度</v>
      </c>
      <c r="DO41" s="4" t="str">
        <f ca="1">IFERROR(__xludf.DUMMYFUNCTION("""COMPUTED_VALUE"""),"介護抵抗")</f>
        <v>介護抵抗</v>
      </c>
      <c r="DP41" s="4" t="str">
        <f ca="1">IFERROR(__xludf.DUMMYFUNCTION("""COMPUTED_VALUE"""),"可能")</f>
        <v>可能</v>
      </c>
      <c r="DQ41" s="4" t="str">
        <f ca="1">IFERROR(__xludf.DUMMYFUNCTION("""COMPUTED_VALUE"""),"その場のみ可")</f>
        <v>その場のみ可</v>
      </c>
      <c r="DR41" s="4" t="str">
        <f ca="1">IFERROR(__xludf.DUMMYFUNCTION("""COMPUTED_VALUE"""),"明確な認知症はなく、人の識別や状況理解は可能。性格は気難しい面があり、気分によって態度が変わる。
前施設への強い愛着があり、転居に対して非常に落ち込まれている。
コミュニケーションは可能だが、嫌な時ははっきり拒否を示す。")</f>
        <v>明確な認知症はなく、人の識別や状況理解は可能。性格は気難しい面があり、気分によって態度が変わる。
前施設への強い愛着があり、転居に対して非常に落ち込まれている。
コミュニケーションは可能だが、嫌な時ははっきり拒否を示す。</v>
      </c>
      <c r="DS41" s="4"/>
      <c r="DT41" s="4"/>
      <c r="DU41" s="4" t="str">
        <f ca="1">IFERROR(__xludf.DUMMYFUNCTION("""COMPUTED_VALUE"""),"入力")</f>
        <v>入力</v>
      </c>
      <c r="DV41" s="4" t="str">
        <f ca="1">IFERROR(__xludf.DUMMYFUNCTION("""COMPUTED_VALUE"""),"何かにつかまればできる")</f>
        <v>何かにつかまればできる</v>
      </c>
      <c r="DW41" s="4" t="str">
        <f ca="1">IFERROR(__xludf.DUMMYFUNCTION("""COMPUTED_VALUE"""),"何かにつかまればできる")</f>
        <v>何かにつかまればできる</v>
      </c>
      <c r="DX41" s="4" t="str">
        <f ca="1">IFERROR(__xludf.DUMMYFUNCTION("""COMPUTED_VALUE"""),"支えてもらえればできる")</f>
        <v>支えてもらえればできる</v>
      </c>
      <c r="DY41" s="4" t="str">
        <f ca="1">IFERROR(__xludf.DUMMYFUNCTION("""COMPUTED_VALUE"""),"できない")</f>
        <v>できない</v>
      </c>
      <c r="DZ41" s="4" t="str">
        <f ca="1">IFERROR(__xludf.DUMMYFUNCTION("""COMPUTED_VALUE"""),"できない")</f>
        <v>できない</v>
      </c>
      <c r="EA41" s="4" t="str">
        <f ca="1">IFERROR(__xludf.DUMMYFUNCTION("""COMPUTED_VALUE"""),"一部介助")</f>
        <v>一部介助</v>
      </c>
      <c r="EB41" s="4" t="str">
        <f ca="1">IFERROR(__xludf.DUMMYFUNCTION("""COMPUTED_VALUE"""),"全介助")</f>
        <v>全介助</v>
      </c>
      <c r="EC41" s="4" t="str">
        <f ca="1">IFERROR(__xludf.DUMMYFUNCTION("""COMPUTED_VALUE"""),"車椅子")</f>
        <v>車椅子</v>
      </c>
      <c r="ED41" s="4" t="str">
        <f ca="1">IFERROR(__xludf.DUMMYFUNCTION("""COMPUTED_VALUE"""),"全介助")</f>
        <v>全介助</v>
      </c>
      <c r="EE41" s="4" t="str">
        <f ca="1">IFERROR(__xludf.DUMMYFUNCTION("""COMPUTED_VALUE"""),"車椅子")</f>
        <v>車椅子</v>
      </c>
      <c r="EF41" s="4" t="str">
        <f ca="1">IFERROR(__xludf.DUMMYFUNCTION("""COMPUTED_VALUE"""),"杖で歩行練習を行っていたが、現在は気分の落ち込みでリハビリの拒否がある。寝返りや起き上がりは何かにつかまればご自身で行うことが可能だが、職員がいると依存的になる。
起立や立位は手すりがあればご自身で行うことができるものの、膝折れ、転倒のリスクは高い。
動作は全体的に見守り～全介助を要す。")</f>
        <v>杖で歩行練習を行っていたが、現在は気分の落ち込みでリハビリの拒否がある。寝返りや起き上がりは何かにつかまればご自身で行うことが可能だが、職員がいると依存的になる。
起立や立位は手すりがあればご自身で行うことができるものの、膝折れ、転倒のリスクは高い。
動作は全体的に見守り～全介助を要す。</v>
      </c>
      <c r="EG41" s="4"/>
      <c r="EH41" s="4" t="str">
        <f ca="1">IFERROR(__xludf.DUMMYFUNCTION("""COMPUTED_VALUE"""),"入力")</f>
        <v>入力</v>
      </c>
      <c r="EI41" s="4" t="str">
        <f ca="1">IFERROR(__xludf.DUMMYFUNCTION("""COMPUTED_VALUE"""),"入力")</f>
        <v>入力</v>
      </c>
      <c r="EJ41" s="4" t="str">
        <f ca="1">IFERROR(__xludf.DUMMYFUNCTION("""COMPUTED_VALUE"""),"経口摂取")</f>
        <v>経口摂取</v>
      </c>
      <c r="EK41" s="4" t="str">
        <f ca="1">IFERROR(__xludf.DUMMYFUNCTION("""COMPUTED_VALUE"""),"自立")</f>
        <v>自立</v>
      </c>
      <c r="EL41" s="4" t="str">
        <f ca="1">IFERROR(__xludf.DUMMYFUNCTION("""COMPUTED_VALUE"""),"できる")</f>
        <v>できる</v>
      </c>
      <c r="EM41" s="4" t="str">
        <f ca="1">IFERROR(__xludf.DUMMYFUNCTION("""COMPUTED_VALUE"""),"普通")</f>
        <v>普通</v>
      </c>
      <c r="EN41" s="4" t="str">
        <f ca="1">IFERROR(__xludf.DUMMYFUNCTION("""COMPUTED_VALUE"""),"普通")</f>
        <v>普通</v>
      </c>
      <c r="EO41" s="4" t="str">
        <f ca="1">IFERROR(__xludf.DUMMYFUNCTION("""COMPUTED_VALUE"""),"無")</f>
        <v>無</v>
      </c>
      <c r="EP41" s="4" t="str">
        <f ca="1">IFERROR(__xludf.DUMMYFUNCTION("""COMPUTED_VALUE"""),"有")</f>
        <v>有</v>
      </c>
      <c r="EQ41" s="4" t="str">
        <f ca="1">IFERROR(__xludf.DUMMYFUNCTION("""COMPUTED_VALUE"""),"箸 , スプーン")</f>
        <v>箸 , スプーン</v>
      </c>
      <c r="ER41" s="4" t="str">
        <f ca="1">IFERROR(__xludf.DUMMYFUNCTION("""COMPUTED_VALUE"""),"食事は腎臓食を提供。「おいしくない」と拒否傾向があり摂取量は少ない。（現在点滴を併用している。）
妹様がお菓子やヤクルトを持ってくるため、お部屋で食べていることが多い。ヤクルトを１日で数本飲んでしまうことがあり、便が緩いため、食べすぎ、飲みすぎ防止のため家族からの差し入れは管理が必要。")</f>
        <v>食事は腎臓食を提供。「おいしくない」と拒否傾向があり摂取量は少ない。（現在点滴を併用している。）
妹様がお菓子やヤクルトを持ってくるため、お部屋で食べていることが多い。ヤクルトを１日で数本飲んでしまうことがあり、便が緩いため、食べすぎ、飲みすぎ防止のため家族からの差し入れは管理が必要。</v>
      </c>
      <c r="ES41" s="4"/>
      <c r="ET41" s="4" t="str">
        <f ca="1">IFERROR(__xludf.DUMMYFUNCTION("""COMPUTED_VALUE"""),"入力")</f>
        <v>入力</v>
      </c>
      <c r="EU41" s="4" t="str">
        <f ca="1">IFERROR(__xludf.DUMMYFUNCTION("""COMPUTED_VALUE"""),"全介助")</f>
        <v>全介助</v>
      </c>
      <c r="EV41" s="4" t="str">
        <f ca="1">IFERROR(__xludf.DUMMYFUNCTION("""COMPUTED_VALUE"""),"有")</f>
        <v>有</v>
      </c>
      <c r="EW41" s="4" t="str">
        <f ca="1">IFERROR(__xludf.DUMMYFUNCTION("""COMPUTED_VALUE"""),"無")</f>
        <v>無</v>
      </c>
      <c r="EX41" s="4"/>
      <c r="EY41" s="4"/>
      <c r="EZ41" s="4" t="str">
        <f ca="1">IFERROR(__xludf.DUMMYFUNCTION("""COMPUTED_VALUE"""),"現在、病院では看護師が全介助を行っている。")</f>
        <v>現在、病院では看護師が全介助を行っている。</v>
      </c>
      <c r="FA41" s="4"/>
      <c r="FB41" s="4" t="str">
        <f ca="1">IFERROR(__xludf.DUMMYFUNCTION("""COMPUTED_VALUE"""),"入力")</f>
        <v>入力</v>
      </c>
      <c r="FC41" s="4" t="str">
        <f ca="1">IFERROR(__xludf.DUMMYFUNCTION("""COMPUTED_VALUE"""),"一部介助")</f>
        <v>一部介助</v>
      </c>
      <c r="FD41" s="4" t="str">
        <f ca="1">IFERROR(__xludf.DUMMYFUNCTION("""COMPUTED_VALUE"""),"チェアー浴")</f>
        <v>チェアー浴</v>
      </c>
      <c r="FE41" s="4" t="str">
        <f ca="1">IFERROR(__xludf.DUMMYFUNCTION("""COMPUTED_VALUE"""),"無")</f>
        <v>無</v>
      </c>
      <c r="FF41" s="4"/>
      <c r="FG41" s="4" t="str">
        <f ca="1">IFERROR(__xludf.DUMMYFUNCTION("""COMPUTED_VALUE"""),"全介助")</f>
        <v>全介助</v>
      </c>
      <c r="FH41" s="4" t="str">
        <f ca="1">IFERROR(__xludf.DUMMYFUNCTION("""COMPUTED_VALUE"""),"全介助")</f>
        <v>全介助</v>
      </c>
      <c r="FI41" s="4" t="str">
        <f ca="1">IFERROR(__xludf.DUMMYFUNCTION("""COMPUTED_VALUE"""),"入浴はチェアー浴を利用しており、基本依存的で全介助を要す。")</f>
        <v>入浴はチェアー浴を利用しており、基本依存的で全介助を要す。</v>
      </c>
      <c r="FJ41" s="4"/>
      <c r="FK41" s="4" t="str">
        <f ca="1">IFERROR(__xludf.DUMMYFUNCTION("""COMPUTED_VALUE"""),"入力")</f>
        <v>入力</v>
      </c>
      <c r="FL41" s="4" t="str">
        <f ca="1">IFERROR(__xludf.DUMMYFUNCTION("""COMPUTED_VALUE"""),"全介助")</f>
        <v>全介助</v>
      </c>
      <c r="FM41" s="4"/>
      <c r="FN41" s="4" t="str">
        <f ca="1">IFERROR(__xludf.DUMMYFUNCTION("""COMPUTED_VALUE"""),"有")</f>
        <v>有</v>
      </c>
      <c r="FO41" s="4"/>
      <c r="FP41" s="4" t="str">
        <f ca="1">IFERROR(__xludf.DUMMYFUNCTION("""COMPUTED_VALUE"""),"有")</f>
        <v>有</v>
      </c>
      <c r="FQ41" s="4"/>
      <c r="FR41" s="4" t="str">
        <f ca="1">IFERROR(__xludf.DUMMYFUNCTION("""COMPUTED_VALUE"""),"オムツ")</f>
        <v>オムツ</v>
      </c>
      <c r="FS41" s="4" t="str">
        <f ca="1">IFERROR(__xludf.DUMMYFUNCTION("""COMPUTED_VALUE"""),"オムツ")</f>
        <v>オムツ</v>
      </c>
      <c r="FT41" s="4" t="str">
        <f ca="1">IFERROR(__xludf.DUMMYFUNCTION("""COMPUTED_VALUE"""),"紙おむつ , 大パット")</f>
        <v>紙おむつ , 大パット</v>
      </c>
      <c r="FU41" s="4" t="str">
        <f ca="1">IFERROR(__xludf.DUMMYFUNCTION("""COMPUTED_VALUE"""),"2週間前まではトイレを使用していたが、前施設へ退院できないことが分かってから、気分が落ち込み、現在は紙おむつ内に失禁され、定期的に交換を行っている。トイレへ誘導すると行けるときもあるが、気分次第な部分が大きい。汚染に気づかないことも多々ある。
便が緩く、肛門にびらんあり。軟膏処置を行っている。")</f>
        <v>2週間前まではトイレを使用していたが、前施設へ退院できないことが分かってから、気分が落ち込み、現在は紙おむつ内に失禁され、定期的に交換を行っている。トイレへ誘導すると行けるときもあるが、気分次第な部分が大きい。汚染に気づかないことも多々ある。
便が緩く、肛門にびらんあり。軟膏処置を行っている。</v>
      </c>
      <c r="FV41" s="4"/>
      <c r="FW41" s="4"/>
      <c r="FX41" s="4" t="str">
        <f ca="1">IFERROR(__xludf.DUMMYFUNCTION("""COMPUTED_VALUE"""),"入力")</f>
        <v>入力</v>
      </c>
      <c r="FY41" s="4" t="str">
        <f ca="1">IFERROR(__xludf.DUMMYFUNCTION("""COMPUTED_VALUE"""),"全介助")</f>
        <v>全介助</v>
      </c>
      <c r="FZ41" s="4" t="str">
        <f ca="1">IFERROR(__xludf.DUMMYFUNCTION("""COMPUTED_VALUE"""),"全介助")</f>
        <v>全介助</v>
      </c>
      <c r="GA41" s="4" t="str">
        <f ca="1">IFERROR(__xludf.DUMMYFUNCTION("""COMPUTED_VALUE"""),"全介助")</f>
        <v>全介助</v>
      </c>
      <c r="GB41" s="4" t="str">
        <f ca="1">IFERROR(__xludf.DUMMYFUNCTION("""COMPUTED_VALUE"""),"全介助")</f>
        <v>全介助</v>
      </c>
      <c r="GC41" s="4" t="str">
        <f ca="1">IFERROR(__xludf.DUMMYFUNCTION("""COMPUTED_VALUE"""),"全介助")</f>
        <v>全介助</v>
      </c>
      <c r="GD41" s="4" t="str">
        <f ca="1">IFERROR(__xludf.DUMMYFUNCTION("""COMPUTED_VALUE"""),"今後は施設サービスを利用する。")</f>
        <v>今後は施設サービスを利用する。</v>
      </c>
      <c r="GE41" s="4"/>
      <c r="GF41" s="4"/>
      <c r="GG41" s="4" t="str">
        <f ca="1">IFERROR(__xludf.DUMMYFUNCTION("""COMPUTED_VALUE"""),"課題
・透析：週3回、津腎クリニックへの透析
・服薬管理：拒否傾向がある為、タイミングや声掛けの工夫が必要
・食事：腎臓食の継続と摂取量の確保
・皮膚ケア：肛門付近のびらんの処置継続")</f>
        <v>課題
・透析：週3回、津腎クリニックへの透析
・服薬管理：拒否傾向がある為、タイミングや声掛けの工夫が必要
・食事：腎臓食の継続と摂取量の確保
・皮膚ケア：肛門付近のびらんの処置継続</v>
      </c>
      <c r="GH41" s="4">
        <f ca="1">IFERROR(__xludf.DUMMYFUNCTION("""COMPUTED_VALUE"""),30)</f>
        <v>30</v>
      </c>
      <c r="GI41" s="4"/>
    </row>
  </sheetData>
  <phoneticPr fontId="16"/>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I43"/>
  <sheetViews>
    <sheetView workbookViewId="0"/>
  </sheetViews>
  <sheetFormatPr defaultColWidth="12.5703125" defaultRowHeight="15.75" customHeight="1"/>
  <sheetData>
    <row r="1" spans="1:9">
      <c r="A1" s="4" t="str">
        <f ca="1">IFERROR(__xludf.DUMMYFUNCTION("QUERY(IMPORTRANGE(""https://docs.google.com/spreadsheets/d/1oyZMPRie0ZbHoRSApgUTWrLJRtDYMGUGZx5wkotTseU/edit?gid=2129780289#gid=2129780289"", ""利用者一覧!A:i""), ""SELECT * WHERE Col9 CONTAINS '山川　和輝'"")"),"ラウンドナンバー")</f>
        <v>ラウンドナンバー</v>
      </c>
      <c r="B1" s="4" t="str">
        <f ca="1">IFERROR(__xludf.DUMMYFUNCTION("""COMPUTED_VALUE"""),"利用者ID（被保険者番号）")</f>
        <v>利用者ID（被保険者番号）</v>
      </c>
      <c r="C1" s="4" t="str">
        <f ca="1">IFERROR(__xludf.DUMMYFUNCTION("""COMPUTED_VALUE"""),"利用者名")</f>
        <v>利用者名</v>
      </c>
      <c r="D1" s="4" t="str">
        <f ca="1">IFERROR(__xludf.DUMMYFUNCTION("""COMPUTED_VALUE"""),"氏名（ふりがな）")</f>
        <v>氏名（ふりがな）</v>
      </c>
      <c r="E1" s="4" t="str">
        <f ca="1">IFERROR(__xludf.DUMMYFUNCTION("""COMPUTED_VALUE"""),"性別")</f>
        <v>性別</v>
      </c>
      <c r="F1" s="4" t="str">
        <f ca="1">IFERROR(__xludf.DUMMYFUNCTION("""COMPUTED_VALUE"""),"生年月日")</f>
        <v>生年月日</v>
      </c>
      <c r="G1" s="4" t="str">
        <f ca="1">IFERROR(__xludf.DUMMYFUNCTION("""COMPUTED_VALUE"""),"住所")</f>
        <v>住所</v>
      </c>
      <c r="H1" s="4" t="str">
        <f ca="1">IFERROR(__xludf.DUMMYFUNCTION("""COMPUTED_VALUE"""),"連絡先")</f>
        <v>連絡先</v>
      </c>
      <c r="I1" s="4" t="str">
        <f ca="1">IFERROR(__xludf.DUMMYFUNCTION("""COMPUTED_VALUE"""),"担当ケアマネID")</f>
        <v>担当ケアマネID</v>
      </c>
    </row>
    <row r="2" spans="1:9">
      <c r="A2" s="4" t="str">
        <f ca="1">IFERROR(__xludf.DUMMYFUNCTION("""COMPUTED_VALUE"""),"6fb7d037")</f>
        <v>6fb7d037</v>
      </c>
      <c r="B2" s="4">
        <f ca="1">IFERROR(__xludf.DUMMYFUNCTION("""COMPUTED_VALUE"""),0)</f>
        <v>0</v>
      </c>
      <c r="C2" s="4" t="str">
        <f ca="1">IFERROR(__xludf.DUMMYFUNCTION("""COMPUTED_VALUE"""),"鬼頭　孝子")</f>
        <v>鬼頭　孝子</v>
      </c>
      <c r="D2" s="4" t="str">
        <f ca="1">IFERROR(__xludf.DUMMYFUNCTION("""COMPUTED_VALUE"""),"きとう　たかこ")</f>
        <v>きとう　たかこ</v>
      </c>
      <c r="E2" s="4" t="str">
        <f ca="1">IFERROR(__xludf.DUMMYFUNCTION("""COMPUTED_VALUE"""),"女")</f>
        <v>女</v>
      </c>
      <c r="F2" s="4"/>
      <c r="G2" s="4"/>
      <c r="H2" s="4"/>
      <c r="I2" s="4" t="str">
        <f ca="1">IFERROR(__xludf.DUMMYFUNCTION("""COMPUTED_VALUE"""),"山川　和輝")</f>
        <v>山川　和輝</v>
      </c>
    </row>
    <row r="3" spans="1:9">
      <c r="A3" s="4"/>
      <c r="B3" s="4">
        <f ca="1">IFERROR(__xludf.DUMMYFUNCTION("""COMPUTED_VALUE"""),201001000)</f>
        <v>201001000</v>
      </c>
      <c r="C3" s="4" t="str">
        <f ca="1">IFERROR(__xludf.DUMMYFUNCTION("""COMPUTED_VALUE"""),"濵中　美枝子")</f>
        <v>濵中　美枝子</v>
      </c>
      <c r="D3" s="4" t="str">
        <f ca="1">IFERROR(__xludf.DUMMYFUNCTION("""COMPUTED_VALUE"""),"はまなか　みえこ")</f>
        <v>はまなか　みえこ</v>
      </c>
      <c r="E3" s="4" t="str">
        <f ca="1">IFERROR(__xludf.DUMMYFUNCTION("""COMPUTED_VALUE"""),"女")</f>
        <v>女</v>
      </c>
      <c r="F3" s="4" t="str">
        <f ca="1">IFERROR(__xludf.DUMMYFUNCTION("""COMPUTED_VALUE"""),"昭和8年4月20日")</f>
        <v>昭和8年4月20日</v>
      </c>
      <c r="G3" s="4" t="str">
        <f ca="1">IFERROR(__xludf.DUMMYFUNCTION("""COMPUTED_VALUE"""),"津市神納町12-16")</f>
        <v>津市神納町12-16</v>
      </c>
      <c r="H3" s="4"/>
      <c r="I3" s="4" t="str">
        <f ca="1">IFERROR(__xludf.DUMMYFUNCTION("""COMPUTED_VALUE"""),"山川　和輝")</f>
        <v>山川　和輝</v>
      </c>
    </row>
    <row r="4" spans="1:9">
      <c r="A4" s="4"/>
      <c r="B4" s="4">
        <f ca="1">IFERROR(__xludf.DUMMYFUNCTION("""COMPUTED_VALUE"""),2070030849)</f>
        <v>2070030849</v>
      </c>
      <c r="C4" s="4" t="str">
        <f ca="1">IFERROR(__xludf.DUMMYFUNCTION("""COMPUTED_VALUE"""),"中村　セツ子")</f>
        <v>中村　セツ子</v>
      </c>
      <c r="D4" s="4" t="str">
        <f ca="1">IFERROR(__xludf.DUMMYFUNCTION("""COMPUTED_VALUE"""),"なかむら　せつこ")</f>
        <v>なかむら　せつこ</v>
      </c>
      <c r="E4" s="4" t="str">
        <f ca="1">IFERROR(__xludf.DUMMYFUNCTION("""COMPUTED_VALUE"""),"女")</f>
        <v>女</v>
      </c>
      <c r="F4" s="4" t="str">
        <f ca="1">IFERROR(__xludf.DUMMYFUNCTION("""COMPUTED_VALUE"""),"昭和11年11月5日")</f>
        <v>昭和11年11月5日</v>
      </c>
      <c r="G4" s="4" t="str">
        <f ca="1">IFERROR(__xludf.DUMMYFUNCTION("""COMPUTED_VALUE"""),"鈴鹿市庄野町共進1-2-39")</f>
        <v>鈴鹿市庄野町共進1-2-39</v>
      </c>
      <c r="H4" s="4"/>
      <c r="I4" s="4" t="str">
        <f ca="1">IFERROR(__xludf.DUMMYFUNCTION("""COMPUTED_VALUE"""),"山川　和輝")</f>
        <v>山川　和輝</v>
      </c>
    </row>
    <row r="5" spans="1:9">
      <c r="A5" s="4"/>
      <c r="B5" s="4">
        <f ca="1">IFERROR(__xludf.DUMMYFUNCTION("""COMPUTED_VALUE"""),2010030450)</f>
        <v>2010030450</v>
      </c>
      <c r="C5" s="4" t="str">
        <f ca="1">IFERROR(__xludf.DUMMYFUNCTION("""COMPUTED_VALUE"""),"後藤　と志子")</f>
        <v>後藤　と志子</v>
      </c>
      <c r="D5" s="4" t="str">
        <f ca="1">IFERROR(__xludf.DUMMYFUNCTION("""COMPUTED_VALUE"""),"ごとう　としこ")</f>
        <v>ごとう　としこ</v>
      </c>
      <c r="E5" s="4" t="str">
        <f ca="1">IFERROR(__xludf.DUMMYFUNCTION("""COMPUTED_VALUE"""),"女")</f>
        <v>女</v>
      </c>
      <c r="F5" s="4" t="str">
        <f ca="1">IFERROR(__xludf.DUMMYFUNCTION("""COMPUTED_VALUE"""),"昭和10年12月25日")</f>
        <v>昭和10年12月25日</v>
      </c>
      <c r="G5" s="4" t="str">
        <f ca="1">IFERROR(__xludf.DUMMYFUNCTION("""COMPUTED_VALUE"""),"三重県津市長岡町750-68")</f>
        <v>三重県津市長岡町750-68</v>
      </c>
      <c r="H5" s="4"/>
      <c r="I5" s="4" t="str">
        <f ca="1">IFERROR(__xludf.DUMMYFUNCTION("""COMPUTED_VALUE"""),"山川　和輝")</f>
        <v>山川　和輝</v>
      </c>
    </row>
    <row r="6" spans="1:9">
      <c r="A6" s="4"/>
      <c r="B6" s="4">
        <f ca="1">IFERROR(__xludf.DUMMYFUNCTION("""COMPUTED_VALUE"""),1231)</f>
        <v>1231</v>
      </c>
      <c r="C6" s="4" t="str">
        <f ca="1">IFERROR(__xludf.DUMMYFUNCTION("""COMPUTED_VALUE"""),"藤村　國造")</f>
        <v>藤村　國造</v>
      </c>
      <c r="D6" s="4" t="str">
        <f ca="1">IFERROR(__xludf.DUMMYFUNCTION("""COMPUTED_VALUE"""),"ふじむら　くにぞう")</f>
        <v>ふじむら　くにぞう</v>
      </c>
      <c r="E6" s="4" t="str">
        <f ca="1">IFERROR(__xludf.DUMMYFUNCTION("""COMPUTED_VALUE"""),"男")</f>
        <v>男</v>
      </c>
      <c r="F6" s="4" t="str">
        <f ca="1">IFERROR(__xludf.DUMMYFUNCTION("""COMPUTED_VALUE"""),"昭和9年5月2日")</f>
        <v>昭和9年5月2日</v>
      </c>
      <c r="G6" s="4" t="str">
        <f ca="1">IFERROR(__xludf.DUMMYFUNCTION("""COMPUTED_VALUE"""),"津市西古河町7-18")</f>
        <v>津市西古河町7-18</v>
      </c>
      <c r="H6" s="4"/>
      <c r="I6" s="4" t="str">
        <f ca="1">IFERROR(__xludf.DUMMYFUNCTION("""COMPUTED_VALUE"""),"山川　和輝")</f>
        <v>山川　和輝</v>
      </c>
    </row>
    <row r="7" spans="1:9">
      <c r="A7" s="4"/>
      <c r="B7" s="4">
        <f ca="1">IFERROR(__xludf.DUMMYFUNCTION("""COMPUTED_VALUE"""),12456521)</f>
        <v>12456521</v>
      </c>
      <c r="C7" s="4" t="str">
        <f ca="1">IFERROR(__xludf.DUMMYFUNCTION("""COMPUTED_VALUE"""),"山岡　義夫")</f>
        <v>山岡　義夫</v>
      </c>
      <c r="D7" s="4" t="str">
        <f ca="1">IFERROR(__xludf.DUMMYFUNCTION("""COMPUTED_VALUE"""),"やまおか　よしお")</f>
        <v>やまおか　よしお</v>
      </c>
      <c r="E7" s="4" t="str">
        <f ca="1">IFERROR(__xludf.DUMMYFUNCTION("""COMPUTED_VALUE"""),"男")</f>
        <v>男</v>
      </c>
      <c r="F7" s="4" t="str">
        <f ca="1">IFERROR(__xludf.DUMMYFUNCTION("""COMPUTED_VALUE"""),"昭和28年1月2日")</f>
        <v>昭和28年1月2日</v>
      </c>
      <c r="G7" s="4" t="str">
        <f ca="1">IFERROR(__xludf.DUMMYFUNCTION("""COMPUTED_VALUE"""),"津市寿町13-44")</f>
        <v>津市寿町13-44</v>
      </c>
      <c r="H7" s="4"/>
      <c r="I7" s="4" t="str">
        <f ca="1">IFERROR(__xludf.DUMMYFUNCTION("""COMPUTED_VALUE"""),"山川　和輝")</f>
        <v>山川　和輝</v>
      </c>
    </row>
    <row r="8" spans="1:9">
      <c r="A8" s="4"/>
      <c r="B8" s="4">
        <f ca="1">IFERROR(__xludf.DUMMYFUNCTION("""COMPUTED_VALUE"""),3840005228)</f>
        <v>3840005228</v>
      </c>
      <c r="C8" s="4" t="str">
        <f ca="1">IFERROR(__xludf.DUMMYFUNCTION("""COMPUTED_VALUE"""),"宮畑　廣仁")</f>
        <v>宮畑　廣仁</v>
      </c>
      <c r="D8" s="4" t="str">
        <f ca="1">IFERROR(__xludf.DUMMYFUNCTION("""COMPUTED_VALUE"""),"みやはた　ひろひと")</f>
        <v>みやはた　ひろひと</v>
      </c>
      <c r="E8" s="4" t="str">
        <f ca="1">IFERROR(__xludf.DUMMYFUNCTION("""COMPUTED_VALUE"""),"男")</f>
        <v>男</v>
      </c>
      <c r="F8" s="4" t="str">
        <f ca="1">IFERROR(__xludf.DUMMYFUNCTION("""COMPUTED_VALUE"""),"昭和15年10月20日")</f>
        <v>昭和15年10月20日</v>
      </c>
      <c r="G8" s="4" t="str">
        <f ca="1">IFERROR(__xludf.DUMMYFUNCTION("""COMPUTED_VALUE"""),"津市安濃町今徳174")</f>
        <v>津市安濃町今徳174</v>
      </c>
      <c r="H8" s="4"/>
      <c r="I8" s="4" t="str">
        <f ca="1">IFERROR(__xludf.DUMMYFUNCTION("""COMPUTED_VALUE"""),"山川　和輝")</f>
        <v>山川　和輝</v>
      </c>
    </row>
    <row r="9" spans="1:9">
      <c r="A9" s="4" t="str">
        <f ca="1">IFERROR(__xludf.DUMMYFUNCTION("""COMPUTED_VALUE"""),"34f71f2c")</f>
        <v>34f71f2c</v>
      </c>
      <c r="B9" s="4">
        <f ca="1">IFERROR(__xludf.DUMMYFUNCTION("""COMPUTED_VALUE"""),2010031305)</f>
        <v>2010031305</v>
      </c>
      <c r="C9" s="4" t="str">
        <f ca="1">IFERROR(__xludf.DUMMYFUNCTION("""COMPUTED_VALUE"""),"樋口　智子")</f>
        <v>樋口　智子</v>
      </c>
      <c r="D9" s="4" t="str">
        <f ca="1">IFERROR(__xludf.DUMMYFUNCTION("""COMPUTED_VALUE"""),"ひぐち　ともこ")</f>
        <v>ひぐち　ともこ</v>
      </c>
      <c r="E9" s="4" t="str">
        <f ca="1">IFERROR(__xludf.DUMMYFUNCTION("""COMPUTED_VALUE"""),"女")</f>
        <v>女</v>
      </c>
      <c r="F9" s="4" t="str">
        <f ca="1">IFERROR(__xludf.DUMMYFUNCTION("""COMPUTED_VALUE"""),"昭和11年4月12日")</f>
        <v>昭和11年4月12日</v>
      </c>
      <c r="G9" s="4" t="str">
        <f ca="1">IFERROR(__xludf.DUMMYFUNCTION("""COMPUTED_VALUE"""),"津市広明町175-2")</f>
        <v>津市広明町175-2</v>
      </c>
      <c r="H9" s="4" t="str">
        <f ca="1">IFERROR(__xludf.DUMMYFUNCTION("""COMPUTED_VALUE"""),"080-1578-8809")</f>
        <v>080-1578-8809</v>
      </c>
      <c r="I9" s="4" t="str">
        <f ca="1">IFERROR(__xludf.DUMMYFUNCTION("""COMPUTED_VALUE"""),"山川　和輝")</f>
        <v>山川　和輝</v>
      </c>
    </row>
    <row r="10" spans="1:9">
      <c r="A10" s="4" t="str">
        <f ca="1">IFERROR(__xludf.DUMMYFUNCTION("""COMPUTED_VALUE"""),"6831bba2")</f>
        <v>6831bba2</v>
      </c>
      <c r="B10" s="4">
        <f ca="1">IFERROR(__xludf.DUMMYFUNCTION("""COMPUTED_VALUE"""),2010010752)</f>
        <v>2010010752</v>
      </c>
      <c r="C10" s="4" t="str">
        <f ca="1">IFERROR(__xludf.DUMMYFUNCTION("""COMPUTED_VALUE"""),"岡部　玲子")</f>
        <v>岡部　玲子</v>
      </c>
      <c r="D10" s="4" t="str">
        <f ca="1">IFERROR(__xludf.DUMMYFUNCTION("""COMPUTED_VALUE"""),"おかべ　れいこ")</f>
        <v>おかべ　れいこ</v>
      </c>
      <c r="E10" s="4" t="str">
        <f ca="1">IFERROR(__xludf.DUMMYFUNCTION("""COMPUTED_VALUE"""),"女")</f>
        <v>女</v>
      </c>
      <c r="F10" s="4" t="str">
        <f ca="1">IFERROR(__xludf.DUMMYFUNCTION("""COMPUTED_VALUE"""),"昭和3年9月22日")</f>
        <v>昭和3年9月22日</v>
      </c>
      <c r="G10" s="4" t="str">
        <f ca="1">IFERROR(__xludf.DUMMYFUNCTION("""COMPUTED_VALUE"""),"津市柳山津興650-4")</f>
        <v>津市柳山津興650-4</v>
      </c>
      <c r="H10" s="4"/>
      <c r="I10" s="4" t="str">
        <f ca="1">IFERROR(__xludf.DUMMYFUNCTION("""COMPUTED_VALUE"""),"山川　和輝")</f>
        <v>山川　和輝</v>
      </c>
    </row>
    <row r="11" spans="1:9">
      <c r="A11" s="4" t="str">
        <f ca="1">IFERROR(__xludf.DUMMYFUNCTION("""COMPUTED_VALUE"""),"96be7889")</f>
        <v>96be7889</v>
      </c>
      <c r="B11" s="4">
        <f ca="1">IFERROR(__xludf.DUMMYFUNCTION("""COMPUTED_VALUE"""),2010015793)</f>
        <v>2010015793</v>
      </c>
      <c r="C11" s="4" t="str">
        <f ca="1">IFERROR(__xludf.DUMMYFUNCTION("""COMPUTED_VALUE"""),"河合　義子")</f>
        <v>河合　義子</v>
      </c>
      <c r="D11" s="4" t="str">
        <f ca="1">IFERROR(__xludf.DUMMYFUNCTION("""COMPUTED_VALUE"""),"かわい　よしこ")</f>
        <v>かわい　よしこ</v>
      </c>
      <c r="E11" s="4" t="str">
        <f ca="1">IFERROR(__xludf.DUMMYFUNCTION("""COMPUTED_VALUE"""),"女")</f>
        <v>女</v>
      </c>
      <c r="F11" s="4" t="str">
        <f ca="1">IFERROR(__xludf.DUMMYFUNCTION("""COMPUTED_VALUE"""),"昭和7年3月1日")</f>
        <v>昭和7年3月1日</v>
      </c>
      <c r="G11" s="4" t="str">
        <f ca="1">IFERROR(__xludf.DUMMYFUNCTION("""COMPUTED_VALUE"""),"三重県津市神戸687")</f>
        <v>三重県津市神戸687</v>
      </c>
      <c r="H11" s="4"/>
      <c r="I11" s="4" t="str">
        <f ca="1">IFERROR(__xludf.DUMMYFUNCTION("""COMPUTED_VALUE"""),"山川　和輝")</f>
        <v>山川　和輝</v>
      </c>
    </row>
    <row r="12" spans="1:9">
      <c r="A12" s="4" t="str">
        <f ca="1">IFERROR(__xludf.DUMMYFUNCTION("""COMPUTED_VALUE"""),"ade37cee")</f>
        <v>ade37cee</v>
      </c>
      <c r="B12" s="4">
        <f ca="1">IFERROR(__xludf.DUMMYFUNCTION("""COMPUTED_VALUE"""),11111111)</f>
        <v>11111111</v>
      </c>
      <c r="C12" s="4" t="str">
        <f ca="1">IFERROR(__xludf.DUMMYFUNCTION("""COMPUTED_VALUE"""),"市瀬　八須子")</f>
        <v>市瀬　八須子</v>
      </c>
      <c r="D12" s="4" t="str">
        <f ca="1">IFERROR(__xludf.DUMMYFUNCTION("""COMPUTED_VALUE"""),"いちせ　やすこ")</f>
        <v>いちせ　やすこ</v>
      </c>
      <c r="E12" s="4" t="str">
        <f ca="1">IFERROR(__xludf.DUMMYFUNCTION("""COMPUTED_VALUE"""),"女")</f>
        <v>女</v>
      </c>
      <c r="F12" s="4" t="str">
        <f ca="1">IFERROR(__xludf.DUMMYFUNCTION("""COMPUTED_VALUE"""),"昭和11年11月4日")</f>
        <v>昭和11年11月4日</v>
      </c>
      <c r="G12" s="4" t="str">
        <f ca="1">IFERROR(__xludf.DUMMYFUNCTION("""COMPUTED_VALUE"""),"三重県津市桜田町10-18　ピオニーリリーⅠ　101号室")</f>
        <v>三重県津市桜田町10-18　ピオニーリリーⅠ　101号室</v>
      </c>
      <c r="H12" s="4"/>
      <c r="I12" s="4" t="str">
        <f ca="1">IFERROR(__xludf.DUMMYFUNCTION("""COMPUTED_VALUE"""),"山川　和輝")</f>
        <v>山川　和輝</v>
      </c>
    </row>
    <row r="13" spans="1:9">
      <c r="A13" s="4" t="str">
        <f ca="1">IFERROR(__xludf.DUMMYFUNCTION("""COMPUTED_VALUE"""),"1de6d384")</f>
        <v>1de6d384</v>
      </c>
      <c r="B13" s="4">
        <f ca="1">IFERROR(__xludf.DUMMYFUNCTION("""COMPUTED_VALUE"""),2010032543)</f>
        <v>2010032543</v>
      </c>
      <c r="C13" s="4" t="str">
        <f ca="1">IFERROR(__xludf.DUMMYFUNCTION("""COMPUTED_VALUE"""),"向井　郁恵")</f>
        <v>向井　郁恵</v>
      </c>
      <c r="D13" s="4" t="str">
        <f ca="1">IFERROR(__xludf.DUMMYFUNCTION("""COMPUTED_VALUE"""),"むかい　いくえ")</f>
        <v>むかい　いくえ</v>
      </c>
      <c r="E13" s="4" t="str">
        <f ca="1">IFERROR(__xludf.DUMMYFUNCTION("""COMPUTED_VALUE"""),"女")</f>
        <v>女</v>
      </c>
      <c r="F13" s="4" t="str">
        <f ca="1">IFERROR(__xludf.DUMMYFUNCTION("""COMPUTED_VALUE"""),"昭和11年11月10日")</f>
        <v>昭和11年11月10日</v>
      </c>
      <c r="G13" s="4" t="str">
        <f ca="1">IFERROR(__xludf.DUMMYFUNCTION("""COMPUTED_VALUE"""),"三重県津市半田2226-58")</f>
        <v>三重県津市半田2226-58</v>
      </c>
      <c r="H13" s="4"/>
      <c r="I13" s="4" t="str">
        <f ca="1">IFERROR(__xludf.DUMMYFUNCTION("""COMPUTED_VALUE"""),"山川　和輝")</f>
        <v>山川　和輝</v>
      </c>
    </row>
    <row r="14" spans="1:9">
      <c r="A14" s="4" t="str">
        <f ca="1">IFERROR(__xludf.DUMMYFUNCTION("""COMPUTED_VALUE"""),"f79ce382")</f>
        <v>f79ce382</v>
      </c>
      <c r="B14" s="4">
        <f ca="1">IFERROR(__xludf.DUMMYFUNCTION("""COMPUTED_VALUE"""),2010084776)</f>
        <v>2010084776</v>
      </c>
      <c r="C14" s="4" t="str">
        <f ca="1">IFERROR(__xludf.DUMMYFUNCTION("""COMPUTED_VALUE"""),"田端　彦三")</f>
        <v>田端　彦三</v>
      </c>
      <c r="D14" s="4" t="str">
        <f ca="1">IFERROR(__xludf.DUMMYFUNCTION("""COMPUTED_VALUE"""),"たばた　ひこぞう")</f>
        <v>たばた　ひこぞう</v>
      </c>
      <c r="E14" s="4" t="str">
        <f ca="1">IFERROR(__xludf.DUMMYFUNCTION("""COMPUTED_VALUE"""),"男")</f>
        <v>男</v>
      </c>
      <c r="F14" s="4" t="str">
        <f ca="1">IFERROR(__xludf.DUMMYFUNCTION("""COMPUTED_VALUE"""),"大正15年7月7日")</f>
        <v>大正15年7月7日</v>
      </c>
      <c r="G14" s="4" t="str">
        <f ca="1">IFERROR(__xludf.DUMMYFUNCTION("""COMPUTED_VALUE"""),"津市久居新町2835番地6")</f>
        <v>津市久居新町2835番地6</v>
      </c>
      <c r="H14" s="4"/>
      <c r="I14" s="4" t="str">
        <f ca="1">IFERROR(__xludf.DUMMYFUNCTION("""COMPUTED_VALUE"""),"山川　和輝")</f>
        <v>山川　和輝</v>
      </c>
    </row>
    <row r="15" spans="1:9">
      <c r="A15" s="4" t="str">
        <f ca="1">IFERROR(__xludf.DUMMYFUNCTION("""COMPUTED_VALUE"""),"abd20c69")</f>
        <v>abd20c69</v>
      </c>
      <c r="B15" s="4">
        <f ca="1">IFERROR(__xludf.DUMMYFUNCTION("""COMPUTED_VALUE"""),860205)</f>
        <v>860205</v>
      </c>
      <c r="C15" s="4" t="str">
        <f ca="1">IFERROR(__xludf.DUMMYFUNCTION("""COMPUTED_VALUE"""),"嶋方　照子")</f>
        <v>嶋方　照子</v>
      </c>
      <c r="D15" s="4" t="str">
        <f ca="1">IFERROR(__xludf.DUMMYFUNCTION("""COMPUTED_VALUE"""),"しまかた　てるこ")</f>
        <v>しまかた　てるこ</v>
      </c>
      <c r="E15" s="4" t="str">
        <f ca="1">IFERROR(__xludf.DUMMYFUNCTION("""COMPUTED_VALUE"""),"女")</f>
        <v>女</v>
      </c>
      <c r="F15" s="4" t="str">
        <f ca="1">IFERROR(__xludf.DUMMYFUNCTION("""COMPUTED_VALUE"""),"昭和11年5月7日")</f>
        <v>昭和11年5月7日</v>
      </c>
      <c r="G15" s="4" t="str">
        <f ca="1">IFERROR(__xludf.DUMMYFUNCTION("""COMPUTED_VALUE"""),"神奈川県横須賀市田浦町2丁目15番地")</f>
        <v>神奈川県横須賀市田浦町2丁目15番地</v>
      </c>
      <c r="H15" s="4"/>
      <c r="I15" s="4" t="str">
        <f ca="1">IFERROR(__xludf.DUMMYFUNCTION("""COMPUTED_VALUE"""),"山川　和輝")</f>
        <v>山川　和輝</v>
      </c>
    </row>
    <row r="16" spans="1:9">
      <c r="A16" s="4" t="str">
        <f ca="1">IFERROR(__xludf.DUMMYFUNCTION("""COMPUTED_VALUE"""),"9f19d8d7")</f>
        <v>9f19d8d7</v>
      </c>
      <c r="B16" s="4"/>
      <c r="C16" s="4" t="str">
        <f ca="1">IFERROR(__xludf.DUMMYFUNCTION("""COMPUTED_VALUE"""),"井ノ口　俊明")</f>
        <v>井ノ口　俊明</v>
      </c>
      <c r="D16" s="4" t="str">
        <f ca="1">IFERROR(__xludf.DUMMYFUNCTION("""COMPUTED_VALUE"""),"いのぐち　としあき")</f>
        <v>いのぐち　としあき</v>
      </c>
      <c r="E16" s="4" t="str">
        <f ca="1">IFERROR(__xludf.DUMMYFUNCTION("""COMPUTED_VALUE"""),"男")</f>
        <v>男</v>
      </c>
      <c r="F16" s="4" t="str">
        <f ca="1">IFERROR(__xludf.DUMMYFUNCTION("""COMPUTED_VALUE"""),"昭和13年2月8日")</f>
        <v>昭和13年2月8日</v>
      </c>
      <c r="G16" s="4" t="str">
        <f ca="1">IFERROR(__xludf.DUMMYFUNCTION("""COMPUTED_VALUE"""),"三重県津市高野尾町1774")</f>
        <v>三重県津市高野尾町1774</v>
      </c>
      <c r="H16" s="4" t="str">
        <f ca="1">IFERROR(__xludf.DUMMYFUNCTION("""COMPUTED_VALUE"""),"059-230-0117")</f>
        <v>059-230-0117</v>
      </c>
      <c r="I16" s="4" t="str">
        <f ca="1">IFERROR(__xludf.DUMMYFUNCTION("""COMPUTED_VALUE"""),"山川　和輝")</f>
        <v>山川　和輝</v>
      </c>
    </row>
    <row r="17" spans="1:9">
      <c r="A17" s="4" t="str">
        <f ca="1">IFERROR(__xludf.DUMMYFUNCTION("""COMPUTED_VALUE"""),"16f3869a")</f>
        <v>16f3869a</v>
      </c>
      <c r="B17" s="4">
        <f ca="1">IFERROR(__xludf.DUMMYFUNCTION("""COMPUTED_VALUE"""),2100004795)</f>
        <v>2100004795</v>
      </c>
      <c r="C17" s="4" t="str">
        <f ca="1">IFERROR(__xludf.DUMMYFUNCTION("""COMPUTED_VALUE"""),"近澤　秋男")</f>
        <v>近澤　秋男</v>
      </c>
      <c r="D17" s="4" t="str">
        <f ca="1">IFERROR(__xludf.DUMMYFUNCTION("""COMPUTED_VALUE"""),"ちかざわ　あきお")</f>
        <v>ちかざわ　あきお</v>
      </c>
      <c r="E17" s="4" t="str">
        <f ca="1">IFERROR(__xludf.DUMMYFUNCTION("""COMPUTED_VALUE"""),"男")</f>
        <v>男</v>
      </c>
      <c r="F17" s="4" t="str">
        <f ca="1">IFERROR(__xludf.DUMMYFUNCTION("""COMPUTED_VALUE"""),"昭和3年10月6日")</f>
        <v>昭和3年10月6日</v>
      </c>
      <c r="G17" s="4" t="str">
        <f ca="1">IFERROR(__xludf.DUMMYFUNCTION("""COMPUTED_VALUE"""),"三重県亀山市天神二丁目17番4号")</f>
        <v>三重県亀山市天神二丁目17番4号</v>
      </c>
      <c r="H17" s="4"/>
      <c r="I17" s="4" t="str">
        <f ca="1">IFERROR(__xludf.DUMMYFUNCTION("""COMPUTED_VALUE"""),"山川　和輝")</f>
        <v>山川　和輝</v>
      </c>
    </row>
    <row r="18" spans="1:9">
      <c r="A18" s="4" t="str">
        <f ca="1">IFERROR(__xludf.DUMMYFUNCTION("""COMPUTED_VALUE"""),"f8aeed26")</f>
        <v>f8aeed26</v>
      </c>
      <c r="B18" s="4">
        <f ca="1">IFERROR(__xludf.DUMMYFUNCTION("""COMPUTED_VALUE"""),2010041480)</f>
        <v>2010041480</v>
      </c>
      <c r="C18" s="4" t="str">
        <f ca="1">IFERROR(__xludf.DUMMYFUNCTION("""COMPUTED_VALUE"""),"谷村　紀美子")</f>
        <v>谷村　紀美子</v>
      </c>
      <c r="D18" s="4" t="str">
        <f ca="1">IFERROR(__xludf.DUMMYFUNCTION("""COMPUTED_VALUE"""),"たにむら　きみこ")</f>
        <v>たにむら　きみこ</v>
      </c>
      <c r="E18" s="4" t="str">
        <f ca="1">IFERROR(__xludf.DUMMYFUNCTION("""COMPUTED_VALUE"""),"女")</f>
        <v>女</v>
      </c>
      <c r="F18" s="4" t="str">
        <f ca="1">IFERROR(__xludf.DUMMYFUNCTION("""COMPUTED_VALUE"""),"昭和15年12月6日")</f>
        <v>昭和15年12月6日</v>
      </c>
      <c r="G18" s="4" t="str">
        <f ca="1">IFERROR(__xludf.DUMMYFUNCTION("""COMPUTED_VALUE"""),"三重県津市長岡町3016-6")</f>
        <v>三重県津市長岡町3016-6</v>
      </c>
      <c r="H18" s="4"/>
      <c r="I18" s="4" t="str">
        <f ca="1">IFERROR(__xludf.DUMMYFUNCTION("""COMPUTED_VALUE"""),"山川　和輝")</f>
        <v>山川　和輝</v>
      </c>
    </row>
    <row r="19" spans="1:9">
      <c r="A19" s="4" t="str">
        <f ca="1">IFERROR(__xludf.DUMMYFUNCTION("""COMPUTED_VALUE"""),"6097f45a")</f>
        <v>6097f45a</v>
      </c>
      <c r="B19" s="4">
        <f ca="1">IFERROR(__xludf.DUMMYFUNCTION("""COMPUTED_VALUE"""),2010073085)</f>
        <v>2010073085</v>
      </c>
      <c r="C19" s="4" t="str">
        <f ca="1">IFERROR(__xludf.DUMMYFUNCTION("""COMPUTED_VALUE"""),"前野　健一")</f>
        <v>前野　健一</v>
      </c>
      <c r="D19" s="4" t="str">
        <f ca="1">IFERROR(__xludf.DUMMYFUNCTION("""COMPUTED_VALUE"""),"まえの　けんいち")</f>
        <v>まえの　けんいち</v>
      </c>
      <c r="E19" s="4" t="str">
        <f ca="1">IFERROR(__xludf.DUMMYFUNCTION("""COMPUTED_VALUE"""),"男")</f>
        <v>男</v>
      </c>
      <c r="F19" s="4" t="str">
        <f ca="1">IFERROR(__xludf.DUMMYFUNCTION("""COMPUTED_VALUE"""),"昭和25年11月25日")</f>
        <v>昭和25年11月25日</v>
      </c>
      <c r="G19" s="4" t="str">
        <f ca="1">IFERROR(__xludf.DUMMYFUNCTION("""COMPUTED_VALUE"""),"三重県津市神戸154番地9　安濃津ろまん521号")</f>
        <v>三重県津市神戸154番地9　安濃津ろまん521号</v>
      </c>
      <c r="H19" s="4"/>
      <c r="I19" s="4" t="str">
        <f ca="1">IFERROR(__xludf.DUMMYFUNCTION("""COMPUTED_VALUE"""),"山川　和輝")</f>
        <v>山川　和輝</v>
      </c>
    </row>
    <row r="20" spans="1:9">
      <c r="A20" s="4" t="str">
        <f ca="1">IFERROR(__xludf.DUMMYFUNCTION("""COMPUTED_VALUE"""),"4efae0a9")</f>
        <v>4efae0a9</v>
      </c>
      <c r="B20" s="4">
        <f ca="1">IFERROR(__xludf.DUMMYFUNCTION("""COMPUTED_VALUE"""),2010007577)</f>
        <v>2010007577</v>
      </c>
      <c r="C20" s="4" t="str">
        <f ca="1">IFERROR(__xludf.DUMMYFUNCTION("""COMPUTED_VALUE"""),"栗本　敦子")</f>
        <v>栗本　敦子</v>
      </c>
      <c r="D20" s="4" t="str">
        <f ca="1">IFERROR(__xludf.DUMMYFUNCTION("""COMPUTED_VALUE"""),"くりもと　あつこ")</f>
        <v>くりもと　あつこ</v>
      </c>
      <c r="E20" s="4" t="str">
        <f ca="1">IFERROR(__xludf.DUMMYFUNCTION("""COMPUTED_VALUE"""),"女")</f>
        <v>女</v>
      </c>
      <c r="F20" s="4" t="str">
        <f ca="1">IFERROR(__xludf.DUMMYFUNCTION("""COMPUTED_VALUE"""),"昭和8年9月8日")</f>
        <v>昭和8年9月8日</v>
      </c>
      <c r="G20" s="4" t="str">
        <f ca="1">IFERROR(__xludf.DUMMYFUNCTION("""COMPUTED_VALUE"""),"三重県津市神戸154-9　安濃津ろまん528号")</f>
        <v>三重県津市神戸154-9　安濃津ろまん528号</v>
      </c>
      <c r="H20" s="4"/>
      <c r="I20" s="4" t="str">
        <f ca="1">IFERROR(__xludf.DUMMYFUNCTION("""COMPUTED_VALUE"""),"山川　和輝")</f>
        <v>山川　和輝</v>
      </c>
    </row>
    <row r="21" spans="1:9">
      <c r="A21" s="4" t="str">
        <f ca="1">IFERROR(__xludf.DUMMYFUNCTION("""COMPUTED_VALUE"""),"5109963a")</f>
        <v>5109963a</v>
      </c>
      <c r="B21" s="4">
        <f ca="1">IFERROR(__xludf.DUMMYFUNCTION("""COMPUTED_VALUE"""),4030000195)</f>
        <v>4030000195</v>
      </c>
      <c r="C21" s="4" t="str">
        <f ca="1">IFERROR(__xludf.DUMMYFUNCTION("""COMPUTED_VALUE"""),"川井　良治")</f>
        <v>川井　良治</v>
      </c>
      <c r="D21" s="4" t="str">
        <f ca="1">IFERROR(__xludf.DUMMYFUNCTION("""COMPUTED_VALUE"""),"かわい　りょうじ")</f>
        <v>かわい　りょうじ</v>
      </c>
      <c r="E21" s="4" t="str">
        <f ca="1">IFERROR(__xludf.DUMMYFUNCTION("""COMPUTED_VALUE"""),"男")</f>
        <v>男</v>
      </c>
      <c r="F21" s="4" t="str">
        <f ca="1">IFERROR(__xludf.DUMMYFUNCTION("""COMPUTED_VALUE"""),"大正14年8月28日")</f>
        <v>大正14年8月28日</v>
      </c>
      <c r="G21" s="4" t="str">
        <f ca="1">IFERROR(__xludf.DUMMYFUNCTION("""COMPUTED_VALUE"""),"津市一志町大仰1529")</f>
        <v>津市一志町大仰1529</v>
      </c>
      <c r="H21" s="4"/>
      <c r="I21" s="4" t="str">
        <f ca="1">IFERROR(__xludf.DUMMYFUNCTION("""COMPUTED_VALUE"""),"山川　和輝")</f>
        <v>山川　和輝</v>
      </c>
    </row>
    <row r="22" spans="1:9">
      <c r="A22" s="4" t="str">
        <f ca="1">IFERROR(__xludf.DUMMYFUNCTION("""COMPUTED_VALUE"""),"a3889f5c")</f>
        <v>a3889f5c</v>
      </c>
      <c r="B22" s="4">
        <f ca="1">IFERROR(__xludf.DUMMYFUNCTION("""COMPUTED_VALUE"""),2010035744)</f>
        <v>2010035744</v>
      </c>
      <c r="C22" s="4" t="str">
        <f ca="1">IFERROR(__xludf.DUMMYFUNCTION("""COMPUTED_VALUE"""),"植山　さよ子")</f>
        <v>植山　さよ子</v>
      </c>
      <c r="D22" s="4" t="str">
        <f ca="1">IFERROR(__xludf.DUMMYFUNCTION("""COMPUTED_VALUE"""),"うえやま　さよこ")</f>
        <v>うえやま　さよこ</v>
      </c>
      <c r="E22" s="4" t="str">
        <f ca="1">IFERROR(__xludf.DUMMYFUNCTION("""COMPUTED_VALUE"""),"女")</f>
        <v>女</v>
      </c>
      <c r="F22" s="4" t="str">
        <f ca="1">IFERROR(__xludf.DUMMYFUNCTION("""COMPUTED_VALUE"""),"昭和13年3月22日")</f>
        <v>昭和13年3月22日</v>
      </c>
      <c r="G22" s="4" t="str">
        <f ca="1">IFERROR(__xludf.DUMMYFUNCTION("""COMPUTED_VALUE"""),"三重県津市半田1262-5")</f>
        <v>三重県津市半田1262-5</v>
      </c>
      <c r="H22" s="4"/>
      <c r="I22" s="4" t="str">
        <f ca="1">IFERROR(__xludf.DUMMYFUNCTION("""COMPUTED_VALUE"""),"山川　和輝")</f>
        <v>山川　和輝</v>
      </c>
    </row>
    <row r="23" spans="1:9">
      <c r="A23" s="4" t="str">
        <f ca="1">IFERROR(__xludf.DUMMYFUNCTION("""COMPUTED_VALUE"""),"996219f7")</f>
        <v>996219f7</v>
      </c>
      <c r="B23" s="4">
        <f ca="1">IFERROR(__xludf.DUMMYFUNCTION("""COMPUTED_VALUE"""),2130002548)</f>
        <v>2130002548</v>
      </c>
      <c r="C23" s="4" t="str">
        <f ca="1">IFERROR(__xludf.DUMMYFUNCTION("""COMPUTED_VALUE"""),"松田　昭三")</f>
        <v>松田　昭三</v>
      </c>
      <c r="D23" s="4" t="str">
        <f ca="1">IFERROR(__xludf.DUMMYFUNCTION("""COMPUTED_VALUE"""),"まつだ　しょうぞう")</f>
        <v>まつだ　しょうぞう</v>
      </c>
      <c r="E23" s="4" t="str">
        <f ca="1">IFERROR(__xludf.DUMMYFUNCTION("""COMPUTED_VALUE"""),"男")</f>
        <v>男</v>
      </c>
      <c r="F23" s="4" t="str">
        <f ca="1">IFERROR(__xludf.DUMMYFUNCTION("""COMPUTED_VALUE"""),"昭和4年1月7日")</f>
        <v>昭和4年1月7日</v>
      </c>
      <c r="G23" s="4" t="str">
        <f ca="1">IFERROR(__xludf.DUMMYFUNCTION("""COMPUTED_VALUE"""),"三重県津市久居持川町2200-8")</f>
        <v>三重県津市久居持川町2200-8</v>
      </c>
      <c r="H23" s="4"/>
      <c r="I23" s="4" t="str">
        <f ca="1">IFERROR(__xludf.DUMMYFUNCTION("""COMPUTED_VALUE"""),"山川　和輝")</f>
        <v>山川　和輝</v>
      </c>
    </row>
    <row r="24" spans="1:9">
      <c r="A24" s="4" t="str">
        <f ca="1">IFERROR(__xludf.DUMMYFUNCTION("""COMPUTED_VALUE"""),"5c64a234")</f>
        <v>5c64a234</v>
      </c>
      <c r="B24" s="4">
        <f ca="1">IFERROR(__xludf.DUMMYFUNCTION("""COMPUTED_VALUE"""),2010039408)</f>
        <v>2010039408</v>
      </c>
      <c r="C24" s="4" t="str">
        <f ca="1">IFERROR(__xludf.DUMMYFUNCTION("""COMPUTED_VALUE"""),"前田　美恵子")</f>
        <v>前田　美恵子</v>
      </c>
      <c r="D24" s="4" t="str">
        <f ca="1">IFERROR(__xludf.DUMMYFUNCTION("""COMPUTED_VALUE"""),"まえだ　みえこ")</f>
        <v>まえだ　みえこ</v>
      </c>
      <c r="E24" s="4" t="str">
        <f ca="1">IFERROR(__xludf.DUMMYFUNCTION("""COMPUTED_VALUE"""),"女")</f>
        <v>女</v>
      </c>
      <c r="F24" s="4" t="str">
        <f ca="1">IFERROR(__xludf.DUMMYFUNCTION("""COMPUTED_VALUE"""),"昭和15年1月9日")</f>
        <v>昭和15年1月9日</v>
      </c>
      <c r="G24" s="4" t="str">
        <f ca="1">IFERROR(__xludf.DUMMYFUNCTION("""COMPUTED_VALUE"""),"三重県津市豊が丘一丁目22番1号")</f>
        <v>三重県津市豊が丘一丁目22番1号</v>
      </c>
      <c r="H24" s="4"/>
      <c r="I24" s="4" t="str">
        <f ca="1">IFERROR(__xludf.DUMMYFUNCTION("""COMPUTED_VALUE"""),"山川　和輝")</f>
        <v>山川　和輝</v>
      </c>
    </row>
    <row r="25" spans="1:9">
      <c r="A25" s="4" t="str">
        <f ca="1">IFERROR(__xludf.DUMMYFUNCTION("""COMPUTED_VALUE"""),"49f8ed27")</f>
        <v>49f8ed27</v>
      </c>
      <c r="B25" s="4">
        <f ca="1">IFERROR(__xludf.DUMMYFUNCTION("""COMPUTED_VALUE"""),2010057572)</f>
        <v>2010057572</v>
      </c>
      <c r="C25" s="4" t="str">
        <f ca="1">IFERROR(__xludf.DUMMYFUNCTION("""COMPUTED_VALUE"""),"豊田　眞喜子")</f>
        <v>豊田　眞喜子</v>
      </c>
      <c r="D25" s="4" t="str">
        <f ca="1">IFERROR(__xludf.DUMMYFUNCTION("""COMPUTED_VALUE"""),"とよだ　まきこ")</f>
        <v>とよだ　まきこ</v>
      </c>
      <c r="E25" s="4" t="str">
        <f ca="1">IFERROR(__xludf.DUMMYFUNCTION("""COMPUTED_VALUE"""),"女")</f>
        <v>女</v>
      </c>
      <c r="F25" s="4" t="str">
        <f ca="1">IFERROR(__xludf.DUMMYFUNCTION("""COMPUTED_VALUE"""),"昭和19年9月25日")</f>
        <v>昭和19年9月25日</v>
      </c>
      <c r="G25" s="4" t="str">
        <f ca="1">IFERROR(__xludf.DUMMYFUNCTION("""COMPUTED_VALUE"""),"三重県津市半田1150-6")</f>
        <v>三重県津市半田1150-6</v>
      </c>
      <c r="H25" s="4"/>
      <c r="I25" s="4" t="str">
        <f ca="1">IFERROR(__xludf.DUMMYFUNCTION("""COMPUTED_VALUE"""),"山川　和輝")</f>
        <v>山川　和輝</v>
      </c>
    </row>
    <row r="26" spans="1:9">
      <c r="A26" s="4" t="str">
        <f ca="1">IFERROR(__xludf.DUMMYFUNCTION("""COMPUTED_VALUE"""),"e223d603")</f>
        <v>e223d603</v>
      </c>
      <c r="B26" s="4">
        <f ca="1">IFERROR(__xludf.DUMMYFUNCTION("""COMPUTED_VALUE"""),2070022663)</f>
        <v>2070022663</v>
      </c>
      <c r="C26" s="4" t="str">
        <f ca="1">IFERROR(__xludf.DUMMYFUNCTION("""COMPUTED_VALUE"""),"山分　とめの")</f>
        <v>山分　とめの</v>
      </c>
      <c r="D26" s="4" t="str">
        <f ca="1">IFERROR(__xludf.DUMMYFUNCTION("""COMPUTED_VALUE"""),"やまわけ　とめの")</f>
        <v>やまわけ　とめの</v>
      </c>
      <c r="E26" s="4" t="str">
        <f ca="1">IFERROR(__xludf.DUMMYFUNCTION("""COMPUTED_VALUE"""),"女")</f>
        <v>女</v>
      </c>
      <c r="F26" s="4" t="str">
        <f ca="1">IFERROR(__xludf.DUMMYFUNCTION("""COMPUTED_VALUE"""),"昭和5年4月28日")</f>
        <v>昭和5年4月28日</v>
      </c>
      <c r="G26" s="4" t="str">
        <f ca="1">IFERROR(__xludf.DUMMYFUNCTION("""COMPUTED_VALUE"""),"三重県鈴鹿市東磯山一丁目36-34")</f>
        <v>三重県鈴鹿市東磯山一丁目36-34</v>
      </c>
      <c r="H26" s="4"/>
      <c r="I26" s="4" t="str">
        <f ca="1">IFERROR(__xludf.DUMMYFUNCTION("""COMPUTED_VALUE"""),"山川　和輝")</f>
        <v>山川　和輝</v>
      </c>
    </row>
    <row r="27" spans="1:9">
      <c r="A27" s="4" t="str">
        <f ca="1">IFERROR(__xludf.DUMMYFUNCTION("""COMPUTED_VALUE"""),"a9ec586f")</f>
        <v>a9ec586f</v>
      </c>
      <c r="B27" s="4">
        <f ca="1">IFERROR(__xludf.DUMMYFUNCTION("""COMPUTED_VALUE"""),2010101771)</f>
        <v>2010101771</v>
      </c>
      <c r="C27" s="4" t="str">
        <f ca="1">IFERROR(__xludf.DUMMYFUNCTION("""COMPUTED_VALUE"""),"中村　あゑ子")</f>
        <v>中村　あゑ子</v>
      </c>
      <c r="D27" s="4" t="str">
        <f ca="1">IFERROR(__xludf.DUMMYFUNCTION("""COMPUTED_VALUE"""),"なかむら　あえこ")</f>
        <v>なかむら　あえこ</v>
      </c>
      <c r="E27" s="4" t="str">
        <f ca="1">IFERROR(__xludf.DUMMYFUNCTION("""COMPUTED_VALUE"""),"女")</f>
        <v>女</v>
      </c>
      <c r="F27" s="4" t="str">
        <f ca="1">IFERROR(__xludf.DUMMYFUNCTION("""COMPUTED_VALUE"""),"昭和18年1月1日")</f>
        <v>昭和18年1月1日</v>
      </c>
      <c r="G27" s="4" t="str">
        <f ca="1">IFERROR(__xludf.DUMMYFUNCTION("""COMPUTED_VALUE"""),"三重県津市渋見町700番地5")</f>
        <v>三重県津市渋見町700番地5</v>
      </c>
      <c r="H27" s="4"/>
      <c r="I27" s="4" t="str">
        <f ca="1">IFERROR(__xludf.DUMMYFUNCTION("""COMPUTED_VALUE"""),"山川　和輝")</f>
        <v>山川　和輝</v>
      </c>
    </row>
    <row r="28" spans="1:9">
      <c r="A28" s="4" t="str">
        <f ca="1">IFERROR(__xludf.DUMMYFUNCTION("""COMPUTED_VALUE"""),"9bc49cf6")</f>
        <v>9bc49cf6</v>
      </c>
      <c r="B28" s="4">
        <f ca="1">IFERROR(__xludf.DUMMYFUNCTION("""COMPUTED_VALUE"""),2010009146)</f>
        <v>2010009146</v>
      </c>
      <c r="C28" s="4" t="str">
        <f ca="1">IFERROR(__xludf.DUMMYFUNCTION("""COMPUTED_VALUE"""),"坂下　惠子")</f>
        <v>坂下　惠子</v>
      </c>
      <c r="D28" s="4" t="str">
        <f ca="1">IFERROR(__xludf.DUMMYFUNCTION("""COMPUTED_VALUE"""),"さかした　しげこ")</f>
        <v>さかした　しげこ</v>
      </c>
      <c r="E28" s="4" t="str">
        <f ca="1">IFERROR(__xludf.DUMMYFUNCTION("""COMPUTED_VALUE"""),"女")</f>
        <v>女</v>
      </c>
      <c r="F28" s="4" t="str">
        <f ca="1">IFERROR(__xludf.DUMMYFUNCTION("""COMPUTED_VALUE"""),"昭和9年11月18日")</f>
        <v>昭和9年11月18日</v>
      </c>
      <c r="G28" s="4" t="str">
        <f ca="1">IFERROR(__xludf.DUMMYFUNCTION("""COMPUTED_VALUE"""),"三重県津市神戸154-9")</f>
        <v>三重県津市神戸154-9</v>
      </c>
      <c r="H28" s="4"/>
      <c r="I28" s="4" t="str">
        <f ca="1">IFERROR(__xludf.DUMMYFUNCTION("""COMPUTED_VALUE"""),"山川　和輝")</f>
        <v>山川　和輝</v>
      </c>
    </row>
    <row r="29" spans="1:9">
      <c r="A29" s="4" t="str">
        <f ca="1">IFERROR(__xludf.DUMMYFUNCTION("""COMPUTED_VALUE"""),"89ca2207")</f>
        <v>89ca2207</v>
      </c>
      <c r="B29" s="4"/>
      <c r="C29" s="4" t="str">
        <f ca="1">IFERROR(__xludf.DUMMYFUNCTION("""COMPUTED_VALUE"""),"岡本　文子")</f>
        <v>岡本　文子</v>
      </c>
      <c r="D29" s="4" t="str">
        <f ca="1">IFERROR(__xludf.DUMMYFUNCTION("""COMPUTED_VALUE"""),"おかもと　ふみこ")</f>
        <v>おかもと　ふみこ</v>
      </c>
      <c r="E29" s="4" t="str">
        <f ca="1">IFERROR(__xludf.DUMMYFUNCTION("""COMPUTED_VALUE"""),"女")</f>
        <v>女</v>
      </c>
      <c r="F29" s="4" t="str">
        <f ca="1">IFERROR(__xludf.DUMMYFUNCTION("""COMPUTED_VALUE"""),"昭和6年8月1日")</f>
        <v>昭和6年8月1日</v>
      </c>
      <c r="G29" s="4" t="str">
        <f ca="1">IFERROR(__xludf.DUMMYFUNCTION("""COMPUTED_VALUE"""),"三重県津市新町2丁目7-45")</f>
        <v>三重県津市新町2丁目7-45</v>
      </c>
      <c r="H29" s="4"/>
      <c r="I29" s="4" t="str">
        <f ca="1">IFERROR(__xludf.DUMMYFUNCTION("""COMPUTED_VALUE"""),"山川　和輝")</f>
        <v>山川　和輝</v>
      </c>
    </row>
    <row r="30" spans="1:9">
      <c r="A30" s="4" t="str">
        <f ca="1">IFERROR(__xludf.DUMMYFUNCTION("""COMPUTED_VALUE"""),"6e4257f0")</f>
        <v>6e4257f0</v>
      </c>
      <c r="B30" s="4">
        <f ca="1">IFERROR(__xludf.DUMMYFUNCTION("""COMPUTED_VALUE"""),2010085951)</f>
        <v>2010085951</v>
      </c>
      <c r="C30" s="4" t="str">
        <f ca="1">IFERROR(__xludf.DUMMYFUNCTION("""COMPUTED_VALUE"""),"池村　洋子")</f>
        <v>池村　洋子</v>
      </c>
      <c r="D30" s="4" t="str">
        <f ca="1">IFERROR(__xludf.DUMMYFUNCTION("""COMPUTED_VALUE"""),"いけむら　ようこ")</f>
        <v>いけむら　ようこ</v>
      </c>
      <c r="E30" s="4" t="str">
        <f ca="1">IFERROR(__xludf.DUMMYFUNCTION("""COMPUTED_VALUE"""),"女")</f>
        <v>女</v>
      </c>
      <c r="F30" s="4" t="str">
        <f ca="1">IFERROR(__xludf.DUMMYFUNCTION("""COMPUTED_VALUE"""),"昭和25年12月30日")</f>
        <v>昭和25年12月30日</v>
      </c>
      <c r="G30" s="4" t="str">
        <f ca="1">IFERROR(__xludf.DUMMYFUNCTION("""COMPUTED_VALUE"""),"三重県津市殿村451")</f>
        <v>三重県津市殿村451</v>
      </c>
      <c r="H30" s="4"/>
      <c r="I30" s="4" t="str">
        <f ca="1">IFERROR(__xludf.DUMMYFUNCTION("""COMPUTED_VALUE"""),"山川　和輝")</f>
        <v>山川　和輝</v>
      </c>
    </row>
    <row r="31" spans="1:9">
      <c r="A31" s="4" t="str">
        <f ca="1">IFERROR(__xludf.DUMMYFUNCTION("""COMPUTED_VALUE"""),"836ef193")</f>
        <v>836ef193</v>
      </c>
      <c r="B31" s="4">
        <f ca="1">IFERROR(__xludf.DUMMYFUNCTION("""COMPUTED_VALUE"""),2010105600)</f>
        <v>2010105600</v>
      </c>
      <c r="C31" s="4" t="str">
        <f ca="1">IFERROR(__xludf.DUMMYFUNCTION("""COMPUTED_VALUE"""),"稲垣　茂")</f>
        <v>稲垣　茂</v>
      </c>
      <c r="D31" s="4" t="str">
        <f ca="1">IFERROR(__xludf.DUMMYFUNCTION("""COMPUTED_VALUE"""),"いながき　しげる")</f>
        <v>いながき　しげる</v>
      </c>
      <c r="E31" s="4" t="str">
        <f ca="1">IFERROR(__xludf.DUMMYFUNCTION("""COMPUTED_VALUE"""),"男")</f>
        <v>男</v>
      </c>
      <c r="F31" s="4" t="str">
        <f ca="1">IFERROR(__xludf.DUMMYFUNCTION("""COMPUTED_VALUE"""),"昭和39年11月24日")</f>
        <v>昭和39年11月24日</v>
      </c>
      <c r="G31" s="4" t="str">
        <f ca="1">IFERROR(__xludf.DUMMYFUNCTION("""COMPUTED_VALUE"""),"津市阿漕町津興2446")</f>
        <v>津市阿漕町津興2446</v>
      </c>
      <c r="H31" s="4"/>
      <c r="I31" s="4" t="str">
        <f ca="1">IFERROR(__xludf.DUMMYFUNCTION("""COMPUTED_VALUE"""),"山川　和輝")</f>
        <v>山川　和輝</v>
      </c>
    </row>
    <row r="32" spans="1:9">
      <c r="A32" s="4" t="str">
        <f ca="1">IFERROR(__xludf.DUMMYFUNCTION("""COMPUTED_VALUE"""),"b3f1c853")</f>
        <v>b3f1c853</v>
      </c>
      <c r="B32" s="4">
        <f ca="1">IFERROR(__xludf.DUMMYFUNCTION("""COMPUTED_VALUE"""),0)</f>
        <v>0</v>
      </c>
      <c r="C32" s="4" t="str">
        <f ca="1">IFERROR(__xludf.DUMMYFUNCTION("""COMPUTED_VALUE"""),"門野　諒子")</f>
        <v>門野　諒子</v>
      </c>
      <c r="D32" s="4" t="str">
        <f ca="1">IFERROR(__xludf.DUMMYFUNCTION("""COMPUTED_VALUE"""),"かどの　りょうこ")</f>
        <v>かどの　りょうこ</v>
      </c>
      <c r="E32" s="4" t="str">
        <f ca="1">IFERROR(__xludf.DUMMYFUNCTION("""COMPUTED_VALUE"""),"女")</f>
        <v>女</v>
      </c>
      <c r="F32" s="4" t="str">
        <f ca="1">IFERROR(__xludf.DUMMYFUNCTION("""COMPUTED_VALUE"""),"昭和13年1月5日")</f>
        <v>昭和13年1月5日</v>
      </c>
      <c r="G32" s="4" t="str">
        <f ca="1">IFERROR(__xludf.DUMMYFUNCTION("""COMPUTED_VALUE"""),"三重県津市上弁財町津興3266")</f>
        <v>三重県津市上弁財町津興3266</v>
      </c>
      <c r="H32" s="4" t="str">
        <f ca="1">IFERROR(__xludf.DUMMYFUNCTION("""COMPUTED_VALUE"""),"090-4403-3766")</f>
        <v>090-4403-3766</v>
      </c>
      <c r="I32" s="4" t="str">
        <f ca="1">IFERROR(__xludf.DUMMYFUNCTION("""COMPUTED_VALUE"""),"山川　和輝")</f>
        <v>山川　和輝</v>
      </c>
    </row>
    <row r="33" spans="1:9">
      <c r="A33" s="4" t="str">
        <f ca="1">IFERROR(__xludf.DUMMYFUNCTION("""COMPUTED_VALUE"""),"cfce6235")</f>
        <v>cfce6235</v>
      </c>
      <c r="B33" s="4">
        <f ca="1">IFERROR(__xludf.DUMMYFUNCTION("""COMPUTED_VALUE"""),2010031660)</f>
        <v>2010031660</v>
      </c>
      <c r="C33" s="4" t="str">
        <f ca="1">IFERROR(__xludf.DUMMYFUNCTION("""COMPUTED_VALUE"""),"金丸　典生")</f>
        <v>金丸　典生</v>
      </c>
      <c r="D33" s="4" t="str">
        <f ca="1">IFERROR(__xludf.DUMMYFUNCTION("""COMPUTED_VALUE"""),"かなまる　みちお")</f>
        <v>かなまる　みちお</v>
      </c>
      <c r="E33" s="4" t="str">
        <f ca="1">IFERROR(__xludf.DUMMYFUNCTION("""COMPUTED_VALUE"""),"男")</f>
        <v>男</v>
      </c>
      <c r="F33" s="4" t="str">
        <f ca="1">IFERROR(__xludf.DUMMYFUNCTION("""COMPUTED_VALUE"""),"昭和11年6月24日")</f>
        <v>昭和11年6月24日</v>
      </c>
      <c r="G33" s="4" t="str">
        <f ca="1">IFERROR(__xludf.DUMMYFUNCTION("""COMPUTED_VALUE"""),"三重県津市本町19-15")</f>
        <v>三重県津市本町19-15</v>
      </c>
      <c r="H33" s="4" t="str">
        <f ca="1">IFERROR(__xludf.DUMMYFUNCTION("""COMPUTED_VALUE"""),"070-3140-0624")</f>
        <v>070-3140-0624</v>
      </c>
      <c r="I33" s="4" t="str">
        <f ca="1">IFERROR(__xludf.DUMMYFUNCTION("""COMPUTED_VALUE"""),"山川　和輝")</f>
        <v>山川　和輝</v>
      </c>
    </row>
    <row r="34" spans="1:9">
      <c r="A34" s="4" t="str">
        <f ca="1">IFERROR(__xludf.DUMMYFUNCTION("""COMPUTED_VALUE"""),"9a486772")</f>
        <v>9a486772</v>
      </c>
      <c r="B34" s="4"/>
      <c r="C34" s="4" t="str">
        <f ca="1">IFERROR(__xludf.DUMMYFUNCTION("""COMPUTED_VALUE"""),"幾原　力")</f>
        <v>幾原　力</v>
      </c>
      <c r="D34" s="4" t="str">
        <f ca="1">IFERROR(__xludf.DUMMYFUNCTION("""COMPUTED_VALUE"""),"いくはら　つとむ")</f>
        <v>いくはら　つとむ</v>
      </c>
      <c r="E34" s="4" t="str">
        <f ca="1">IFERROR(__xludf.DUMMYFUNCTION("""COMPUTED_VALUE"""),"男")</f>
        <v>男</v>
      </c>
      <c r="F34" s="4" t="str">
        <f ca="1">IFERROR(__xludf.DUMMYFUNCTION("""COMPUTED_VALUE"""),"昭和12年5月26日")</f>
        <v>昭和12年5月26日</v>
      </c>
      <c r="G34" s="4" t="str">
        <f ca="1">IFERROR(__xludf.DUMMYFUNCTION("""COMPUTED_VALUE"""),"三重県津市片田新町13-5")</f>
        <v>三重県津市片田新町13-5</v>
      </c>
      <c r="H34" s="4" t="str">
        <f ca="1">IFERROR(__xludf.DUMMYFUNCTION("""COMPUTED_VALUE"""),"090-2570-9576(長男嫁）")</f>
        <v>090-2570-9576(長男嫁）</v>
      </c>
      <c r="I34" s="4" t="str">
        <f ca="1">IFERROR(__xludf.DUMMYFUNCTION("""COMPUTED_VALUE"""),"山川　和輝")</f>
        <v>山川　和輝</v>
      </c>
    </row>
    <row r="35" spans="1:9">
      <c r="A35" s="4" t="str">
        <f ca="1">IFERROR(__xludf.DUMMYFUNCTION("""COMPUTED_VALUE"""),"3b276ae4")</f>
        <v>3b276ae4</v>
      </c>
      <c r="B35" s="4">
        <f ca="1">IFERROR(__xludf.DUMMYFUNCTION("""COMPUTED_VALUE"""),2010023834)</f>
        <v>2010023834</v>
      </c>
      <c r="C35" s="4" t="str">
        <f ca="1">IFERROR(__xludf.DUMMYFUNCTION("""COMPUTED_VALUE"""),"谷口　公良")</f>
        <v>谷口　公良</v>
      </c>
      <c r="D35" s="4" t="str">
        <f ca="1">IFERROR(__xludf.DUMMYFUNCTION("""COMPUTED_VALUE"""),"たにぐち　きみよし")</f>
        <v>たにぐち　きみよし</v>
      </c>
      <c r="E35" s="4" t="str">
        <f ca="1">IFERROR(__xludf.DUMMYFUNCTION("""COMPUTED_VALUE"""),"男")</f>
        <v>男</v>
      </c>
      <c r="F35" s="4" t="str">
        <f ca="1">IFERROR(__xludf.DUMMYFUNCTION("""COMPUTED_VALUE"""),"昭和7年2月13日")</f>
        <v>昭和7年2月13日</v>
      </c>
      <c r="G35" s="4" t="str">
        <f ca="1">IFERROR(__xludf.DUMMYFUNCTION("""COMPUTED_VALUE"""),"三重県津市垂水2927-75")</f>
        <v>三重県津市垂水2927-75</v>
      </c>
      <c r="H35" s="4"/>
      <c r="I35" s="4" t="str">
        <f ca="1">IFERROR(__xludf.DUMMYFUNCTION("""COMPUTED_VALUE"""),"山川　和輝")</f>
        <v>山川　和輝</v>
      </c>
    </row>
    <row r="36" spans="1:9">
      <c r="A36" s="4" t="str">
        <f ca="1">IFERROR(__xludf.DUMMYFUNCTION("""COMPUTED_VALUE"""),"b1dc1581")</f>
        <v>b1dc1581</v>
      </c>
      <c r="B36" s="4">
        <f ca="1">IFERROR(__xludf.DUMMYFUNCTION("""COMPUTED_VALUE"""),0)</f>
        <v>0</v>
      </c>
      <c r="C36" s="4" t="str">
        <f ca="1">IFERROR(__xludf.DUMMYFUNCTION("""COMPUTED_VALUE"""),"木村　肇")</f>
        <v>木村　肇</v>
      </c>
      <c r="D36" s="4" t="str">
        <f ca="1">IFERROR(__xludf.DUMMYFUNCTION("""COMPUTED_VALUE"""),"きむら　はじめ")</f>
        <v>きむら　はじめ</v>
      </c>
      <c r="E36" s="4" t="str">
        <f ca="1">IFERROR(__xludf.DUMMYFUNCTION("""COMPUTED_VALUE"""),"男")</f>
        <v>男</v>
      </c>
      <c r="F36" s="4" t="str">
        <f ca="1">IFERROR(__xludf.DUMMYFUNCTION("""COMPUTED_VALUE"""),"昭和12年4月19日")</f>
        <v>昭和12年4月19日</v>
      </c>
      <c r="G36" s="4" t="str">
        <f ca="1">IFERROR(__xludf.DUMMYFUNCTION("""COMPUTED_VALUE"""),"津市南が丘2-9-4")</f>
        <v>津市南が丘2-9-4</v>
      </c>
      <c r="H36" s="4"/>
      <c r="I36" s="4" t="str">
        <f ca="1">IFERROR(__xludf.DUMMYFUNCTION("""COMPUTED_VALUE"""),"山川　和輝")</f>
        <v>山川　和輝</v>
      </c>
    </row>
    <row r="37" spans="1:9">
      <c r="A37" s="4" t="str">
        <f ca="1">IFERROR(__xludf.DUMMYFUNCTION("""COMPUTED_VALUE"""),"5d171dd6")</f>
        <v>5d171dd6</v>
      </c>
      <c r="B37" s="4">
        <f ca="1">IFERROR(__xludf.DUMMYFUNCTION("""COMPUTED_VALUE"""),201000116)</f>
        <v>201000116</v>
      </c>
      <c r="C37" s="4" t="str">
        <f ca="1">IFERROR(__xludf.DUMMYFUNCTION("""COMPUTED_VALUE"""),"濱口　よし子")</f>
        <v>濱口　よし子</v>
      </c>
      <c r="D37" s="4" t="str">
        <f ca="1">IFERROR(__xludf.DUMMYFUNCTION("""COMPUTED_VALUE"""),"はまぐち　よしこ")</f>
        <v>はまぐち　よしこ</v>
      </c>
      <c r="E37" s="4" t="str">
        <f ca="1">IFERROR(__xludf.DUMMYFUNCTION("""COMPUTED_VALUE"""),"女")</f>
        <v>女</v>
      </c>
      <c r="F37" s="4" t="str">
        <f ca="1">IFERROR(__xludf.DUMMYFUNCTION("""COMPUTED_VALUE"""),"大正13年5月22日")</f>
        <v>大正13年5月22日</v>
      </c>
      <c r="G37" s="4" t="str">
        <f ca="1">IFERROR(__xludf.DUMMYFUNCTION("""COMPUTED_VALUE"""),"三重県津市大谷町97-23")</f>
        <v>三重県津市大谷町97-23</v>
      </c>
      <c r="H37" s="4"/>
      <c r="I37" s="4" t="str">
        <f ca="1">IFERROR(__xludf.DUMMYFUNCTION("""COMPUTED_VALUE"""),"山川　和輝")</f>
        <v>山川　和輝</v>
      </c>
    </row>
    <row r="38" spans="1:9">
      <c r="A38" s="4" t="str">
        <f ca="1">IFERROR(__xludf.DUMMYFUNCTION("""COMPUTED_VALUE"""),"2fad2b14")</f>
        <v>2fad2b14</v>
      </c>
      <c r="B38" s="4">
        <f ca="1">IFERROR(__xludf.DUMMYFUNCTION("""COMPUTED_VALUE"""),0)</f>
        <v>0</v>
      </c>
      <c r="C38" s="4" t="str">
        <f ca="1">IFERROR(__xludf.DUMMYFUNCTION("""COMPUTED_VALUE"""),"倉田　欣一郎")</f>
        <v>倉田　欣一郎</v>
      </c>
      <c r="D38" s="4" t="str">
        <f ca="1">IFERROR(__xludf.DUMMYFUNCTION("""COMPUTED_VALUE"""),"くらた　きんいちろう")</f>
        <v>くらた　きんいちろう</v>
      </c>
      <c r="E38" s="4" t="str">
        <f ca="1">IFERROR(__xludf.DUMMYFUNCTION("""COMPUTED_VALUE"""),"男")</f>
        <v>男</v>
      </c>
      <c r="F38" s="4" t="str">
        <f ca="1">IFERROR(__xludf.DUMMYFUNCTION("""COMPUTED_VALUE"""),"昭和7年5月2日")</f>
        <v>昭和7年5月2日</v>
      </c>
      <c r="G38" s="4" t="str">
        <f ca="1">IFERROR(__xludf.DUMMYFUNCTION("""COMPUTED_VALUE"""),"三重県津市稲葉町373-6")</f>
        <v>三重県津市稲葉町373-6</v>
      </c>
      <c r="H38" s="4"/>
      <c r="I38" s="4" t="str">
        <f ca="1">IFERROR(__xludf.DUMMYFUNCTION("""COMPUTED_VALUE"""),"山川　和輝")</f>
        <v>山川　和輝</v>
      </c>
    </row>
    <row r="39" spans="1:9">
      <c r="A39" s="4" t="str">
        <f ca="1">IFERROR(__xludf.DUMMYFUNCTION("""COMPUTED_VALUE"""),"5bdd4bce")</f>
        <v>5bdd4bce</v>
      </c>
      <c r="B39" s="4">
        <f ca="1">IFERROR(__xludf.DUMMYFUNCTION("""COMPUTED_VALUE"""),2010043588)</f>
        <v>2010043588</v>
      </c>
      <c r="C39" s="4" t="str">
        <f ca="1">IFERROR(__xludf.DUMMYFUNCTION("""COMPUTED_VALUE"""),"松本　よ志子")</f>
        <v>松本　よ志子</v>
      </c>
      <c r="D39" s="4" t="str">
        <f ca="1">IFERROR(__xludf.DUMMYFUNCTION("""COMPUTED_VALUE"""),"まつもと　よしこ")</f>
        <v>まつもと　よしこ</v>
      </c>
      <c r="E39" s="4" t="str">
        <f ca="1">IFERROR(__xludf.DUMMYFUNCTION("""COMPUTED_VALUE"""),"女")</f>
        <v>女</v>
      </c>
      <c r="F39" s="4" t="str">
        <f ca="1">IFERROR(__xludf.DUMMYFUNCTION("""COMPUTED_VALUE"""),"昭和16年6月9日")</f>
        <v>昭和16年6月9日</v>
      </c>
      <c r="G39" s="4" t="str">
        <f ca="1">IFERROR(__xludf.DUMMYFUNCTION("""COMPUTED_VALUE"""),"三重県津市一志町波瀬4923番地")</f>
        <v>三重県津市一志町波瀬4923番地</v>
      </c>
      <c r="H39" s="4"/>
      <c r="I39" s="4" t="str">
        <f ca="1">IFERROR(__xludf.DUMMYFUNCTION("""COMPUTED_VALUE"""),"山川　和輝")</f>
        <v>山川　和輝</v>
      </c>
    </row>
    <row r="40" spans="1:9">
      <c r="A40" s="4" t="str">
        <f ca="1">IFERROR(__xludf.DUMMYFUNCTION("""COMPUTED_VALUE"""),"1f8a6c79")</f>
        <v>1f8a6c79</v>
      </c>
      <c r="B40" s="4"/>
      <c r="C40" s="4" t="str">
        <f ca="1">IFERROR(__xludf.DUMMYFUNCTION("""COMPUTED_VALUE"""),"吉川　たね子")</f>
        <v>吉川　たね子</v>
      </c>
      <c r="D40" s="4" t="str">
        <f ca="1">IFERROR(__xludf.DUMMYFUNCTION("""COMPUTED_VALUE"""),"よしかわ　たねこ")</f>
        <v>よしかわ　たねこ</v>
      </c>
      <c r="E40" s="4" t="str">
        <f ca="1">IFERROR(__xludf.DUMMYFUNCTION("""COMPUTED_VALUE"""),"女")</f>
        <v>女</v>
      </c>
      <c r="F40" s="4" t="str">
        <f ca="1">IFERROR(__xludf.DUMMYFUNCTION("""COMPUTED_VALUE"""),"昭和7年7月3日")</f>
        <v>昭和7年7月3日</v>
      </c>
      <c r="G40" s="4" t="str">
        <f ca="1">IFERROR(__xludf.DUMMYFUNCTION("""COMPUTED_VALUE"""),"津市南が丘1丁目23番7")</f>
        <v>津市南が丘1丁目23番7</v>
      </c>
      <c r="H40" s="4" t="str">
        <f ca="1">IFERROR(__xludf.DUMMYFUNCTION("""COMPUTED_VALUE"""),"059-229-1339")</f>
        <v>059-229-1339</v>
      </c>
      <c r="I40" s="4" t="str">
        <f ca="1">IFERROR(__xludf.DUMMYFUNCTION("""COMPUTED_VALUE"""),"山川　和輝")</f>
        <v>山川　和輝</v>
      </c>
    </row>
    <row r="41" spans="1:9">
      <c r="A41" s="4" t="str">
        <f ca="1">IFERROR(__xludf.DUMMYFUNCTION("""COMPUTED_VALUE"""),"661c5969")</f>
        <v>661c5969</v>
      </c>
      <c r="B41" s="4">
        <f ca="1">IFERROR(__xludf.DUMMYFUNCTION("""COMPUTED_VALUE"""),0)</f>
        <v>0</v>
      </c>
      <c r="C41" s="4" t="str">
        <f ca="1">IFERROR(__xludf.DUMMYFUNCTION("""COMPUTED_VALUE"""),"川村　宗夫")</f>
        <v>川村　宗夫</v>
      </c>
      <c r="D41" s="4" t="str">
        <f ca="1">IFERROR(__xludf.DUMMYFUNCTION("""COMPUTED_VALUE"""),"かわむら　むねお")</f>
        <v>かわむら　むねお</v>
      </c>
      <c r="E41" s="4" t="str">
        <f ca="1">IFERROR(__xludf.DUMMYFUNCTION("""COMPUTED_VALUE"""),"男")</f>
        <v>男</v>
      </c>
      <c r="F41" s="4" t="str">
        <f ca="1">IFERROR(__xludf.DUMMYFUNCTION("""COMPUTED_VALUE"""),"昭和22年12月27日")</f>
        <v>昭和22年12月27日</v>
      </c>
      <c r="G41" s="4" t="str">
        <f ca="1">IFERROR(__xludf.DUMMYFUNCTION("""COMPUTED_VALUE"""),"三重県津市栗真中山町390")</f>
        <v>三重県津市栗真中山町390</v>
      </c>
      <c r="H41" s="4"/>
      <c r="I41" s="4" t="str">
        <f ca="1">IFERROR(__xludf.DUMMYFUNCTION("""COMPUTED_VALUE"""),"山川　和輝")</f>
        <v>山川　和輝</v>
      </c>
    </row>
    <row r="42" spans="1:9">
      <c r="A42" s="4" t="str">
        <f ca="1">IFERROR(__xludf.DUMMYFUNCTION("""COMPUTED_VALUE"""),"271855b7")</f>
        <v>271855b7</v>
      </c>
      <c r="B42" s="4">
        <f ca="1">IFERROR(__xludf.DUMMYFUNCTION("""COMPUTED_VALUE"""),2010002676)</f>
        <v>2010002676</v>
      </c>
      <c r="C42" s="4" t="str">
        <f ca="1">IFERROR(__xludf.DUMMYFUNCTION("""COMPUTED_VALUE"""),"渡辺　三津子")</f>
        <v>渡辺　三津子</v>
      </c>
      <c r="D42" s="4" t="str">
        <f ca="1">IFERROR(__xludf.DUMMYFUNCTION("""COMPUTED_VALUE"""),"わたなべ　みつこ")</f>
        <v>わたなべ　みつこ</v>
      </c>
      <c r="E42" s="4" t="str">
        <f ca="1">IFERROR(__xludf.DUMMYFUNCTION("""COMPUTED_VALUE"""),"女")</f>
        <v>女</v>
      </c>
      <c r="F42" s="4" t="str">
        <f ca="1">IFERROR(__xludf.DUMMYFUNCTION("""COMPUTED_VALUE"""),"昭和6年4月19日")</f>
        <v>昭和6年4月19日</v>
      </c>
      <c r="G42" s="4" t="str">
        <f ca="1">IFERROR(__xludf.DUMMYFUNCTION("""COMPUTED_VALUE"""),"三重県津市観音寺町750-8")</f>
        <v>三重県津市観音寺町750-8</v>
      </c>
      <c r="H42" s="4"/>
      <c r="I42" s="4" t="str">
        <f ca="1">IFERROR(__xludf.DUMMYFUNCTION("""COMPUTED_VALUE"""),"山川　和輝")</f>
        <v>山川　和輝</v>
      </c>
    </row>
    <row r="43" spans="1:9">
      <c r="A43" s="4" t="str">
        <f ca="1">IFERROR(__xludf.DUMMYFUNCTION("""COMPUTED_VALUE"""),"85035e2f")</f>
        <v>85035e2f</v>
      </c>
      <c r="B43" s="4">
        <f ca="1">IFERROR(__xludf.DUMMYFUNCTION("""COMPUTED_VALUE"""),2010081501)</f>
        <v>2010081501</v>
      </c>
      <c r="C43" s="4" t="str">
        <f ca="1">IFERROR(__xludf.DUMMYFUNCTION("""COMPUTED_VALUE"""),"生駒　潤一")</f>
        <v>生駒　潤一</v>
      </c>
      <c r="D43" s="4" t="str">
        <f ca="1">IFERROR(__xludf.DUMMYFUNCTION("""COMPUTED_VALUE"""),"いこま　じゅんいち")</f>
        <v>いこま　じゅんいち</v>
      </c>
      <c r="E43" s="4" t="str">
        <f ca="1">IFERROR(__xludf.DUMMYFUNCTION("""COMPUTED_VALUE"""),"男")</f>
        <v>男</v>
      </c>
      <c r="F43" s="4" t="str">
        <f ca="1">IFERROR(__xludf.DUMMYFUNCTION("""COMPUTED_VALUE"""),"昭和24年12月7日")</f>
        <v>昭和24年12月7日</v>
      </c>
      <c r="G43" s="4" t="str">
        <f ca="1">IFERROR(__xludf.DUMMYFUNCTION("""COMPUTED_VALUE"""),"津市観音寺町604番地102")</f>
        <v>津市観音寺町604番地102</v>
      </c>
      <c r="H43" s="4"/>
      <c r="I43" s="4" t="str">
        <f ca="1">IFERROR(__xludf.DUMMYFUNCTION("""COMPUTED_VALUE"""),"山川　和輝")</f>
        <v>山川　和輝</v>
      </c>
    </row>
  </sheetData>
  <phoneticPr fontId="16"/>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AK113"/>
  <sheetViews>
    <sheetView workbookViewId="0"/>
  </sheetViews>
  <sheetFormatPr defaultColWidth="12.5703125" defaultRowHeight="15.75" customHeight="1"/>
  <cols>
    <col min="1" max="37" width="2.42578125" customWidth="1"/>
  </cols>
  <sheetData>
    <row r="1" spans="1:37" ht="14.25" customHeight="1">
      <c r="A1" s="44" t="s">
        <v>0</v>
      </c>
      <c r="B1" s="8"/>
      <c r="C1" s="8"/>
      <c r="D1" s="8"/>
      <c r="E1" s="8"/>
      <c r="F1" s="8"/>
      <c r="G1" s="8"/>
      <c r="H1" s="8"/>
      <c r="I1" s="8"/>
      <c r="J1" s="8"/>
      <c r="K1" s="8"/>
      <c r="L1" s="8"/>
      <c r="M1" s="8"/>
      <c r="N1" s="8"/>
      <c r="O1" s="8"/>
      <c r="P1" s="8"/>
      <c r="Q1" s="8"/>
      <c r="R1" s="8"/>
      <c r="S1" s="8"/>
      <c r="T1" s="8"/>
      <c r="U1" s="8"/>
      <c r="V1" s="8"/>
      <c r="W1" s="8"/>
      <c r="X1" s="8"/>
      <c r="Y1" s="8"/>
      <c r="AA1" s="54" t="s">
        <v>1</v>
      </c>
      <c r="AB1" s="8"/>
      <c r="AC1" s="8"/>
      <c r="AD1" s="8"/>
      <c r="AE1" s="8"/>
      <c r="AF1" s="83" t="str">
        <f t="array" aca="1" ref="AF1" ca="1">IFERROR(
    INDEX(データ集約!A:ZZ, MATCH(D5, データ集約!C:C, 0), MATCH("作成日", データ集約!1:1, 0)),
    ""
)</f>
        <v/>
      </c>
      <c r="AG1" s="8"/>
      <c r="AH1" s="8"/>
      <c r="AI1" s="8"/>
      <c r="AJ1" s="8"/>
      <c r="AK1" s="8"/>
    </row>
    <row r="2" spans="1:37" ht="14.25" customHeight="1">
      <c r="A2" s="10"/>
      <c r="B2" s="10"/>
      <c r="C2" s="10"/>
      <c r="D2" s="10"/>
      <c r="E2" s="10"/>
      <c r="F2" s="10"/>
      <c r="G2" s="10"/>
      <c r="H2" s="10"/>
      <c r="I2" s="10"/>
      <c r="J2" s="10"/>
      <c r="K2" s="10"/>
      <c r="L2" s="10"/>
      <c r="M2" s="10"/>
      <c r="N2" s="10"/>
      <c r="O2" s="10"/>
      <c r="P2" s="10"/>
      <c r="Q2" s="10"/>
      <c r="R2" s="10"/>
      <c r="S2" s="10"/>
      <c r="T2" s="10"/>
      <c r="U2" s="10"/>
      <c r="V2" s="10"/>
      <c r="W2" s="10"/>
      <c r="X2" s="10"/>
      <c r="Y2" s="10"/>
      <c r="Z2" s="84" t="s">
        <v>145</v>
      </c>
      <c r="AA2" s="10"/>
      <c r="AB2" s="10"/>
      <c r="AC2" s="10"/>
      <c r="AD2" s="10"/>
      <c r="AE2" s="10"/>
      <c r="AF2" s="10"/>
      <c r="AG2" s="10"/>
      <c r="AH2" s="10"/>
      <c r="AI2" s="10"/>
      <c r="AJ2" s="10"/>
      <c r="AK2" s="10"/>
    </row>
    <row r="3" spans="1:37" ht="14.25" customHeight="1">
      <c r="A3" s="50" t="s">
        <v>2</v>
      </c>
      <c r="B3" s="10"/>
      <c r="C3" s="10"/>
      <c r="D3" s="10"/>
      <c r="E3" s="10"/>
      <c r="F3" s="11"/>
      <c r="G3" s="51" t="str">
        <f t="array" aca="1" ref="G3" ca="1">IFERROR(
    INDEX(データ集約!A:ZZ, MATCH(D5, データ集約!C:C, 0), MATCH("アセスメントの理由", データ集約!1:1, 0)),
    ""
)</f>
        <v/>
      </c>
      <c r="H3" s="10"/>
      <c r="I3" s="10"/>
      <c r="J3" s="10"/>
      <c r="K3" s="10"/>
      <c r="L3" s="10"/>
      <c r="M3" s="10"/>
      <c r="N3" s="10"/>
      <c r="O3" s="10"/>
      <c r="P3" s="10"/>
      <c r="Q3" s="11"/>
      <c r="R3" s="43" t="s">
        <v>3</v>
      </c>
      <c r="S3" s="10"/>
      <c r="T3" s="11"/>
      <c r="U3" s="51" t="str">
        <f t="array" aca="1" ref="U3" ca="1">IFERROR(
    INDEX(データ集約!A:ZZ, MATCH(D5, データ集約!C:C, 0), MATCH("面談場所", データ集約!1:1, 0)),
    ""
)</f>
        <v/>
      </c>
      <c r="V3" s="10"/>
      <c r="W3" s="10"/>
      <c r="X3" s="10"/>
      <c r="Y3" s="10"/>
      <c r="Z3" s="10"/>
      <c r="AA3" s="10"/>
      <c r="AB3" s="10"/>
      <c r="AC3" s="11"/>
      <c r="AD3" s="43" t="s">
        <v>4</v>
      </c>
      <c r="AE3" s="10"/>
      <c r="AF3" s="11"/>
      <c r="AG3" s="51" t="str">
        <f t="array" aca="1" ref="AG3" ca="1">IFERROR(
    INDEX(データ集約!A:ZZ, MATCH(D5, データ集約!C:C, 0), MATCH("作成者", データ集約!1:1, 0)),
    ""
)</f>
        <v/>
      </c>
      <c r="AH3" s="10"/>
      <c r="AI3" s="10"/>
      <c r="AJ3" s="10"/>
      <c r="AK3" s="11"/>
    </row>
    <row r="4" spans="1:37" ht="14.25" customHeight="1">
      <c r="A4" s="27" t="s">
        <v>5</v>
      </c>
      <c r="B4" s="52" t="s">
        <v>6</v>
      </c>
      <c r="C4" s="11"/>
      <c r="D4" s="53" t="str">
        <f t="array" aca="1" ref="D4" ca="1">IFERROR(
    INDEX(利用者一覧!A:I, MATCH(D5, 利用者一覧!C:C, 0), MATCH("氏名（ふりがな）", 利用者一覧!1:1, 0)),
    ""
)</f>
        <v/>
      </c>
      <c r="E4" s="10"/>
      <c r="F4" s="10"/>
      <c r="G4" s="10"/>
      <c r="H4" s="10"/>
      <c r="I4" s="10"/>
      <c r="J4" s="10"/>
      <c r="K4" s="10"/>
      <c r="L4" s="10"/>
      <c r="M4" s="10"/>
      <c r="N4" s="10"/>
      <c r="O4" s="10"/>
      <c r="P4" s="10"/>
      <c r="Q4" s="11"/>
      <c r="R4" s="16" t="s">
        <v>7</v>
      </c>
      <c r="S4" s="10"/>
      <c r="T4" s="10"/>
      <c r="U4" s="10"/>
      <c r="V4" s="10"/>
      <c r="W4" s="11"/>
      <c r="X4" s="16" t="s">
        <v>8</v>
      </c>
      <c r="Y4" s="10"/>
      <c r="Z4" s="10"/>
      <c r="AA4" s="10"/>
      <c r="AB4" s="10"/>
      <c r="AC4" s="11"/>
      <c r="AD4" s="16" t="s">
        <v>9</v>
      </c>
      <c r="AE4" s="10"/>
      <c r="AF4" s="10"/>
      <c r="AG4" s="10"/>
      <c r="AH4" s="10"/>
      <c r="AI4" s="10"/>
      <c r="AJ4" s="10"/>
      <c r="AK4" s="11"/>
    </row>
    <row r="5" spans="1:37" ht="14.25" customHeight="1">
      <c r="A5" s="28"/>
      <c r="B5" s="31" t="s">
        <v>10</v>
      </c>
      <c r="C5" s="9"/>
      <c r="D5" s="42" t="s">
        <v>11</v>
      </c>
      <c r="E5" s="8"/>
      <c r="F5" s="8"/>
      <c r="G5" s="8"/>
      <c r="H5" s="8"/>
      <c r="I5" s="8"/>
      <c r="J5" s="8"/>
      <c r="K5" s="8"/>
      <c r="L5" s="8"/>
      <c r="M5" s="8"/>
      <c r="N5" s="8"/>
      <c r="O5" s="8"/>
      <c r="P5" s="54" t="s">
        <v>12</v>
      </c>
      <c r="Q5" s="9"/>
      <c r="R5" s="18" t="str">
        <f t="array" aca="1" ref="R5" ca="1">IFERROR(
    INDEX(利用者一覧!A:I, MATCH(D5, 利用者一覧!C:C, 0), MATCH("性別", 利用者一覧!1:1, 0)),
    ""
)</f>
        <v/>
      </c>
      <c r="S5" s="8"/>
      <c r="T5" s="8"/>
      <c r="U5" s="8"/>
      <c r="V5" s="8"/>
      <c r="W5" s="9"/>
      <c r="X5" s="55" t="str">
        <f t="array" aca="1" ref="X5" ca="1">IFERROR(
    INDEX(利用者一覧!A:I, MATCH(D5, 利用者一覧!C:C, 0), MATCH("生年月日", 利用者一覧!1:1, 0)),
    ""
)</f>
        <v/>
      </c>
      <c r="Y5" s="8"/>
      <c r="Z5" s="8"/>
      <c r="AA5" s="8"/>
      <c r="AB5" s="8"/>
      <c r="AC5" s="9"/>
      <c r="AD5" s="18" t="str">
        <f ca="1">IFERROR(
  DATEDIF(
    DATE(
      IF(LEFT(X5, 2) = "令和", 2018 + MID(X5, 3, FIND("年", X5) - 3),
      IF(LEFT(X5, 2) = "平成", 1988 + MID(X5, 3, FIND("年", X5) - 3),
      IF(LEFT(X5, 2) = "昭和", 1925 + MID(X5, 3, FIND("年", X5) - 3),
      IF(LEFT(X5, 2) = "大正", 1911 + MID(X5, 3, FIND("年", X5) - 3),
      IF(LEFT(X5, 2) = "明治", 1867 + MID(X5, 3, FIND("年", X5) - 3),
      0))))),
      MID(X5, FIND("年", X5) + 1, FIND("月", X5) - FIND("年", X5) - 1),
      MID(X5, FIND("月", X5) + 1, FIND("日", X5) - FIND("月", X5) - 1)
    ),
    TODAY(),
    "Y"
  ),
  ""
)</f>
        <v/>
      </c>
      <c r="AE5" s="8"/>
      <c r="AF5" s="8"/>
      <c r="AG5" s="8"/>
      <c r="AH5" s="8"/>
      <c r="AI5" s="9"/>
      <c r="AJ5" s="33" t="s">
        <v>13</v>
      </c>
      <c r="AK5" s="9"/>
    </row>
    <row r="6" spans="1:37" ht="14.25" customHeight="1">
      <c r="A6" s="28"/>
      <c r="B6" s="10"/>
      <c r="C6" s="11"/>
      <c r="D6" s="10"/>
      <c r="E6" s="10"/>
      <c r="F6" s="10"/>
      <c r="G6" s="10"/>
      <c r="H6" s="10"/>
      <c r="I6" s="10"/>
      <c r="J6" s="10"/>
      <c r="K6" s="10"/>
      <c r="L6" s="10"/>
      <c r="M6" s="10"/>
      <c r="N6" s="10"/>
      <c r="O6" s="10"/>
      <c r="P6" s="10"/>
      <c r="Q6" s="11"/>
      <c r="R6" s="10"/>
      <c r="S6" s="10"/>
      <c r="T6" s="10"/>
      <c r="U6" s="10"/>
      <c r="V6" s="10"/>
      <c r="W6" s="11"/>
      <c r="X6" s="10"/>
      <c r="Y6" s="10"/>
      <c r="Z6" s="10"/>
      <c r="AA6" s="10"/>
      <c r="AB6" s="10"/>
      <c r="AC6" s="11"/>
      <c r="AD6" s="10"/>
      <c r="AE6" s="10"/>
      <c r="AF6" s="10"/>
      <c r="AG6" s="10"/>
      <c r="AH6" s="10"/>
      <c r="AI6" s="11"/>
      <c r="AJ6" s="10"/>
      <c r="AK6" s="11"/>
    </row>
    <row r="7" spans="1:37" ht="14.25" customHeight="1">
      <c r="A7" s="28"/>
      <c r="B7" s="31" t="s">
        <v>14</v>
      </c>
      <c r="C7" s="9"/>
      <c r="D7" s="18" t="str">
        <f t="array" aca="1" ref="D7" ca="1">IFERROR(
    INDEX(利用者一覧!A:I, MATCH(D5, 利用者一覧!C:C, 0), MATCH("住所", 利用者一覧!1:1, 0)),
    ""
)</f>
        <v/>
      </c>
      <c r="E7" s="8"/>
      <c r="F7" s="8"/>
      <c r="G7" s="8"/>
      <c r="H7" s="8"/>
      <c r="I7" s="8"/>
      <c r="J7" s="8"/>
      <c r="K7" s="8"/>
      <c r="L7" s="8"/>
      <c r="M7" s="8"/>
      <c r="N7" s="8"/>
      <c r="O7" s="8"/>
      <c r="P7" s="8"/>
      <c r="Q7" s="8"/>
      <c r="R7" s="8"/>
      <c r="S7" s="8"/>
      <c r="T7" s="8"/>
      <c r="U7" s="8"/>
      <c r="V7" s="8"/>
      <c r="W7" s="8"/>
      <c r="X7" s="8"/>
      <c r="Y7" s="8"/>
      <c r="Z7" s="9"/>
      <c r="AA7" s="15" t="s">
        <v>15</v>
      </c>
      <c r="AB7" s="8"/>
      <c r="AC7" s="9"/>
      <c r="AD7" s="18" t="str">
        <f t="array" aca="1" ref="AD7" ca="1">IFERROR(
    INDEX(利用者一覧!A:I, MATCH(D5, 利用者一覧!C:C, 0), MATCH("連絡先", 利用者一覧!1:1, 0)),
    ""
)</f>
        <v/>
      </c>
      <c r="AE7" s="8"/>
      <c r="AF7" s="8"/>
      <c r="AG7" s="8"/>
      <c r="AH7" s="8"/>
      <c r="AI7" s="8"/>
      <c r="AJ7" s="8"/>
      <c r="AK7" s="9"/>
    </row>
    <row r="8" spans="1:37" ht="14.25" customHeight="1">
      <c r="A8" s="29"/>
      <c r="B8" s="10"/>
      <c r="C8" s="11"/>
      <c r="D8" s="10"/>
      <c r="E8" s="10"/>
      <c r="F8" s="10"/>
      <c r="G8" s="10"/>
      <c r="H8" s="10"/>
      <c r="I8" s="10"/>
      <c r="J8" s="10"/>
      <c r="K8" s="10"/>
      <c r="L8" s="10"/>
      <c r="M8" s="10"/>
      <c r="N8" s="10"/>
      <c r="O8" s="10"/>
      <c r="P8" s="10"/>
      <c r="Q8" s="10"/>
      <c r="R8" s="10"/>
      <c r="S8" s="10"/>
      <c r="T8" s="10"/>
      <c r="U8" s="10"/>
      <c r="V8" s="10"/>
      <c r="W8" s="10"/>
      <c r="X8" s="10"/>
      <c r="Y8" s="10"/>
      <c r="Z8" s="11"/>
      <c r="AA8" s="10"/>
      <c r="AB8" s="10"/>
      <c r="AC8" s="11"/>
      <c r="AD8" s="10"/>
      <c r="AE8" s="10"/>
      <c r="AF8" s="10"/>
      <c r="AG8" s="10"/>
      <c r="AH8" s="10"/>
      <c r="AI8" s="10"/>
      <c r="AJ8" s="10"/>
      <c r="AK8" s="11"/>
    </row>
    <row r="9" spans="1:37" ht="14.25" customHeight="1">
      <c r="A9" s="27" t="s">
        <v>16</v>
      </c>
      <c r="B9" s="32" t="s">
        <v>17</v>
      </c>
      <c r="C9" s="8"/>
      <c r="D9" s="9"/>
      <c r="E9" s="34" t="s">
        <v>18</v>
      </c>
      <c r="F9" s="10"/>
      <c r="G9" s="10"/>
      <c r="H9" s="10"/>
      <c r="I9" s="11"/>
      <c r="J9" s="34" t="s">
        <v>19</v>
      </c>
      <c r="K9" s="10"/>
      <c r="L9" s="10"/>
      <c r="M9" s="10"/>
      <c r="N9" s="10"/>
      <c r="O9" s="10"/>
      <c r="P9" s="11"/>
      <c r="Q9" s="39" t="s">
        <v>20</v>
      </c>
      <c r="R9" s="40"/>
      <c r="S9" s="40"/>
      <c r="T9" s="40"/>
      <c r="U9" s="41"/>
      <c r="V9" s="39" t="s">
        <v>21</v>
      </c>
      <c r="W9" s="40"/>
      <c r="X9" s="40"/>
      <c r="Y9" s="40"/>
      <c r="Z9" s="40"/>
      <c r="AA9" s="40"/>
      <c r="AB9" s="40"/>
      <c r="AC9" s="40"/>
      <c r="AD9" s="40"/>
      <c r="AE9" s="40"/>
      <c r="AF9" s="40"/>
      <c r="AG9" s="40"/>
      <c r="AH9" s="41"/>
      <c r="AI9" s="16" t="s">
        <v>22</v>
      </c>
      <c r="AJ9" s="10"/>
      <c r="AK9" s="11"/>
    </row>
    <row r="10" spans="1:37" ht="14.25" customHeight="1">
      <c r="A10" s="28"/>
      <c r="B10" s="8"/>
      <c r="C10" s="8"/>
      <c r="D10" s="9"/>
      <c r="E10" s="18" t="str">
        <f t="array" aca="1" ref="E10" ca="1">IFERROR(
    INDEX(利用者一覧!A:I, MATCH(D5, 利用者一覧!C:C, 0), MATCH("利用者ID（被保険者番号）", 利用者一覧!1:1, 0)),
    ""
)</f>
        <v/>
      </c>
      <c r="F10" s="8"/>
      <c r="G10" s="8"/>
      <c r="H10" s="8"/>
      <c r="I10" s="9"/>
      <c r="J10" s="18" t="str">
        <f t="array" aca="1" ref="J10" ca="1">IFERROR(
    INDEX(データ集約!A:ZZ, MATCH(D5, データ集約!C:C, 0), MATCH("要介護度", データ集約!1:1, 0)),
    ""
)</f>
        <v/>
      </c>
      <c r="K10" s="8"/>
      <c r="L10" s="8"/>
      <c r="M10" s="8"/>
      <c r="N10" s="8"/>
      <c r="O10" s="8"/>
      <c r="P10" s="9"/>
      <c r="Q10" s="56" t="str">
        <f t="array" aca="1" ref="Q10" ca="1">IFERROR(
    INDEX(データ集約!A:ZZ, MATCH(D5, データ集約!C:C, 0), MATCH("認定日", データ集約!1:1, 0)),
    ""
)</f>
        <v/>
      </c>
      <c r="R10" s="8"/>
      <c r="S10" s="8"/>
      <c r="T10" s="8"/>
      <c r="U10" s="9"/>
      <c r="V10" s="56" t="str">
        <f t="array" aca="1" ref="V10" ca="1">IFERROR(
    INDEX(データ集約!A:ZZ, MATCH(D5, データ集約!C:C, 0), MATCH("認定期間｜開始", データ集約!1:1, 0)),
    ""
)</f>
        <v/>
      </c>
      <c r="W10" s="8"/>
      <c r="X10" s="8"/>
      <c r="Y10" s="8"/>
      <c r="Z10" s="8"/>
      <c r="AA10" s="8"/>
      <c r="AB10" s="18" t="s">
        <v>23</v>
      </c>
      <c r="AC10" s="18" t="str">
        <f t="array" aca="1" ref="AC10" ca="1">IFERROR(
    INDEX(データ集約!A:ZZ, MATCH(D5, データ集約!C:C, 0), MATCH("認定期間｜終了", データ集約!1:1, 0)),
    ""
)</f>
        <v/>
      </c>
      <c r="AD10" s="8"/>
      <c r="AE10" s="8"/>
      <c r="AF10" s="8"/>
      <c r="AG10" s="8"/>
      <c r="AH10" s="9"/>
      <c r="AI10" s="18" t="str">
        <f t="array" aca="1" ref="AI10" ca="1">IFERROR(
    INDEX(データ集約!A:ZZ, MATCH(D5, データ集約!C:C, 0), MATCH("負担割合", データ集約!1:1, 0)),
    ""
)</f>
        <v/>
      </c>
      <c r="AJ10" s="8"/>
      <c r="AK10" s="9"/>
    </row>
    <row r="11" spans="1:37" ht="14.25" customHeight="1">
      <c r="A11" s="28"/>
      <c r="B11" s="10"/>
      <c r="C11" s="10"/>
      <c r="D11" s="11"/>
      <c r="E11" s="10"/>
      <c r="F11" s="10"/>
      <c r="G11" s="10"/>
      <c r="H11" s="10"/>
      <c r="I11" s="11"/>
      <c r="J11" s="10"/>
      <c r="K11" s="10"/>
      <c r="L11" s="10"/>
      <c r="M11" s="10"/>
      <c r="N11" s="10"/>
      <c r="O11" s="10"/>
      <c r="P11" s="11"/>
      <c r="Q11" s="14"/>
      <c r="R11" s="10"/>
      <c r="S11" s="10"/>
      <c r="T11" s="10"/>
      <c r="U11" s="11"/>
      <c r="V11" s="14"/>
      <c r="W11" s="10"/>
      <c r="X11" s="10"/>
      <c r="Y11" s="10"/>
      <c r="Z11" s="10"/>
      <c r="AA11" s="10"/>
      <c r="AB11" s="10"/>
      <c r="AC11" s="10"/>
      <c r="AD11" s="10"/>
      <c r="AE11" s="10"/>
      <c r="AF11" s="10"/>
      <c r="AG11" s="10"/>
      <c r="AH11" s="11"/>
      <c r="AI11" s="10"/>
      <c r="AJ11" s="10"/>
      <c r="AK11" s="11"/>
    </row>
    <row r="12" spans="1:37" ht="14.25" customHeight="1">
      <c r="A12" s="28"/>
      <c r="B12" s="34" t="s">
        <v>24</v>
      </c>
      <c r="C12" s="10"/>
      <c r="D12" s="10"/>
      <c r="E12" s="10"/>
      <c r="F12" s="10"/>
      <c r="G12" s="10"/>
      <c r="H12" s="10"/>
      <c r="I12" s="10"/>
      <c r="J12" s="10"/>
      <c r="K12" s="10"/>
      <c r="L12" s="11"/>
      <c r="M12" s="34" t="s">
        <v>25</v>
      </c>
      <c r="N12" s="10"/>
      <c r="O12" s="10"/>
      <c r="P12" s="10"/>
      <c r="Q12" s="11"/>
      <c r="R12" s="34" t="s">
        <v>26</v>
      </c>
      <c r="S12" s="10"/>
      <c r="T12" s="10"/>
      <c r="U12" s="11"/>
      <c r="V12" s="34" t="s">
        <v>27</v>
      </c>
      <c r="W12" s="10"/>
      <c r="X12" s="10"/>
      <c r="Y12" s="11"/>
      <c r="Z12" s="37" t="s">
        <v>28</v>
      </c>
      <c r="AA12" s="10"/>
      <c r="AB12" s="10"/>
      <c r="AC12" s="10"/>
      <c r="AD12" s="10"/>
      <c r="AE12" s="11"/>
      <c r="AF12" s="37" t="s">
        <v>29</v>
      </c>
      <c r="AG12" s="10"/>
      <c r="AH12" s="10"/>
      <c r="AI12" s="10"/>
      <c r="AJ12" s="10"/>
      <c r="AK12" s="11"/>
    </row>
    <row r="13" spans="1:37" ht="14.25" customHeight="1">
      <c r="A13" s="28"/>
      <c r="B13" s="18" t="str">
        <f t="array" aca="1" ref="B13" ca="1">IFERROR(
    INDEX(データ集約!A:ZZ, MATCH(D5, データ集約!C:C, 0), MATCH("医療保険", データ集約!1:1, 0)),
    ""
)</f>
        <v/>
      </c>
      <c r="C13" s="8"/>
      <c r="D13" s="8"/>
      <c r="E13" s="8"/>
      <c r="F13" s="8"/>
      <c r="G13" s="8"/>
      <c r="H13" s="8"/>
      <c r="I13" s="8"/>
      <c r="J13" s="8"/>
      <c r="K13" s="8"/>
      <c r="L13" s="9"/>
      <c r="M13" s="18" t="str">
        <f t="array" aca="1" ref="M13" ca="1">IFERROR(
    INDEX(データ集約!A:ZZ, MATCH(D5, データ集約!C:C, 0), MATCH("身体障がい者手帳の有無", データ集約!1:1, 0)),
    ""
)</f>
        <v/>
      </c>
      <c r="N13" s="8"/>
      <c r="O13" s="18" t="str">
        <f t="array" aca="1" ref="O13" ca="1">IFERROR(
    INDEX(データ集約!A:ZZ, MATCH(D5, データ集約!C:C, 0), MATCH("種類", データ集約!1:1, 0)),
    ""
)</f>
        <v/>
      </c>
      <c r="P13" s="8"/>
      <c r="Q13" s="9"/>
      <c r="R13" s="18" t="str">
        <f t="array" aca="1" ref="R13" ca="1">IFERROR(
    INDEX(データ集約!A:ZZ, MATCH(D5, データ集約!C:C, 0), MATCH("難病申請", データ集約!1:1, 0)),
    ""
)</f>
        <v/>
      </c>
      <c r="S13" s="8"/>
      <c r="T13" s="8"/>
      <c r="U13" s="9"/>
      <c r="V13" s="18" t="str">
        <f t="array" aca="1" ref="V13" ca="1">IFERROR(
    INDEX(データ集約!A:ZZ, MATCH(D5, データ集約!C:C, 0), MATCH("生活保護", データ集約!1:1, 0)),
    ""
)</f>
        <v/>
      </c>
      <c r="W13" s="8"/>
      <c r="X13" s="8"/>
      <c r="Y13" s="9"/>
      <c r="Z13" s="18" t="str">
        <f t="array" aca="1" ref="Z13" ca="1">IFERROR(
    INDEX(データ集約!A:ZZ, MATCH(D5, データ集約!C:C, 0), MATCH("障がい者日常生活自立度", データ集約!1:1, 0)),
    ""
)</f>
        <v/>
      </c>
      <c r="AA13" s="8"/>
      <c r="AB13" s="8"/>
      <c r="AC13" s="8"/>
      <c r="AD13" s="8"/>
      <c r="AE13" s="9"/>
      <c r="AF13" s="18" t="str">
        <f t="array" aca="1" ref="AF13" ca="1">IFERROR(
    INDEX(データ集約!A:ZZ, MATCH(D5, データ集約!C:C, 0), MATCH("認知症日常生活自立度", データ集約!1:1, 0)),
    ""
)</f>
        <v/>
      </c>
      <c r="AG13" s="8"/>
      <c r="AH13" s="8"/>
      <c r="AI13" s="8"/>
      <c r="AJ13" s="8"/>
      <c r="AK13" s="9"/>
    </row>
    <row r="14" spans="1:37" ht="14.25" customHeight="1">
      <c r="A14" s="29"/>
      <c r="B14" s="10"/>
      <c r="C14" s="10"/>
      <c r="D14" s="10"/>
      <c r="E14" s="10"/>
      <c r="F14" s="10"/>
      <c r="G14" s="10"/>
      <c r="H14" s="10"/>
      <c r="I14" s="10"/>
      <c r="J14" s="10"/>
      <c r="K14" s="10"/>
      <c r="L14" s="11"/>
      <c r="M14" s="10"/>
      <c r="N14" s="10"/>
      <c r="O14" s="10"/>
      <c r="P14" s="10"/>
      <c r="Q14" s="11"/>
      <c r="R14" s="10"/>
      <c r="S14" s="10"/>
      <c r="T14" s="10"/>
      <c r="U14" s="11"/>
      <c r="V14" s="10"/>
      <c r="W14" s="10"/>
      <c r="X14" s="10"/>
      <c r="Y14" s="11"/>
      <c r="Z14" s="10"/>
      <c r="AA14" s="10"/>
      <c r="AB14" s="10"/>
      <c r="AC14" s="10"/>
      <c r="AD14" s="10"/>
      <c r="AE14" s="11"/>
      <c r="AF14" s="10"/>
      <c r="AG14" s="10"/>
      <c r="AH14" s="10"/>
      <c r="AI14" s="10"/>
      <c r="AJ14" s="10"/>
      <c r="AK14" s="11"/>
    </row>
    <row r="15" spans="1:37" ht="14.25" customHeight="1">
      <c r="A15" s="27" t="s">
        <v>30</v>
      </c>
      <c r="B15" s="69" t="s">
        <v>31</v>
      </c>
      <c r="C15" s="40"/>
      <c r="D15" s="40"/>
      <c r="E15" s="40"/>
      <c r="F15" s="40"/>
      <c r="G15" s="40"/>
      <c r="H15" s="40"/>
      <c r="I15" s="69" t="s">
        <v>32</v>
      </c>
      <c r="J15" s="40"/>
      <c r="K15" s="41"/>
      <c r="L15" s="69" t="s">
        <v>14</v>
      </c>
      <c r="M15" s="40"/>
      <c r="N15" s="40"/>
      <c r="O15" s="40"/>
      <c r="P15" s="40"/>
      <c r="Q15" s="40"/>
      <c r="R15" s="41"/>
      <c r="S15" s="69" t="s">
        <v>15</v>
      </c>
      <c r="T15" s="40"/>
      <c r="U15" s="40"/>
      <c r="V15" s="40"/>
      <c r="W15" s="41"/>
      <c r="X15" s="69" t="s">
        <v>34</v>
      </c>
      <c r="Y15" s="40"/>
      <c r="Z15" s="41"/>
      <c r="AA15" s="69" t="s">
        <v>33</v>
      </c>
      <c r="AB15" s="40"/>
      <c r="AC15" s="41"/>
      <c r="AD15" s="69" t="s">
        <v>35</v>
      </c>
      <c r="AE15" s="41"/>
      <c r="AF15" s="69" t="s">
        <v>36</v>
      </c>
      <c r="AG15" s="40"/>
      <c r="AH15" s="40"/>
      <c r="AI15" s="40"/>
      <c r="AJ15" s="40"/>
      <c r="AK15" s="41"/>
    </row>
    <row r="16" spans="1:37" ht="14.25" customHeight="1">
      <c r="A16" s="28"/>
      <c r="B16" s="33" t="s">
        <v>37</v>
      </c>
      <c r="C16" s="18" t="str">
        <f t="array" aca="1" ref="C16" ca="1">IFERROR(
    INDEX(データ集約!A:ZZ, MATCH(D5, データ集約!C:C, 0), MATCH("家族氏名-1", データ集約!1:1, 0)),
    ""
)</f>
        <v/>
      </c>
      <c r="D16" s="8"/>
      <c r="E16" s="8"/>
      <c r="F16" s="8"/>
      <c r="G16" s="8"/>
      <c r="H16" s="38" t="s">
        <v>12</v>
      </c>
      <c r="I16" s="71" t="str">
        <f t="array" aca="1" ref="I16" ca="1">IFERROR(
    INDEX(データ集約!A:ZZ, MATCH(D5, データ集約!C:C, 0), MATCH("続柄-1", データ集約!1:1, 0)),
    ""
)</f>
        <v/>
      </c>
      <c r="J16" s="21"/>
      <c r="K16" s="22"/>
      <c r="L16" s="85" t="str">
        <f t="array" aca="1" ref="L16" ca="1">IFERROR(
    INDEX(データ集約!A:ZZ, MATCH(D5, データ集約!C:C, 0), MATCH("住所-1", データ集約!1:1, 0)),
    ""
)</f>
        <v/>
      </c>
      <c r="M16" s="21"/>
      <c r="N16" s="21"/>
      <c r="O16" s="21"/>
      <c r="P16" s="21"/>
      <c r="Q16" s="21"/>
      <c r="R16" s="22"/>
      <c r="S16" s="71" t="str">
        <f t="array" aca="1" ref="S16" ca="1">IFERROR(
    INDEX(データ集約!A:ZZ, MATCH(D5, データ集約!C:C, 0), MATCH("連絡先-1", データ集約!1:1, 0)),
    ""
)</f>
        <v/>
      </c>
      <c r="T16" s="21"/>
      <c r="U16" s="21"/>
      <c r="V16" s="21"/>
      <c r="W16" s="22"/>
      <c r="X16" s="71" t="str">
        <f t="array" aca="1" ref="X16" ca="1">IFERROR(
    INDEX(データ集約!A:ZZ, MATCH(D5, データ集約!C:C, 0), MATCH("介護-1", データ集約!1:1, 0)),
    ""
)</f>
        <v/>
      </c>
      <c r="Y16" s="21"/>
      <c r="Z16" s="22"/>
      <c r="AA16" s="71" t="str">
        <f t="array" aca="1" ref="AA16" ca="1">IFERROR(
    INDEX(データ集約!A:ZZ, MATCH(D5, データ集約!C:C, 0), MATCH("同居有無-1", データ集約!1:1, 0)),
    ""
)</f>
        <v/>
      </c>
      <c r="AB16" s="21"/>
      <c r="AC16" s="22"/>
      <c r="AD16" s="71" t="str">
        <f t="array" aca="1" ref="AD16" ca="1">IFERROR(
    INDEX(データ集約!A:ZZ, MATCH(D5, データ集約!C:C, 0), MATCH("就労-1", データ集約!1:1, 0)),
    ""
)</f>
        <v/>
      </c>
      <c r="AE16" s="22"/>
      <c r="AF16" s="71" t="str">
        <f t="array" aca="1" ref="AF16" ca="1">IFERROR(
    INDEX(データ集約!A:ZZ, MATCH(D5, データ集約!C:C, 0), MATCH("備考-1", データ集約!1:1, 0)),
    ""
)</f>
        <v/>
      </c>
      <c r="AG16" s="21"/>
      <c r="AH16" s="21"/>
      <c r="AI16" s="21"/>
      <c r="AJ16" s="21"/>
      <c r="AK16" s="22"/>
    </row>
    <row r="17" spans="1:37" ht="14.25" customHeight="1">
      <c r="A17" s="28"/>
      <c r="B17" s="10"/>
      <c r="C17" s="10"/>
      <c r="D17" s="10"/>
      <c r="E17" s="10"/>
      <c r="F17" s="10"/>
      <c r="G17" s="10"/>
      <c r="H17" s="11"/>
      <c r="I17" s="14"/>
      <c r="J17" s="10"/>
      <c r="K17" s="11"/>
      <c r="L17" s="14"/>
      <c r="M17" s="10"/>
      <c r="N17" s="10"/>
      <c r="O17" s="10"/>
      <c r="P17" s="10"/>
      <c r="Q17" s="10"/>
      <c r="R17" s="11"/>
      <c r="S17" s="14"/>
      <c r="T17" s="10"/>
      <c r="U17" s="10"/>
      <c r="V17" s="10"/>
      <c r="W17" s="11"/>
      <c r="X17" s="14"/>
      <c r="Y17" s="10"/>
      <c r="Z17" s="11"/>
      <c r="AA17" s="14"/>
      <c r="AB17" s="10"/>
      <c r="AC17" s="11"/>
      <c r="AD17" s="14"/>
      <c r="AE17" s="11"/>
      <c r="AF17" s="14"/>
      <c r="AG17" s="10"/>
      <c r="AH17" s="10"/>
      <c r="AI17" s="10"/>
      <c r="AJ17" s="10"/>
      <c r="AK17" s="11"/>
    </row>
    <row r="18" spans="1:37" ht="14.25" customHeight="1">
      <c r="A18" s="28"/>
      <c r="B18" s="33" t="s">
        <v>38</v>
      </c>
      <c r="C18" s="18" t="str">
        <f t="array" aca="1" ref="C18" ca="1">IFERROR(
    INDEX(データ集約!A:ZZ, MATCH(D5, データ集約!C:C, 0), MATCH("家族氏名-2", データ集約!1:1, 0)),
    ""
)</f>
        <v/>
      </c>
      <c r="D18" s="8"/>
      <c r="E18" s="8"/>
      <c r="F18" s="8"/>
      <c r="G18" s="8"/>
      <c r="H18" s="38" t="s">
        <v>12</v>
      </c>
      <c r="I18" s="71" t="str">
        <f t="array" aca="1" ref="I18" ca="1">IFERROR(
    INDEX(データ集約!A:ZZ, MATCH(D5, データ集約!C:C, 0), MATCH("続柄-2", データ集約!1:1, 0)),
    ""
)</f>
        <v/>
      </c>
      <c r="J18" s="21"/>
      <c r="K18" s="22"/>
      <c r="L18" s="71" t="str">
        <f t="array" aca="1" ref="L18" ca="1">IFERROR(
    INDEX(データ集約!A:ZZ, MATCH(D5, データ集約!C:C, 0), MATCH("住所-1", データ集約!1:1, 0)),
    ""
)</f>
        <v/>
      </c>
      <c r="M18" s="21"/>
      <c r="N18" s="21"/>
      <c r="O18" s="21"/>
      <c r="P18" s="21"/>
      <c r="Q18" s="21"/>
      <c r="R18" s="22"/>
      <c r="S18" s="71" t="str">
        <f t="array" aca="1" ref="S18" ca="1">IFERROR(
    INDEX(データ集約!A:ZZ, MATCH(D5, データ集約!C:C, 0), MATCH("連絡先-2", データ集約!1:1, 0)),
    ""
)</f>
        <v/>
      </c>
      <c r="T18" s="21"/>
      <c r="U18" s="21"/>
      <c r="V18" s="21"/>
      <c r="W18" s="22"/>
      <c r="X18" s="71" t="str">
        <f t="array" aca="1" ref="X18" ca="1">IFERROR(
    INDEX(データ集約!A:ZZ, MATCH(D5, データ集約!C:C, 0), MATCH("介護-2", データ集約!1:1, 0)),
    ""
)</f>
        <v/>
      </c>
      <c r="Y18" s="21"/>
      <c r="Z18" s="22"/>
      <c r="AA18" s="71" t="str">
        <f t="array" aca="1" ref="AA18" ca="1">IFERROR(
    INDEX(データ集約!A:ZZ, MATCH(D5, データ集約!C:C, 0), MATCH("同居有無-2", データ集約!1:1, 0)),
    ""
)</f>
        <v/>
      </c>
      <c r="AB18" s="21"/>
      <c r="AC18" s="22"/>
      <c r="AD18" s="71" t="str">
        <f t="array" aca="1" ref="AD18" ca="1">IFERROR(
    INDEX(データ集約!A:ZZ, MATCH(D5, データ集約!C:C, 0), MATCH("就労-2", データ集約!1:1, 0)),
    ""
)</f>
        <v/>
      </c>
      <c r="AE18" s="22"/>
      <c r="AF18" s="71" t="str">
        <f t="array" aca="1" ref="AF18" ca="1">IFERROR(
    INDEX(データ集約!A:ZZ, MATCH(D5, データ集約!C:C, 0), MATCH("備考-2", データ集約!1:1, 0)),
    ""
)</f>
        <v/>
      </c>
      <c r="AG18" s="21"/>
      <c r="AH18" s="21"/>
      <c r="AI18" s="21"/>
      <c r="AJ18" s="21"/>
      <c r="AK18" s="22"/>
    </row>
    <row r="19" spans="1:37" ht="14.25" customHeight="1">
      <c r="A19" s="29"/>
      <c r="B19" s="10"/>
      <c r="C19" s="10"/>
      <c r="D19" s="10"/>
      <c r="E19" s="10"/>
      <c r="F19" s="10"/>
      <c r="G19" s="10"/>
      <c r="H19" s="11"/>
      <c r="I19" s="14"/>
      <c r="J19" s="10"/>
      <c r="K19" s="11"/>
      <c r="L19" s="14"/>
      <c r="M19" s="10"/>
      <c r="N19" s="10"/>
      <c r="O19" s="10"/>
      <c r="P19" s="10"/>
      <c r="Q19" s="10"/>
      <c r="R19" s="11"/>
      <c r="S19" s="14"/>
      <c r="T19" s="10"/>
      <c r="U19" s="10"/>
      <c r="V19" s="10"/>
      <c r="W19" s="11"/>
      <c r="X19" s="14"/>
      <c r="Y19" s="10"/>
      <c r="Z19" s="11"/>
      <c r="AA19" s="14"/>
      <c r="AB19" s="10"/>
      <c r="AC19" s="11"/>
      <c r="AD19" s="14"/>
      <c r="AE19" s="11"/>
      <c r="AF19" s="14"/>
      <c r="AG19" s="10"/>
      <c r="AH19" s="10"/>
      <c r="AI19" s="10"/>
      <c r="AJ19" s="10"/>
      <c r="AK19" s="11"/>
    </row>
    <row r="20" spans="1:37" ht="14.25" customHeight="1">
      <c r="A20" s="27" t="s">
        <v>39</v>
      </c>
      <c r="B20" s="68" t="s">
        <v>40</v>
      </c>
      <c r="C20" s="10"/>
      <c r="D20" s="10"/>
      <c r="E20" s="11"/>
      <c r="F20" s="53" t="str">
        <f t="array" aca="1" ref="F20" ca="1">IFERROR(
    INDEX(データ集約!A:ZZ, MATCH(D5, データ集約!C:C, 0), MATCH("家庭環境", データ集約!1:1, 0)),
    ""
)</f>
        <v/>
      </c>
      <c r="G20" s="10"/>
      <c r="H20" s="10"/>
      <c r="I20" s="10"/>
      <c r="J20" s="10"/>
      <c r="K20" s="10"/>
      <c r="L20" s="10"/>
      <c r="M20" s="11"/>
      <c r="N20" s="68" t="s">
        <v>41</v>
      </c>
      <c r="O20" s="10"/>
      <c r="P20" s="10"/>
      <c r="Q20" s="11"/>
      <c r="R20" s="53" t="str">
        <f t="array" aca="1" ref="R20" ca="1">IFERROR(
    INDEX(データ集約!A:ZZ, MATCH(D5, データ集約!C:C, 0), MATCH("冷暖房", データ集約!1:1, 0)),
    ""
)</f>
        <v/>
      </c>
      <c r="S20" s="10"/>
      <c r="T20" s="10"/>
      <c r="U20" s="10"/>
      <c r="V20" s="10"/>
      <c r="W20" s="10"/>
      <c r="X20" s="10"/>
      <c r="Y20" s="11"/>
      <c r="Z20" s="68" t="s">
        <v>42</v>
      </c>
      <c r="AA20" s="10"/>
      <c r="AB20" s="10"/>
      <c r="AC20" s="11"/>
      <c r="AD20" s="53" t="str">
        <f t="array" aca="1" ref="AD20" ca="1">IFERROR(
    INDEX(データ集約!A:ZZ, MATCH(D5, データ集約!C:C, 0), MATCH("居室段差", データ集約!1:1, 0)),
    ""
)</f>
        <v/>
      </c>
      <c r="AE20" s="10"/>
      <c r="AF20" s="10"/>
      <c r="AG20" s="10"/>
      <c r="AH20" s="10"/>
      <c r="AI20" s="10"/>
      <c r="AJ20" s="10"/>
      <c r="AK20" s="11"/>
    </row>
    <row r="21" spans="1:37" ht="14.25" customHeight="1">
      <c r="A21" s="28"/>
      <c r="B21" s="68" t="s">
        <v>43</v>
      </c>
      <c r="C21" s="10"/>
      <c r="D21" s="10"/>
      <c r="E21" s="11"/>
      <c r="F21" s="70" t="str">
        <f t="array" aca="1" ref="F21" ca="1">IFERROR(
    INDEX(データ集約!A:ZZ, MATCH(D5, データ集約!C:C, 0), MATCH("住宅形態", データ集約!1:1, 0)),
    ""
)</f>
        <v/>
      </c>
      <c r="G21" s="40"/>
      <c r="H21" s="41"/>
      <c r="I21" s="70" t="str">
        <f t="array" aca="1" ref="I21" ca="1">IFERROR(
    INDEX(データ集約!A:ZZ, MATCH(D5, データ集約!C:C, 0), MATCH("住宅形態｜エレベーターの有無", データ集約!1:1, 0)),
    ""
)</f>
        <v/>
      </c>
      <c r="J21" s="40"/>
      <c r="K21" s="40"/>
      <c r="L21" s="40"/>
      <c r="M21" s="41"/>
      <c r="N21" s="68" t="s">
        <v>44</v>
      </c>
      <c r="O21" s="10"/>
      <c r="P21" s="10"/>
      <c r="Q21" s="11"/>
      <c r="R21" s="81" t="str">
        <f t="array" aca="1" ref="R21" ca="1">IFERROR(
    INDEX(データ集約!A:ZZ, MATCH(D5, データ集約!C:C, 0), MATCH("トイレ", データ集約!1:1, 0)),
    ""
)</f>
        <v/>
      </c>
      <c r="S21" s="41"/>
      <c r="T21" s="81" t="str">
        <f t="array" aca="1" ref="T21" ca="1">IFERROR(
    INDEX(データ集約!A:ZZ, MATCH(D5, データ集約!C:C, 0), MATCH("手すりの有無", データ集約!1:1, 0)),
    ""
)</f>
        <v/>
      </c>
      <c r="U21" s="40"/>
      <c r="V21" s="41"/>
      <c r="W21" s="81" t="str">
        <f t="array" aca="1" ref="W21" ca="1">IFERROR(
    INDEX(データ集約!A:ZZ, MATCH(D5, データ集約!C:C, 0), MATCH("段差の有無", データ集約!1:1, 0)),
    ""
)</f>
        <v/>
      </c>
      <c r="X21" s="40"/>
      <c r="Y21" s="41"/>
      <c r="Z21" s="68" t="s">
        <v>45</v>
      </c>
      <c r="AA21" s="10"/>
      <c r="AB21" s="10"/>
      <c r="AC21" s="11"/>
      <c r="AD21" s="53" t="str">
        <f t="array" aca="1" ref="AD21" ca="1">IFERROR(
    INDEX(データ集約!A:ZZ, MATCH(D5, データ集約!C:C, 0), MATCH("住宅改修", データ集約!1:1, 0)),
    ""
)</f>
        <v/>
      </c>
      <c r="AE21" s="10"/>
      <c r="AF21" s="10"/>
      <c r="AG21" s="10"/>
      <c r="AH21" s="10"/>
      <c r="AI21" s="10"/>
      <c r="AJ21" s="10"/>
      <c r="AK21" s="11"/>
    </row>
    <row r="22" spans="1:37" ht="14.25" customHeight="1">
      <c r="A22" s="28"/>
      <c r="B22" s="68" t="s">
        <v>46</v>
      </c>
      <c r="C22" s="10"/>
      <c r="D22" s="10"/>
      <c r="E22" s="11"/>
      <c r="F22" s="53" t="str">
        <f t="array" aca="1" ref="F22" ca="1">IFERROR(
    INDEX(データ集約!A:ZZ, MATCH(D5, データ集約!C:C, 0), MATCH("住宅権利", データ集約!1:1, 0)),
    ""
)</f>
        <v/>
      </c>
      <c r="G22" s="10"/>
      <c r="H22" s="10"/>
      <c r="I22" s="10"/>
      <c r="J22" s="10"/>
      <c r="K22" s="10"/>
      <c r="L22" s="10"/>
      <c r="M22" s="11"/>
      <c r="N22" s="68" t="s">
        <v>47</v>
      </c>
      <c r="O22" s="10"/>
      <c r="P22" s="10"/>
      <c r="Q22" s="11"/>
      <c r="R22" s="70" t="str">
        <f t="array" aca="1" ref="R22" ca="1">IFERROR(
    INDEX(データ集約!A:ZZ, MATCH(D5, データ集約!C:C, 0), MATCH("浴室", データ集約!1:1, 0)),
    ""
)</f>
        <v/>
      </c>
      <c r="S22" s="40"/>
      <c r="T22" s="40"/>
      <c r="U22" s="41"/>
      <c r="V22" s="70" t="str">
        <f t="array" aca="1" ref="V22" ca="1">IFERROR(
    INDEX(データ集約!A:ZZ, MATCH(D5, データ集約!C:C, 0), MATCH("浴室内手すり", データ集約!1:1, 0)),
    ""
)</f>
        <v/>
      </c>
      <c r="W22" s="40"/>
      <c r="X22" s="40"/>
      <c r="Y22" s="41"/>
      <c r="Z22" s="82" t="s">
        <v>48</v>
      </c>
      <c r="AA22" s="10"/>
      <c r="AB22" s="10"/>
      <c r="AC22" s="10"/>
      <c r="AD22" s="11"/>
      <c r="AE22" s="53" t="str">
        <f t="array" aca="1" ref="AE22" ca="1">IFERROR(
    INDEX(データ集約!A:ZZ, MATCH(D5, データ集約!C:C, 0), MATCH("住宅改修の必要性", データ集約!1:1, 0)),
    ""
)</f>
        <v/>
      </c>
      <c r="AF22" s="10"/>
      <c r="AG22" s="10"/>
      <c r="AH22" s="10"/>
      <c r="AI22" s="10"/>
      <c r="AJ22" s="10"/>
      <c r="AK22" s="11"/>
    </row>
    <row r="23" spans="1:37" ht="14.25" customHeight="1">
      <c r="A23" s="29"/>
      <c r="B23" s="68" t="s">
        <v>49</v>
      </c>
      <c r="C23" s="10"/>
      <c r="D23" s="10"/>
      <c r="E23" s="11"/>
      <c r="F23" s="53" t="str">
        <f t="array" aca="1" ref="F23" ca="1">IFERROR(
    INDEX(データ集約!A:ZZ, MATCH(D5, データ集約!C:C, 0), MATCH("専有居室", データ集約!1:1, 0)),
    ""
)</f>
        <v/>
      </c>
      <c r="G23" s="10"/>
      <c r="H23" s="10"/>
      <c r="I23" s="10"/>
      <c r="J23" s="10"/>
      <c r="K23" s="10"/>
      <c r="L23" s="10"/>
      <c r="M23" s="11"/>
      <c r="N23" s="68" t="s">
        <v>50</v>
      </c>
      <c r="O23" s="10"/>
      <c r="P23" s="10"/>
      <c r="Q23" s="11"/>
      <c r="R23" s="53" t="str">
        <f t="array" aca="1" ref="R23" ca="1">IFERROR(
    INDEX(データ集約!A:ZZ, MATCH(D5, データ集約!C:C, 0), MATCH("就寝", データ集約!1:1, 0)),
    ""
)</f>
        <v/>
      </c>
      <c r="S23" s="10"/>
      <c r="T23" s="10"/>
      <c r="U23" s="10"/>
      <c r="V23" s="10"/>
      <c r="W23" s="10"/>
      <c r="X23" s="10"/>
      <c r="Y23" s="11"/>
      <c r="Z23" s="68" t="s">
        <v>51</v>
      </c>
      <c r="AA23" s="10"/>
      <c r="AB23" s="10"/>
      <c r="AC23" s="11"/>
      <c r="AD23" s="53" t="str">
        <f t="array" aca="1" ref="AD23" ca="1">IFERROR(
    INDEX(データ集約!A:ZZ, MATCH(D5, データ集約!C:C, 0), MATCH("特別な状況", データ集約!1:1, 0)),
    ""
)</f>
        <v/>
      </c>
      <c r="AE23" s="10"/>
      <c r="AF23" s="10"/>
      <c r="AG23" s="10"/>
      <c r="AH23" s="10"/>
      <c r="AI23" s="10"/>
      <c r="AJ23" s="10"/>
      <c r="AK23" s="11"/>
    </row>
    <row r="24" spans="1:37" ht="14.25" customHeight="1">
      <c r="A24" s="27" t="s">
        <v>52</v>
      </c>
      <c r="B24" s="34" t="s">
        <v>53</v>
      </c>
      <c r="C24" s="10"/>
      <c r="D24" s="10"/>
      <c r="E24" s="10"/>
      <c r="F24" s="10"/>
      <c r="G24" s="10"/>
      <c r="H24" s="10"/>
      <c r="I24" s="10"/>
      <c r="J24" s="10"/>
      <c r="K24" s="10"/>
      <c r="L24" s="10"/>
      <c r="M24" s="11"/>
      <c r="N24" s="39" t="s">
        <v>54</v>
      </c>
      <c r="O24" s="40"/>
      <c r="P24" s="40"/>
      <c r="Q24" s="41"/>
      <c r="R24" s="34" t="s">
        <v>56</v>
      </c>
      <c r="S24" s="10"/>
      <c r="T24" s="10"/>
      <c r="U24" s="10"/>
      <c r="V24" s="10"/>
      <c r="W24" s="10"/>
      <c r="X24" s="10"/>
      <c r="Y24" s="10"/>
      <c r="Z24" s="10"/>
      <c r="AA24" s="10"/>
      <c r="AB24" s="10"/>
      <c r="AC24" s="10"/>
      <c r="AD24" s="10"/>
      <c r="AE24" s="10"/>
      <c r="AF24" s="10"/>
      <c r="AG24" s="10"/>
      <c r="AH24" s="10"/>
      <c r="AI24" s="10"/>
      <c r="AJ24" s="10"/>
      <c r="AK24" s="11"/>
    </row>
    <row r="25" spans="1:37" ht="14.25" customHeight="1">
      <c r="A25" s="28"/>
      <c r="B25" s="18" t="str">
        <f t="array" aca="1" ref="B25" ca="1">IFERROR(
    INDEX(データ集約!A:ZZ, MATCH(D5, データ集約!C:C, 0), MATCH("疾患名-1", データ集約!1:1, 0)),
    ""
)</f>
        <v/>
      </c>
      <c r="C25" s="8"/>
      <c r="D25" s="8"/>
      <c r="E25" s="8"/>
      <c r="F25" s="8"/>
      <c r="G25" s="8"/>
      <c r="H25" s="8"/>
      <c r="I25" s="8"/>
      <c r="J25" s="8"/>
      <c r="K25" s="8"/>
      <c r="L25" s="8"/>
      <c r="M25" s="9"/>
      <c r="N25" s="19" t="str">
        <f t="array" aca="1" ref="N25" ca="1">IFERROR(
    INDEX(データ集約!A:ZZ, MATCH(D5, データ集約!C:C, 0), MATCH("発症日-1", データ集約!1:1, 0)),
    ""
)</f>
        <v/>
      </c>
      <c r="O25" s="8"/>
      <c r="P25" s="8"/>
      <c r="Q25" s="8"/>
      <c r="R25" s="80" t="str">
        <f t="array" aca="1" ref="R25" ca="1">IFERROR(
    INDEX(データ集約!A:ZZ, MATCH(D5, データ集約!C:C, 0), MATCH("既往歴", データ集約!1:1, 0)),
    ""
)</f>
        <v/>
      </c>
      <c r="S25" s="21"/>
      <c r="T25" s="21"/>
      <c r="U25" s="21"/>
      <c r="V25" s="21"/>
      <c r="W25" s="21"/>
      <c r="X25" s="21"/>
      <c r="Y25" s="21"/>
      <c r="Z25" s="21"/>
      <c r="AA25" s="21"/>
      <c r="AB25" s="21"/>
      <c r="AC25" s="21"/>
      <c r="AD25" s="21"/>
      <c r="AE25" s="21"/>
      <c r="AF25" s="21"/>
      <c r="AG25" s="21"/>
      <c r="AH25" s="21"/>
      <c r="AI25" s="21"/>
      <c r="AJ25" s="21"/>
      <c r="AK25" s="22"/>
    </row>
    <row r="26" spans="1:37" ht="14.25" customHeight="1">
      <c r="A26" s="28"/>
      <c r="B26" s="10"/>
      <c r="C26" s="10"/>
      <c r="D26" s="10"/>
      <c r="E26" s="10"/>
      <c r="F26" s="10"/>
      <c r="G26" s="10"/>
      <c r="H26" s="10"/>
      <c r="I26" s="10"/>
      <c r="J26" s="10"/>
      <c r="K26" s="10"/>
      <c r="L26" s="10"/>
      <c r="M26" s="11"/>
      <c r="N26" s="8"/>
      <c r="O26" s="8"/>
      <c r="P26" s="8"/>
      <c r="Q26" s="8"/>
      <c r="R26" s="25"/>
      <c r="S26" s="8"/>
      <c r="T26" s="8"/>
      <c r="U26" s="8"/>
      <c r="V26" s="8"/>
      <c r="W26" s="8"/>
      <c r="X26" s="8"/>
      <c r="Y26" s="8"/>
      <c r="Z26" s="8"/>
      <c r="AA26" s="8"/>
      <c r="AB26" s="8"/>
      <c r="AC26" s="8"/>
      <c r="AD26" s="8"/>
      <c r="AE26" s="8"/>
      <c r="AF26" s="8"/>
      <c r="AG26" s="8"/>
      <c r="AH26" s="8"/>
      <c r="AI26" s="8"/>
      <c r="AJ26" s="8"/>
      <c r="AK26" s="9"/>
    </row>
    <row r="27" spans="1:37" ht="14.25" customHeight="1">
      <c r="A27" s="28"/>
      <c r="B27" s="18" t="str">
        <f t="array" aca="1" ref="B27" ca="1">IFERROR(
    INDEX(データ集約!A:ZZ, MATCH(D5, データ集約!C:C, 0), MATCH("疾患名-2", データ集約!1:1, 0)),
    ""
)</f>
        <v/>
      </c>
      <c r="C27" s="8"/>
      <c r="D27" s="8"/>
      <c r="E27" s="8"/>
      <c r="F27" s="8"/>
      <c r="G27" s="8"/>
      <c r="H27" s="8"/>
      <c r="I27" s="8"/>
      <c r="J27" s="8"/>
      <c r="K27" s="8"/>
      <c r="L27" s="8"/>
      <c r="M27" s="9"/>
      <c r="N27" s="74" t="str">
        <f t="array" aca="1" ref="N27" ca="1">IFERROR(
    INDEX(データ集約!A:ZZ, MATCH(D7, データ集約!C:C, 0), MATCH("発症日-1", データ集約!3:3, 0)),
    ""
)</f>
        <v/>
      </c>
      <c r="O27" s="21"/>
      <c r="P27" s="21"/>
      <c r="Q27" s="22"/>
      <c r="R27" s="14"/>
      <c r="S27" s="10"/>
      <c r="T27" s="10"/>
      <c r="U27" s="10"/>
      <c r="V27" s="10"/>
      <c r="W27" s="10"/>
      <c r="X27" s="10"/>
      <c r="Y27" s="10"/>
      <c r="Z27" s="10"/>
      <c r="AA27" s="10"/>
      <c r="AB27" s="10"/>
      <c r="AC27" s="10"/>
      <c r="AD27" s="10"/>
      <c r="AE27" s="10"/>
      <c r="AF27" s="10"/>
      <c r="AG27" s="10"/>
      <c r="AH27" s="10"/>
      <c r="AI27" s="10"/>
      <c r="AJ27" s="10"/>
      <c r="AK27" s="11"/>
    </row>
    <row r="28" spans="1:37" ht="14.25" customHeight="1">
      <c r="A28" s="28"/>
      <c r="B28" s="10"/>
      <c r="C28" s="10"/>
      <c r="D28" s="10"/>
      <c r="E28" s="10"/>
      <c r="F28" s="10"/>
      <c r="G28" s="10"/>
      <c r="H28" s="10"/>
      <c r="I28" s="10"/>
      <c r="J28" s="10"/>
      <c r="K28" s="10"/>
      <c r="L28" s="10"/>
      <c r="M28" s="11"/>
      <c r="N28" s="14"/>
      <c r="O28" s="10"/>
      <c r="P28" s="10"/>
      <c r="Q28" s="11"/>
      <c r="R28" s="75" t="s">
        <v>146</v>
      </c>
      <c r="S28" s="21"/>
      <c r="T28" s="21"/>
      <c r="U28" s="22"/>
      <c r="V28" s="77" t="str">
        <f t="array" aca="1" ref="V28" ca="1">IFERROR(
    INDEX(データ集約!A:ZZ, MATCH(D5, データ集約!C:C, 0), MATCH("主治医※安濃津ろまん入居後（中）｜病院・医院", データ集約!1:1, 0)),
    ""
)</f>
        <v/>
      </c>
      <c r="W28" s="21"/>
      <c r="X28" s="21"/>
      <c r="Y28" s="21"/>
      <c r="Z28" s="21"/>
      <c r="AA28" s="21"/>
      <c r="AB28" s="21"/>
      <c r="AC28" s="72" t="str">
        <f t="array" aca="1" ref="AC28" ca="1">IFERROR(
    INDEX(データ集約!A:ZZ, MATCH(D5, データ集約!C:C, 0), MATCH("主治医※安濃津ろまん入居後（中）｜氏名", データ集約!1:1, 0)),
    ""
)</f>
        <v/>
      </c>
      <c r="AD28" s="21"/>
      <c r="AE28" s="21"/>
      <c r="AF28" s="21"/>
      <c r="AG28" s="21"/>
      <c r="AH28" s="21"/>
      <c r="AI28" s="21"/>
      <c r="AJ28" s="73" t="s">
        <v>147</v>
      </c>
      <c r="AK28" s="22"/>
    </row>
    <row r="29" spans="1:37" ht="14.25" customHeight="1">
      <c r="A29" s="28"/>
      <c r="B29" s="18" t="str">
        <f t="array" aca="1" ref="B29" ca="1">IFERROR(
    INDEX(データ集約!A:ZZ, MATCH(D5, データ集約!C:C, 0), MATCH("疾患名-3", データ集約!1:1, 0)),
    ""
)</f>
        <v/>
      </c>
      <c r="C29" s="8"/>
      <c r="D29" s="8"/>
      <c r="E29" s="8"/>
      <c r="F29" s="8"/>
      <c r="G29" s="8"/>
      <c r="H29" s="8"/>
      <c r="I29" s="8"/>
      <c r="J29" s="8"/>
      <c r="K29" s="8"/>
      <c r="L29" s="8"/>
      <c r="M29" s="9"/>
      <c r="N29" s="74" t="str">
        <f t="array" aca="1" ref="N29" ca="1">IFERROR(
    INDEX(データ集約!A:ZZ, MATCH(D9, データ集約!C:C, 0), MATCH("発症日-1", データ集約!5:5, 0)),
    ""
)</f>
        <v/>
      </c>
      <c r="O29" s="21"/>
      <c r="P29" s="21"/>
      <c r="Q29" s="22"/>
      <c r="R29" s="14"/>
      <c r="S29" s="10"/>
      <c r="T29" s="10"/>
      <c r="U29" s="11"/>
      <c r="V29" s="10"/>
      <c r="W29" s="10"/>
      <c r="X29" s="10"/>
      <c r="Y29" s="10"/>
      <c r="Z29" s="10"/>
      <c r="AA29" s="10"/>
      <c r="AB29" s="10"/>
      <c r="AC29" s="10"/>
      <c r="AD29" s="10"/>
      <c r="AE29" s="10"/>
      <c r="AF29" s="10"/>
      <c r="AG29" s="10"/>
      <c r="AH29" s="10"/>
      <c r="AI29" s="10"/>
      <c r="AJ29" s="10"/>
      <c r="AK29" s="11"/>
    </row>
    <row r="30" spans="1:37" ht="14.25" customHeight="1">
      <c r="A30" s="28"/>
      <c r="B30" s="10"/>
      <c r="C30" s="10"/>
      <c r="D30" s="10"/>
      <c r="E30" s="10"/>
      <c r="F30" s="10"/>
      <c r="G30" s="10"/>
      <c r="H30" s="10"/>
      <c r="I30" s="10"/>
      <c r="J30" s="10"/>
      <c r="K30" s="10"/>
      <c r="L30" s="10"/>
      <c r="M30" s="11"/>
      <c r="N30" s="14"/>
      <c r="O30" s="10"/>
      <c r="P30" s="10"/>
      <c r="Q30" s="11"/>
      <c r="R30" s="75" t="s">
        <v>148</v>
      </c>
      <c r="S30" s="21"/>
      <c r="T30" s="21"/>
      <c r="U30" s="22"/>
      <c r="V30" s="77" t="str">
        <f t="array" aca="1" ref="V30" ca="1">IFERROR(
    INDEX(データ集約!A:ZZ, MATCH(D5, データ集約!C:C, 0), MATCH("往診医｜病院・医院", データ集約!1:1, 0)),
    ""
)</f>
        <v/>
      </c>
      <c r="W30" s="21"/>
      <c r="X30" s="21"/>
      <c r="Y30" s="21"/>
      <c r="Z30" s="21"/>
      <c r="AA30" s="21"/>
      <c r="AB30" s="21"/>
      <c r="AC30" s="72" t="str">
        <f t="array" aca="1" ref="AC30" ca="1">IFERROR(
    INDEX(データ集約!A:ZZ, MATCH(D5, データ集約!C:C, 0), MATCH("往診医｜氏名", データ集約!1:1, 0)),
    ""
)</f>
        <v/>
      </c>
      <c r="AD30" s="21"/>
      <c r="AE30" s="21"/>
      <c r="AF30" s="21"/>
      <c r="AG30" s="21"/>
      <c r="AH30" s="21"/>
      <c r="AI30" s="21"/>
      <c r="AJ30" s="73" t="s">
        <v>147</v>
      </c>
      <c r="AK30" s="22"/>
    </row>
    <row r="31" spans="1:37" ht="14.25" customHeight="1">
      <c r="A31" s="28"/>
      <c r="B31" s="18" t="str">
        <f t="array" aca="1" ref="B31" ca="1">IFERROR(
    INDEX(データ集約!A:ZZ, MATCH(D5, データ集約!C:C, 0), MATCH("疾患名-4", データ集約!1:1, 0)),
    ""
)</f>
        <v/>
      </c>
      <c r="C31" s="8"/>
      <c r="D31" s="8"/>
      <c r="E31" s="8"/>
      <c r="F31" s="8"/>
      <c r="G31" s="8"/>
      <c r="H31" s="8"/>
      <c r="I31" s="8"/>
      <c r="J31" s="8"/>
      <c r="K31" s="8"/>
      <c r="L31" s="8"/>
      <c r="M31" s="9"/>
      <c r="N31" s="74" t="str">
        <f t="array" aca="1" ref="N31" ca="1">IFERROR(
    INDEX(データ集約!A:ZZ, MATCH(D11, データ集約!C:C, 0), MATCH("発症日-1", データ集約!7:7, 0)),
    ""
)</f>
        <v/>
      </c>
      <c r="O31" s="21"/>
      <c r="P31" s="21"/>
      <c r="Q31" s="22"/>
      <c r="R31" s="14"/>
      <c r="S31" s="10"/>
      <c r="T31" s="10"/>
      <c r="U31" s="11"/>
      <c r="V31" s="10"/>
      <c r="W31" s="10"/>
      <c r="X31" s="10"/>
      <c r="Y31" s="10"/>
      <c r="Z31" s="10"/>
      <c r="AA31" s="10"/>
      <c r="AB31" s="10"/>
      <c r="AC31" s="10"/>
      <c r="AD31" s="10"/>
      <c r="AE31" s="10"/>
      <c r="AF31" s="10"/>
      <c r="AG31" s="10"/>
      <c r="AH31" s="10"/>
      <c r="AI31" s="10"/>
      <c r="AJ31" s="10"/>
      <c r="AK31" s="11"/>
    </row>
    <row r="32" spans="1:37" ht="14.25" customHeight="1">
      <c r="A32" s="28"/>
      <c r="B32" s="10"/>
      <c r="C32" s="10"/>
      <c r="D32" s="10"/>
      <c r="E32" s="10"/>
      <c r="F32" s="10"/>
      <c r="G32" s="10"/>
      <c r="H32" s="10"/>
      <c r="I32" s="10"/>
      <c r="J32" s="10"/>
      <c r="K32" s="10"/>
      <c r="L32" s="10"/>
      <c r="M32" s="11"/>
      <c r="N32" s="14"/>
      <c r="O32" s="10"/>
      <c r="P32" s="10"/>
      <c r="Q32" s="11"/>
      <c r="R32" s="75" t="s">
        <v>149</v>
      </c>
      <c r="S32" s="21"/>
      <c r="T32" s="21"/>
      <c r="U32" s="22"/>
      <c r="V32" s="78" t="str">
        <f t="array" aca="1" ref="V32" ca="1">IFERROR(
    INDEX(データ集約!A:ZZ, MATCH(D5, データ集約!C:C, 0), MATCH("かかりつけ医①", データ集約!1:1, 0)),
    ""
)</f>
        <v/>
      </c>
      <c r="W32" s="40"/>
      <c r="X32" s="40"/>
      <c r="Y32" s="40"/>
      <c r="Z32" s="40"/>
      <c r="AA32" s="40"/>
      <c r="AB32" s="40"/>
      <c r="AC32" s="41"/>
      <c r="AD32" s="79" t="str">
        <f t="array" aca="1" ref="AD32" ca="1">IFERROR(
    INDEX(データ集約!A:ZZ, MATCH(D5, データ集約!C:C, 0), MATCH("かかりつけ医②", データ集約!1:1, 0)),
    ""
)</f>
        <v/>
      </c>
      <c r="AE32" s="40"/>
      <c r="AF32" s="40"/>
      <c r="AG32" s="40"/>
      <c r="AH32" s="40"/>
      <c r="AI32" s="40"/>
      <c r="AJ32" s="40"/>
      <c r="AK32" s="41"/>
    </row>
    <row r="33" spans="1:37" ht="14.25" customHeight="1">
      <c r="A33" s="28"/>
      <c r="B33" s="18" t="str">
        <f t="array" aca="1" ref="B33" ca="1">IFERROR(
    INDEX(データ集約!A:ZZ, MATCH(D5, データ集約!C:C, 0), MATCH("疾患名-5", データ集約!1:1, 0)),
    ""
)</f>
        <v/>
      </c>
      <c r="C33" s="8"/>
      <c r="D33" s="8"/>
      <c r="E33" s="8"/>
      <c r="F33" s="8"/>
      <c r="G33" s="8"/>
      <c r="H33" s="8"/>
      <c r="I33" s="8"/>
      <c r="J33" s="8"/>
      <c r="K33" s="8"/>
      <c r="L33" s="8"/>
      <c r="M33" s="9"/>
      <c r="N33" s="74" t="str">
        <f t="array" aca="1" ref="N33" ca="1">IFERROR(
    INDEX(データ集約!A:ZZ, MATCH(D13, データ集約!C:C, 0), MATCH("発症日-1", データ集約!9:9, 0)),
    ""
)</f>
        <v/>
      </c>
      <c r="O33" s="21"/>
      <c r="P33" s="21"/>
      <c r="Q33" s="22"/>
      <c r="R33" s="14"/>
      <c r="S33" s="10"/>
      <c r="T33" s="10"/>
      <c r="U33" s="11"/>
      <c r="V33" s="78" t="str">
        <f t="array" aca="1" ref="V33" ca="1">IFERROR(
    INDEX(データ集約!A:ZZ, MATCH(D5, データ集約!C:C, 0), MATCH("かかりつけ医③", データ集約!1:1, 0)),
    ""
)</f>
        <v/>
      </c>
      <c r="W33" s="40"/>
      <c r="X33" s="40"/>
      <c r="Y33" s="40"/>
      <c r="Z33" s="40"/>
      <c r="AA33" s="40"/>
      <c r="AB33" s="40"/>
      <c r="AC33" s="41"/>
      <c r="AD33" s="76" t="str">
        <f t="array" aca="1" ref="AD33" ca="1">IFERROR(
    INDEX(データ集約!A:ZZ, MATCH(D5, データ集約!C:C, 0), MATCH("かかりつけ医④", データ集約!1:1, 0)),
    ""
)</f>
        <v/>
      </c>
      <c r="AE33" s="40"/>
      <c r="AF33" s="40"/>
      <c r="AG33" s="40"/>
      <c r="AH33" s="40"/>
      <c r="AI33" s="40"/>
      <c r="AJ33" s="40"/>
      <c r="AK33" s="41"/>
    </row>
    <row r="34" spans="1:37" ht="14.25" customHeight="1">
      <c r="A34" s="28"/>
      <c r="B34" s="10"/>
      <c r="C34" s="10"/>
      <c r="D34" s="10"/>
      <c r="E34" s="10"/>
      <c r="F34" s="10"/>
      <c r="G34" s="10"/>
      <c r="H34" s="10"/>
      <c r="I34" s="10"/>
      <c r="J34" s="10"/>
      <c r="K34" s="10"/>
      <c r="L34" s="10"/>
      <c r="M34" s="11"/>
      <c r="N34" s="14"/>
      <c r="O34" s="10"/>
      <c r="P34" s="10"/>
      <c r="Q34" s="11"/>
      <c r="R34" s="75" t="s">
        <v>150</v>
      </c>
      <c r="S34" s="21"/>
      <c r="T34" s="21"/>
      <c r="U34" s="22"/>
      <c r="V34" s="86" t="str">
        <f t="array" aca="1" ref="V34" ca="1">IFERROR(
    INDEX(データ集約!A:ZZ, MATCH(D5, データ集約!C:C, 0), MATCH("通院", データ集約!1:1, 0)),
    ""
)</f>
        <v/>
      </c>
      <c r="W34" s="8"/>
      <c r="X34" s="8"/>
      <c r="Y34" s="8"/>
      <c r="Z34" s="8"/>
      <c r="AA34" s="8"/>
      <c r="AB34" s="8"/>
      <c r="AC34" s="8"/>
      <c r="AD34" s="8"/>
      <c r="AE34" s="8"/>
      <c r="AF34" s="8"/>
      <c r="AG34" s="8"/>
      <c r="AH34" s="8"/>
      <c r="AI34" s="8"/>
      <c r="AJ34" s="8"/>
      <c r="AK34" s="9"/>
    </row>
    <row r="35" spans="1:37" ht="14.25" customHeight="1">
      <c r="A35" s="28"/>
      <c r="B35" s="18" t="str">
        <f t="array" aca="1" ref="B35" ca="1">IFERROR(
    INDEX(データ集約!A:ZZ, MATCH(D5, データ集約!C:C, 0), MATCH("疾患名-6", データ集約!1:1, 0)),
    ""
)</f>
        <v/>
      </c>
      <c r="C35" s="8"/>
      <c r="D35" s="8"/>
      <c r="E35" s="8"/>
      <c r="F35" s="8"/>
      <c r="G35" s="8"/>
      <c r="H35" s="8"/>
      <c r="I35" s="8"/>
      <c r="J35" s="8"/>
      <c r="K35" s="8"/>
      <c r="L35" s="8"/>
      <c r="M35" s="9"/>
      <c r="N35" s="74" t="str">
        <f t="array" aca="1" ref="N35" ca="1">IFERROR(
    INDEX(データ集約!A:ZZ, MATCH(D15, データ集約!C:C, 0), MATCH("発症日-1", データ集約!11:11, 0)),
    ""
)</f>
        <v/>
      </c>
      <c r="O35" s="21"/>
      <c r="P35" s="21"/>
      <c r="Q35" s="22"/>
      <c r="R35" s="25"/>
      <c r="S35" s="8"/>
      <c r="T35" s="8"/>
      <c r="U35" s="9"/>
      <c r="V35" s="8"/>
      <c r="W35" s="8"/>
      <c r="X35" s="8"/>
      <c r="Y35" s="8"/>
      <c r="Z35" s="8"/>
      <c r="AA35" s="8"/>
      <c r="AB35" s="8"/>
      <c r="AC35" s="8"/>
      <c r="AD35" s="8"/>
      <c r="AE35" s="8"/>
      <c r="AF35" s="8"/>
      <c r="AG35" s="8"/>
      <c r="AH35" s="8"/>
      <c r="AI35" s="8"/>
      <c r="AJ35" s="8"/>
      <c r="AK35" s="9"/>
    </row>
    <row r="36" spans="1:37" ht="14.25" customHeight="1">
      <c r="A36" s="28"/>
      <c r="B36" s="10"/>
      <c r="C36" s="10"/>
      <c r="D36" s="10"/>
      <c r="E36" s="10"/>
      <c r="F36" s="10"/>
      <c r="G36" s="10"/>
      <c r="H36" s="10"/>
      <c r="I36" s="10"/>
      <c r="J36" s="10"/>
      <c r="K36" s="10"/>
      <c r="L36" s="10"/>
      <c r="M36" s="11"/>
      <c r="N36" s="14"/>
      <c r="O36" s="10"/>
      <c r="P36" s="10"/>
      <c r="Q36" s="11"/>
      <c r="R36" s="14"/>
      <c r="S36" s="10"/>
      <c r="T36" s="10"/>
      <c r="U36" s="11"/>
      <c r="V36" s="10"/>
      <c r="W36" s="10"/>
      <c r="X36" s="10"/>
      <c r="Y36" s="10"/>
      <c r="Z36" s="10"/>
      <c r="AA36" s="10"/>
      <c r="AB36" s="10"/>
      <c r="AC36" s="10"/>
      <c r="AD36" s="10"/>
      <c r="AE36" s="10"/>
      <c r="AF36" s="10"/>
      <c r="AG36" s="10"/>
      <c r="AH36" s="10"/>
      <c r="AI36" s="10"/>
      <c r="AJ36" s="10"/>
      <c r="AK36" s="11"/>
    </row>
    <row r="37" spans="1:37" ht="14.25" customHeight="1">
      <c r="A37" s="28"/>
      <c r="B37" s="15" t="s">
        <v>151</v>
      </c>
      <c r="C37" s="8"/>
      <c r="D37" s="8"/>
      <c r="E37" s="9"/>
      <c r="F37" s="7" t="str">
        <f t="array" aca="1" ref="F37" ca="1">IFERROR(
    INDEX(データ集約!A:ZZ, MATCH(D5, データ集約!C:C, 0), MATCH("アレルギー｜有無", データ集約!1:1, 0)),
    ""
)</f>
        <v/>
      </c>
      <c r="G37" s="8"/>
      <c r="H37" s="9"/>
      <c r="I37" s="7" t="str">
        <f t="array" aca="1" ref="I37" ca="1">IFERROR(
    INDEX(データ集約!A:ZZ, MATCH(D5, データ集約!C:C, 0), MATCH("アレルギー｜特記", データ集約!1:1, 0)),
    ""
)</f>
        <v/>
      </c>
      <c r="J37" s="8"/>
      <c r="K37" s="8"/>
      <c r="L37" s="8"/>
      <c r="M37" s="8"/>
      <c r="N37" s="8"/>
      <c r="O37" s="8"/>
      <c r="P37" s="8"/>
      <c r="Q37" s="8"/>
      <c r="R37" s="75" t="s">
        <v>152</v>
      </c>
      <c r="S37" s="21"/>
      <c r="T37" s="21"/>
      <c r="U37" s="22"/>
      <c r="V37" s="7" t="str">
        <f t="array" aca="1" ref="V37" ca="1">IFERROR(
    INDEX(データ集約!A:ZZ, MATCH(D5, データ集約!C:C, 0), MATCH("服薬", データ集約!1:1, 0)),
    ""
)</f>
        <v/>
      </c>
      <c r="W37" s="8"/>
      <c r="X37" s="8"/>
      <c r="Y37" s="8"/>
      <c r="Z37" s="8"/>
      <c r="AA37" s="8"/>
      <c r="AB37" s="8"/>
      <c r="AC37" s="8"/>
      <c r="AD37" s="8"/>
      <c r="AE37" s="8"/>
      <c r="AF37" s="8"/>
      <c r="AG37" s="8"/>
      <c r="AH37" s="8"/>
      <c r="AI37" s="8"/>
      <c r="AJ37" s="8"/>
      <c r="AK37" s="9"/>
    </row>
    <row r="38" spans="1:37" ht="14.25" customHeight="1">
      <c r="A38" s="29"/>
      <c r="B38" s="10"/>
      <c r="C38" s="10"/>
      <c r="D38" s="10"/>
      <c r="E38" s="11"/>
      <c r="F38" s="10"/>
      <c r="G38" s="10"/>
      <c r="H38" s="11"/>
      <c r="I38" s="10"/>
      <c r="J38" s="10"/>
      <c r="K38" s="10"/>
      <c r="L38" s="10"/>
      <c r="M38" s="10"/>
      <c r="N38" s="10"/>
      <c r="O38" s="10"/>
      <c r="P38" s="10"/>
      <c r="Q38" s="10"/>
      <c r="R38" s="14"/>
      <c r="S38" s="10"/>
      <c r="T38" s="10"/>
      <c r="U38" s="11"/>
      <c r="V38" s="10"/>
      <c r="W38" s="10"/>
      <c r="X38" s="10"/>
      <c r="Y38" s="10"/>
      <c r="Z38" s="10"/>
      <c r="AA38" s="10"/>
      <c r="AB38" s="10"/>
      <c r="AC38" s="10"/>
      <c r="AD38" s="10"/>
      <c r="AE38" s="10"/>
      <c r="AF38" s="10"/>
      <c r="AG38" s="10"/>
      <c r="AH38" s="10"/>
      <c r="AI38" s="10"/>
      <c r="AJ38" s="10"/>
      <c r="AK38" s="11"/>
    </row>
    <row r="39" spans="1:37" ht="14.25" customHeight="1">
      <c r="A39" s="30" t="s">
        <v>59</v>
      </c>
      <c r="B39" s="15" t="s">
        <v>60</v>
      </c>
      <c r="C39" s="8"/>
      <c r="D39" s="8"/>
      <c r="E39" s="9"/>
      <c r="F39" s="7" t="str">
        <f t="array" aca="1" ref="F39" ca="1">IFERROR(
    INDEX(データ集約!A:ZZ, MATCH(D5, データ集約!C:C, 0), MATCH("介護サービス", データ集約!1:1, 0)),
    ""
)</f>
        <v/>
      </c>
      <c r="G39" s="8"/>
      <c r="H39" s="8"/>
      <c r="I39" s="8"/>
      <c r="J39" s="8"/>
      <c r="K39" s="8"/>
      <c r="L39" s="8"/>
      <c r="M39" s="8"/>
      <c r="N39" s="8"/>
      <c r="O39" s="8"/>
      <c r="P39" s="8"/>
      <c r="Q39" s="8"/>
      <c r="R39" s="75" t="s">
        <v>61</v>
      </c>
      <c r="S39" s="21"/>
      <c r="T39" s="21"/>
      <c r="U39" s="22"/>
      <c r="V39" s="7" t="str">
        <f t="array" aca="1" ref="V39" ca="1">IFERROR(
    INDEX(データ集約!A:ZZ, MATCH(D5, データ集約!C:C, 0), MATCH("福祉用具", データ集約!1:1, 0)),
    ""
)</f>
        <v/>
      </c>
      <c r="W39" s="8"/>
      <c r="X39" s="8"/>
      <c r="Y39" s="8"/>
      <c r="Z39" s="8"/>
      <c r="AA39" s="8"/>
      <c r="AB39" s="8"/>
      <c r="AC39" s="8"/>
      <c r="AD39" s="8"/>
      <c r="AE39" s="8"/>
      <c r="AF39" s="8"/>
      <c r="AG39" s="8"/>
      <c r="AH39" s="8"/>
      <c r="AI39" s="8"/>
      <c r="AJ39" s="8"/>
      <c r="AK39" s="9"/>
    </row>
    <row r="40" spans="1:37" ht="14.25" customHeight="1">
      <c r="A40" s="28"/>
      <c r="B40" s="8"/>
      <c r="C40" s="8"/>
      <c r="D40" s="8"/>
      <c r="E40" s="9"/>
      <c r="F40" s="8"/>
      <c r="G40" s="8"/>
      <c r="H40" s="8"/>
      <c r="I40" s="8"/>
      <c r="J40" s="8"/>
      <c r="K40" s="8"/>
      <c r="L40" s="8"/>
      <c r="M40" s="8"/>
      <c r="N40" s="8"/>
      <c r="O40" s="8"/>
      <c r="P40" s="8"/>
      <c r="Q40" s="8"/>
      <c r="R40" s="14"/>
      <c r="S40" s="10"/>
      <c r="T40" s="10"/>
      <c r="U40" s="11"/>
      <c r="V40" s="10"/>
      <c r="W40" s="10"/>
      <c r="X40" s="10"/>
      <c r="Y40" s="10"/>
      <c r="Z40" s="10"/>
      <c r="AA40" s="10"/>
      <c r="AB40" s="10"/>
      <c r="AC40" s="10"/>
      <c r="AD40" s="10"/>
      <c r="AE40" s="10"/>
      <c r="AF40" s="10"/>
      <c r="AG40" s="10"/>
      <c r="AH40" s="10"/>
      <c r="AI40" s="10"/>
      <c r="AJ40" s="10"/>
      <c r="AK40" s="11"/>
    </row>
    <row r="41" spans="1:37" ht="14.25" customHeight="1">
      <c r="A41" s="28"/>
      <c r="B41" s="10"/>
      <c r="C41" s="10"/>
      <c r="D41" s="10"/>
      <c r="E41" s="11"/>
      <c r="F41" s="10"/>
      <c r="G41" s="10"/>
      <c r="H41" s="10"/>
      <c r="I41" s="10"/>
      <c r="J41" s="10"/>
      <c r="K41" s="10"/>
      <c r="L41" s="10"/>
      <c r="M41" s="10"/>
      <c r="N41" s="10"/>
      <c r="O41" s="10"/>
      <c r="P41" s="10"/>
      <c r="Q41" s="10"/>
      <c r="R41" s="87" t="s">
        <v>62</v>
      </c>
      <c r="S41" s="40"/>
      <c r="T41" s="40"/>
      <c r="U41" s="41"/>
      <c r="V41" s="66" t="str">
        <f t="array" aca="1" ref="V41" ca="1">IFERROR(
    INDEX(データ集約!A:ZZ, MATCH(D5, データ集約!C:C, 0), MATCH("その他", データ集約!1:1, 0)),
    ""
)</f>
        <v/>
      </c>
      <c r="W41" s="10"/>
      <c r="X41" s="10"/>
      <c r="Y41" s="10"/>
      <c r="Z41" s="10"/>
      <c r="AA41" s="10"/>
      <c r="AB41" s="10"/>
      <c r="AC41" s="10"/>
      <c r="AD41" s="10"/>
      <c r="AE41" s="10"/>
      <c r="AF41" s="10"/>
      <c r="AG41" s="10"/>
      <c r="AH41" s="10"/>
      <c r="AI41" s="10"/>
      <c r="AJ41" s="10"/>
      <c r="AK41" s="11"/>
    </row>
    <row r="42" spans="1:37" ht="14.25" customHeight="1">
      <c r="A42" s="28"/>
      <c r="B42" s="17" t="s">
        <v>63</v>
      </c>
      <c r="C42" s="8"/>
      <c r="D42" s="8"/>
      <c r="E42" s="9"/>
      <c r="F42" s="7" t="str">
        <f t="array" aca="1" ref="F42" ca="1">IFERROR(
    INDEX(データ集約!A:ZZ, MATCH(D5, データ集約!C:C, 0), MATCH("インフォーマルサービス", データ集約!1:1, 0)),
    ""
)</f>
        <v/>
      </c>
      <c r="G42" s="8"/>
      <c r="H42" s="8"/>
      <c r="I42" s="8"/>
      <c r="J42" s="8"/>
      <c r="K42" s="8"/>
      <c r="L42" s="8"/>
      <c r="M42" s="8"/>
      <c r="N42" s="8"/>
      <c r="O42" s="8"/>
      <c r="P42" s="8"/>
      <c r="Q42" s="8"/>
      <c r="R42" s="75" t="s">
        <v>64</v>
      </c>
      <c r="S42" s="21"/>
      <c r="T42" s="21"/>
      <c r="U42" s="22"/>
      <c r="V42" s="7" t="str">
        <f t="array" aca="1" ref="V42" ca="1">IFERROR(
    INDEX(データ集約!A:ZZ, MATCH(D5, データ集約!C:C, 0), MATCH("社会との関り", データ集約!1:1, 0)),
    ""
)</f>
        <v/>
      </c>
      <c r="W42" s="8"/>
      <c r="X42" s="8"/>
      <c r="Y42" s="8"/>
      <c r="Z42" s="8"/>
      <c r="AA42" s="8"/>
      <c r="AB42" s="8"/>
      <c r="AC42" s="8"/>
      <c r="AD42" s="8"/>
      <c r="AE42" s="8"/>
      <c r="AF42" s="8"/>
      <c r="AG42" s="8"/>
      <c r="AH42" s="8"/>
      <c r="AI42" s="8"/>
      <c r="AJ42" s="8"/>
      <c r="AK42" s="9"/>
    </row>
    <row r="43" spans="1:37" ht="14.25" customHeight="1">
      <c r="A43" s="29"/>
      <c r="B43" s="10"/>
      <c r="C43" s="10"/>
      <c r="D43" s="10"/>
      <c r="E43" s="11"/>
      <c r="F43" s="10"/>
      <c r="G43" s="10"/>
      <c r="H43" s="10"/>
      <c r="I43" s="10"/>
      <c r="J43" s="10"/>
      <c r="K43" s="10"/>
      <c r="L43" s="10"/>
      <c r="M43" s="10"/>
      <c r="N43" s="10"/>
      <c r="O43" s="10"/>
      <c r="P43" s="10"/>
      <c r="Q43" s="10"/>
      <c r="R43" s="14"/>
      <c r="S43" s="10"/>
      <c r="T43" s="10"/>
      <c r="U43" s="11"/>
      <c r="V43" s="10"/>
      <c r="W43" s="10"/>
      <c r="X43" s="10"/>
      <c r="Y43" s="10"/>
      <c r="Z43" s="10"/>
      <c r="AA43" s="10"/>
      <c r="AB43" s="10"/>
      <c r="AC43" s="10"/>
      <c r="AD43" s="10"/>
      <c r="AE43" s="10"/>
      <c r="AF43" s="10"/>
      <c r="AG43" s="10"/>
      <c r="AH43" s="10"/>
      <c r="AI43" s="10"/>
      <c r="AJ43" s="10"/>
      <c r="AK43" s="11"/>
    </row>
    <row r="44" spans="1:37" ht="14.25" customHeight="1">
      <c r="A44" s="12" t="s">
        <v>65</v>
      </c>
      <c r="B44" s="10"/>
      <c r="C44" s="10"/>
      <c r="D44" s="10"/>
      <c r="E44" s="10"/>
      <c r="F44" s="10"/>
      <c r="G44" s="10"/>
      <c r="H44" s="10"/>
      <c r="I44" s="10"/>
      <c r="J44" s="10"/>
      <c r="K44" s="10"/>
      <c r="L44" s="10"/>
      <c r="M44" s="10"/>
      <c r="N44" s="10"/>
      <c r="O44" s="10"/>
      <c r="P44" s="10"/>
      <c r="Q44" s="10"/>
      <c r="R44" s="11"/>
      <c r="S44" s="35" t="s">
        <v>66</v>
      </c>
      <c r="T44" s="10"/>
      <c r="U44" s="10"/>
      <c r="V44" s="10"/>
      <c r="W44" s="10"/>
      <c r="X44" s="10"/>
      <c r="Y44" s="10"/>
      <c r="Z44" s="10"/>
      <c r="AA44" s="10"/>
      <c r="AB44" s="10"/>
      <c r="AC44" s="10"/>
      <c r="AD44" s="10"/>
      <c r="AE44" s="10"/>
      <c r="AF44" s="10"/>
      <c r="AG44" s="10"/>
      <c r="AH44" s="10"/>
      <c r="AI44" s="10"/>
      <c r="AJ44" s="10"/>
      <c r="AK44" s="11"/>
    </row>
    <row r="45" spans="1:37" ht="14.25" customHeight="1">
      <c r="A45" s="13" t="str">
        <f t="array" aca="1" ref="A45" ca="1">IFERROR(
    INDEX(データ集約!A:ZZ, MATCH(D5, データ集約!C:C, 0), MATCH("本人の希望", データ集約!1:1, 0)),
    ""
)</f>
        <v/>
      </c>
      <c r="B45" s="8"/>
      <c r="C45" s="8"/>
      <c r="D45" s="8"/>
      <c r="E45" s="8"/>
      <c r="F45" s="8"/>
      <c r="G45" s="8"/>
      <c r="H45" s="8"/>
      <c r="I45" s="8"/>
      <c r="J45" s="8"/>
      <c r="K45" s="8"/>
      <c r="L45" s="8"/>
      <c r="M45" s="8"/>
      <c r="N45" s="8"/>
      <c r="O45" s="8"/>
      <c r="P45" s="8"/>
      <c r="Q45" s="8"/>
      <c r="R45" s="9"/>
      <c r="S45" s="7" t="str">
        <f t="array" aca="1" ref="S45" ca="1">IFERROR(
    INDEX(データ集約!A:ZZ, MATCH(D5, データ集約!C:C, 0), MATCH("家族の希望", データ集約!1:1, 0)),
    ""
)</f>
        <v/>
      </c>
      <c r="T45" s="8"/>
      <c r="U45" s="8"/>
      <c r="V45" s="8"/>
      <c r="W45" s="8"/>
      <c r="X45" s="8"/>
      <c r="Y45" s="8"/>
      <c r="Z45" s="8"/>
      <c r="AA45" s="8"/>
      <c r="AB45" s="8"/>
      <c r="AC45" s="8"/>
      <c r="AD45" s="8"/>
      <c r="AE45" s="8"/>
      <c r="AF45" s="8"/>
      <c r="AG45" s="8"/>
      <c r="AH45" s="8"/>
      <c r="AI45" s="8"/>
      <c r="AJ45" s="8"/>
      <c r="AK45" s="9"/>
    </row>
    <row r="46" spans="1:37" ht="14.25" customHeight="1">
      <c r="A46" s="14"/>
      <c r="B46" s="10"/>
      <c r="C46" s="10"/>
      <c r="D46" s="10"/>
      <c r="E46" s="10"/>
      <c r="F46" s="10"/>
      <c r="G46" s="10"/>
      <c r="H46" s="10"/>
      <c r="I46" s="10"/>
      <c r="J46" s="10"/>
      <c r="K46" s="10"/>
      <c r="L46" s="10"/>
      <c r="M46" s="10"/>
      <c r="N46" s="10"/>
      <c r="O46" s="10"/>
      <c r="P46" s="10"/>
      <c r="Q46" s="10"/>
      <c r="R46" s="11"/>
      <c r="S46" s="10"/>
      <c r="T46" s="10"/>
      <c r="U46" s="10"/>
      <c r="V46" s="10"/>
      <c r="W46" s="10"/>
      <c r="X46" s="10"/>
      <c r="Y46" s="10"/>
      <c r="Z46" s="10"/>
      <c r="AA46" s="10"/>
      <c r="AB46" s="10"/>
      <c r="AC46" s="10"/>
      <c r="AD46" s="10"/>
      <c r="AE46" s="10"/>
      <c r="AF46" s="10"/>
      <c r="AG46" s="10"/>
      <c r="AH46" s="10"/>
      <c r="AI46" s="10"/>
      <c r="AJ46" s="10"/>
      <c r="AK46" s="11"/>
    </row>
    <row r="47" spans="1:37" ht="14.25" customHeight="1">
      <c r="A47" s="12" t="s">
        <v>67</v>
      </c>
      <c r="B47" s="10"/>
      <c r="C47" s="10"/>
      <c r="D47" s="10"/>
      <c r="E47" s="10"/>
      <c r="F47" s="10"/>
      <c r="G47" s="10"/>
      <c r="H47" s="10"/>
      <c r="I47" s="10"/>
      <c r="J47" s="10"/>
      <c r="K47" s="10"/>
      <c r="L47" s="10"/>
      <c r="M47" s="10"/>
      <c r="N47" s="10"/>
      <c r="O47" s="10"/>
      <c r="P47" s="10"/>
      <c r="Q47" s="10"/>
      <c r="R47" s="10"/>
      <c r="S47" s="10"/>
      <c r="T47" s="10"/>
      <c r="U47" s="10"/>
      <c r="V47" s="10"/>
      <c r="W47" s="10"/>
      <c r="X47" s="10"/>
      <c r="Y47" s="10"/>
      <c r="Z47" s="10"/>
      <c r="AA47" s="10"/>
      <c r="AB47" s="10"/>
      <c r="AC47" s="10"/>
      <c r="AD47" s="10"/>
      <c r="AE47" s="10"/>
      <c r="AF47" s="10"/>
      <c r="AG47" s="10"/>
      <c r="AH47" s="10"/>
      <c r="AI47" s="10"/>
      <c r="AJ47" s="10"/>
      <c r="AK47" s="11"/>
    </row>
    <row r="48" spans="1:37" ht="14.25" customHeight="1">
      <c r="A48" s="13" t="str">
        <f t="array" aca="1" ref="A48" ca="1">IFERROR(
    INDEX(データ集約!A:ZZ, MATCH(D5, データ集約!C:C, 0), MATCH("生活歴", データ集約!1:1, 0)),
    ""
)</f>
        <v/>
      </c>
      <c r="B48" s="8"/>
      <c r="C48" s="8"/>
      <c r="D48" s="8"/>
      <c r="E48" s="8"/>
      <c r="F48" s="8"/>
      <c r="G48" s="8"/>
      <c r="H48" s="8"/>
      <c r="I48" s="8"/>
      <c r="J48" s="8"/>
      <c r="K48" s="8"/>
      <c r="L48" s="8"/>
      <c r="M48" s="8"/>
      <c r="N48" s="8"/>
      <c r="O48" s="8"/>
      <c r="P48" s="8"/>
      <c r="Q48" s="8"/>
      <c r="R48" s="8"/>
      <c r="S48" s="8"/>
      <c r="T48" s="8"/>
      <c r="U48" s="8"/>
      <c r="V48" s="8"/>
      <c r="W48" s="8"/>
      <c r="X48" s="8"/>
      <c r="Y48" s="8"/>
      <c r="Z48" s="8"/>
      <c r="AA48" s="8"/>
      <c r="AB48" s="8"/>
      <c r="AC48" s="8"/>
      <c r="AD48" s="8"/>
      <c r="AE48" s="8"/>
      <c r="AF48" s="8"/>
      <c r="AG48" s="8"/>
      <c r="AH48" s="8"/>
      <c r="AI48" s="8"/>
      <c r="AJ48" s="8"/>
      <c r="AK48" s="9"/>
    </row>
    <row r="49" spans="1:37" ht="14.25" customHeight="1">
      <c r="A49" s="25"/>
      <c r="B49" s="8"/>
      <c r="C49" s="8"/>
      <c r="D49" s="8"/>
      <c r="E49" s="8"/>
      <c r="F49" s="8"/>
      <c r="G49" s="8"/>
      <c r="H49" s="8"/>
      <c r="I49" s="8"/>
      <c r="J49" s="8"/>
      <c r="K49" s="8"/>
      <c r="L49" s="8"/>
      <c r="M49" s="8"/>
      <c r="N49" s="8"/>
      <c r="O49" s="8"/>
      <c r="P49" s="8"/>
      <c r="Q49" s="8"/>
      <c r="R49" s="8"/>
      <c r="S49" s="8"/>
      <c r="T49" s="8"/>
      <c r="U49" s="8"/>
      <c r="V49" s="8"/>
      <c r="W49" s="8"/>
      <c r="X49" s="8"/>
      <c r="Y49" s="8"/>
      <c r="Z49" s="8"/>
      <c r="AA49" s="8"/>
      <c r="AB49" s="8"/>
      <c r="AC49" s="8"/>
      <c r="AD49" s="8"/>
      <c r="AE49" s="8"/>
      <c r="AF49" s="8"/>
      <c r="AG49" s="8"/>
      <c r="AH49" s="8"/>
      <c r="AI49" s="8"/>
      <c r="AJ49" s="8"/>
      <c r="AK49" s="9"/>
    </row>
    <row r="50" spans="1:37" ht="14.25" customHeight="1">
      <c r="A50" s="25"/>
      <c r="B50" s="8"/>
      <c r="C50" s="8"/>
      <c r="D50" s="8"/>
      <c r="E50" s="8"/>
      <c r="F50" s="8"/>
      <c r="G50" s="8"/>
      <c r="H50" s="8"/>
      <c r="I50" s="8"/>
      <c r="J50" s="8"/>
      <c r="K50" s="8"/>
      <c r="L50" s="8"/>
      <c r="M50" s="8"/>
      <c r="N50" s="8"/>
      <c r="O50" s="8"/>
      <c r="P50" s="8"/>
      <c r="Q50" s="8"/>
      <c r="R50" s="8"/>
      <c r="S50" s="8"/>
      <c r="T50" s="8"/>
      <c r="U50" s="8"/>
      <c r="V50" s="8"/>
      <c r="W50" s="8"/>
      <c r="X50" s="8"/>
      <c r="Y50" s="8"/>
      <c r="Z50" s="8"/>
      <c r="AA50" s="8"/>
      <c r="AB50" s="8"/>
      <c r="AC50" s="8"/>
      <c r="AD50" s="8"/>
      <c r="AE50" s="8"/>
      <c r="AF50" s="8"/>
      <c r="AG50" s="8"/>
      <c r="AH50" s="8"/>
      <c r="AI50" s="8"/>
      <c r="AJ50" s="8"/>
      <c r="AK50" s="9"/>
    </row>
    <row r="51" spans="1:37" ht="14.25" customHeight="1">
      <c r="A51" s="25"/>
      <c r="B51" s="8"/>
      <c r="C51" s="8"/>
      <c r="D51" s="8"/>
      <c r="E51" s="8"/>
      <c r="F51" s="8"/>
      <c r="G51" s="8"/>
      <c r="H51" s="8"/>
      <c r="I51" s="8"/>
      <c r="J51" s="8"/>
      <c r="K51" s="8"/>
      <c r="L51" s="8"/>
      <c r="M51" s="8"/>
      <c r="N51" s="8"/>
      <c r="O51" s="8"/>
      <c r="P51" s="8"/>
      <c r="Q51" s="8"/>
      <c r="R51" s="8"/>
      <c r="S51" s="8"/>
      <c r="T51" s="8"/>
      <c r="U51" s="8"/>
      <c r="V51" s="8"/>
      <c r="W51" s="8"/>
      <c r="X51" s="8"/>
      <c r="Y51" s="8"/>
      <c r="Z51" s="8"/>
      <c r="AA51" s="8"/>
      <c r="AB51" s="8"/>
      <c r="AC51" s="8"/>
      <c r="AD51" s="8"/>
      <c r="AE51" s="8"/>
      <c r="AF51" s="8"/>
      <c r="AG51" s="8"/>
      <c r="AH51" s="8"/>
      <c r="AI51" s="8"/>
      <c r="AJ51" s="8"/>
      <c r="AK51" s="9"/>
    </row>
    <row r="52" spans="1:37" ht="14.25" customHeight="1">
      <c r="A52" s="14"/>
      <c r="B52" s="10"/>
      <c r="C52" s="10"/>
      <c r="D52" s="10"/>
      <c r="E52" s="10"/>
      <c r="F52" s="10"/>
      <c r="G52" s="10"/>
      <c r="H52" s="10"/>
      <c r="I52" s="10"/>
      <c r="J52" s="10"/>
      <c r="K52" s="10"/>
      <c r="L52" s="10"/>
      <c r="M52" s="10"/>
      <c r="N52" s="10"/>
      <c r="O52" s="10"/>
      <c r="P52" s="10"/>
      <c r="Q52" s="10"/>
      <c r="R52" s="10"/>
      <c r="S52" s="10"/>
      <c r="T52" s="10"/>
      <c r="U52" s="10"/>
      <c r="V52" s="10"/>
      <c r="W52" s="10"/>
      <c r="X52" s="10"/>
      <c r="Y52" s="10"/>
      <c r="Z52" s="10"/>
      <c r="AA52" s="10"/>
      <c r="AB52" s="10"/>
      <c r="AC52" s="10"/>
      <c r="AD52" s="10"/>
      <c r="AE52" s="10"/>
      <c r="AF52" s="10"/>
      <c r="AG52" s="10"/>
      <c r="AH52" s="10"/>
      <c r="AI52" s="10"/>
      <c r="AJ52" s="10"/>
      <c r="AK52" s="11"/>
    </row>
    <row r="53" spans="1:37" ht="14.25" customHeight="1">
      <c r="A53" s="12" t="s">
        <v>68</v>
      </c>
      <c r="B53" s="10"/>
      <c r="C53" s="10"/>
      <c r="D53" s="10"/>
      <c r="E53" s="10"/>
      <c r="F53" s="10"/>
      <c r="G53" s="10"/>
      <c r="H53" s="10"/>
      <c r="I53" s="10"/>
      <c r="J53" s="10"/>
      <c r="K53" s="10"/>
      <c r="L53" s="10"/>
      <c r="M53" s="10"/>
      <c r="N53" s="10"/>
      <c r="O53" s="10"/>
      <c r="P53" s="10"/>
      <c r="Q53" s="10"/>
      <c r="R53" s="10"/>
      <c r="S53" s="10"/>
      <c r="T53" s="10"/>
      <c r="U53" s="10"/>
      <c r="V53" s="10"/>
      <c r="W53" s="10"/>
      <c r="X53" s="10"/>
      <c r="Y53" s="10"/>
      <c r="Z53" s="10"/>
      <c r="AA53" s="10"/>
      <c r="AB53" s="10"/>
      <c r="AC53" s="10"/>
      <c r="AD53" s="10"/>
      <c r="AE53" s="10"/>
      <c r="AF53" s="10"/>
      <c r="AG53" s="10"/>
      <c r="AH53" s="10"/>
      <c r="AI53" s="10"/>
      <c r="AJ53" s="10"/>
      <c r="AK53" s="11"/>
    </row>
    <row r="54" spans="1:37" ht="14.25" customHeight="1">
      <c r="A54" s="67" t="str">
        <f t="array" aca="1" ref="A54" ca="1">IFERROR(
    INDEX(データ集約!A:ZZ, MATCH(D5, データ集約!C:C, 0), MATCH("その他、特記事項", データ集約!1:1, 0)),
    ""
)</f>
        <v/>
      </c>
      <c r="B54" s="21"/>
      <c r="C54" s="21"/>
      <c r="D54" s="21"/>
      <c r="E54" s="21"/>
      <c r="F54" s="21"/>
      <c r="G54" s="21"/>
      <c r="H54" s="21"/>
      <c r="I54" s="21"/>
      <c r="J54" s="21"/>
      <c r="K54" s="21"/>
      <c r="L54" s="21"/>
      <c r="M54" s="21"/>
      <c r="N54" s="21"/>
      <c r="O54" s="21"/>
      <c r="P54" s="21"/>
      <c r="Q54" s="21"/>
      <c r="R54" s="21"/>
      <c r="S54" s="21"/>
      <c r="T54" s="21"/>
      <c r="U54" s="21"/>
      <c r="V54" s="21"/>
      <c r="W54" s="21"/>
      <c r="X54" s="21"/>
      <c r="Y54" s="21"/>
      <c r="Z54" s="21"/>
      <c r="AA54" s="21"/>
      <c r="AB54" s="21"/>
      <c r="AC54" s="21"/>
      <c r="AD54" s="21"/>
      <c r="AE54" s="21"/>
      <c r="AF54" s="21"/>
      <c r="AG54" s="21"/>
      <c r="AH54" s="21"/>
      <c r="AI54" s="21"/>
      <c r="AJ54" s="21"/>
      <c r="AK54" s="22"/>
    </row>
    <row r="55" spans="1:37" ht="12" customHeight="1">
      <c r="A55" s="25"/>
      <c r="B55" s="8"/>
      <c r="C55" s="8"/>
      <c r="D55" s="8"/>
      <c r="E55" s="8"/>
      <c r="F55" s="8"/>
      <c r="G55" s="8"/>
      <c r="H55" s="8"/>
      <c r="I55" s="8"/>
      <c r="J55" s="8"/>
      <c r="K55" s="8"/>
      <c r="L55" s="8"/>
      <c r="M55" s="8"/>
      <c r="N55" s="8"/>
      <c r="O55" s="8"/>
      <c r="P55" s="8"/>
      <c r="Q55" s="8"/>
      <c r="R55" s="8"/>
      <c r="S55" s="8"/>
      <c r="T55" s="8"/>
      <c r="U55" s="8"/>
      <c r="V55" s="8"/>
      <c r="W55" s="8"/>
      <c r="X55" s="8"/>
      <c r="Y55" s="8"/>
      <c r="Z55" s="8"/>
      <c r="AA55" s="8"/>
      <c r="AB55" s="8"/>
      <c r="AC55" s="8"/>
      <c r="AD55" s="8"/>
      <c r="AE55" s="8"/>
      <c r="AF55" s="8"/>
      <c r="AG55" s="8"/>
      <c r="AH55" s="8"/>
      <c r="AI55" s="8"/>
      <c r="AJ55" s="8"/>
      <c r="AK55" s="9"/>
    </row>
    <row r="56" spans="1:37" ht="14.25" customHeight="1">
      <c r="A56" s="14"/>
      <c r="B56" s="10"/>
      <c r="C56" s="10"/>
      <c r="D56" s="10"/>
      <c r="E56" s="10"/>
      <c r="F56" s="10"/>
      <c r="G56" s="10"/>
      <c r="H56" s="10"/>
      <c r="I56" s="10"/>
      <c r="J56" s="10"/>
      <c r="K56" s="10"/>
      <c r="L56" s="10"/>
      <c r="M56" s="10"/>
      <c r="N56" s="10"/>
      <c r="O56" s="10"/>
      <c r="P56" s="10"/>
      <c r="Q56" s="10"/>
      <c r="R56" s="10"/>
      <c r="S56" s="10"/>
      <c r="T56" s="10"/>
      <c r="U56" s="10"/>
      <c r="V56" s="10"/>
      <c r="W56" s="10"/>
      <c r="X56" s="10"/>
      <c r="Y56" s="10"/>
      <c r="Z56" s="10"/>
      <c r="AA56" s="10"/>
      <c r="AB56" s="10"/>
      <c r="AC56" s="10"/>
      <c r="AD56" s="10"/>
      <c r="AE56" s="10"/>
      <c r="AF56" s="10"/>
      <c r="AG56" s="10"/>
      <c r="AH56" s="10"/>
      <c r="AI56" s="10"/>
      <c r="AJ56" s="10"/>
      <c r="AK56" s="11"/>
    </row>
    <row r="57" spans="1:37" ht="3.75" customHeight="1">
      <c r="A57" s="7"/>
      <c r="B57" s="8"/>
      <c r="C57" s="8"/>
      <c r="D57" s="8"/>
      <c r="E57" s="8"/>
      <c r="F57" s="8"/>
      <c r="G57" s="8"/>
      <c r="H57" s="8"/>
      <c r="I57" s="8"/>
      <c r="J57" s="8"/>
      <c r="K57" s="8"/>
      <c r="L57" s="8"/>
      <c r="M57" s="8"/>
      <c r="N57" s="8"/>
      <c r="O57" s="8"/>
      <c r="P57" s="8"/>
      <c r="Q57" s="8"/>
      <c r="R57" s="8"/>
      <c r="S57" s="8"/>
      <c r="T57" s="8"/>
      <c r="U57" s="8"/>
      <c r="V57" s="8"/>
      <c r="W57" s="8"/>
      <c r="X57" s="8"/>
      <c r="Y57" s="8"/>
      <c r="Z57" s="8"/>
      <c r="AA57" s="8"/>
      <c r="AB57" s="8"/>
      <c r="AC57" s="8"/>
      <c r="AD57" s="8"/>
      <c r="AE57" s="8"/>
      <c r="AF57" s="8"/>
      <c r="AG57" s="8"/>
      <c r="AH57" s="8"/>
      <c r="AI57" s="8"/>
      <c r="AJ57" s="8"/>
      <c r="AK57" s="8"/>
    </row>
    <row r="58" spans="1:37" ht="14.25" customHeight="1">
      <c r="A58" s="63" t="s">
        <v>69</v>
      </c>
      <c r="B58" s="8"/>
      <c r="C58" s="8"/>
      <c r="D58" s="8"/>
      <c r="E58" s="8"/>
      <c r="F58" s="8"/>
      <c r="G58" s="8"/>
      <c r="H58" s="8"/>
      <c r="I58" s="8"/>
      <c r="J58" s="8"/>
      <c r="K58" s="8"/>
      <c r="L58" s="8"/>
      <c r="M58" s="8"/>
      <c r="N58" s="8"/>
      <c r="O58" s="8"/>
      <c r="P58" s="8"/>
      <c r="Q58" s="8"/>
      <c r="R58" s="8"/>
      <c r="S58" s="8"/>
      <c r="T58" s="8"/>
      <c r="U58" s="8"/>
      <c r="V58" s="8"/>
      <c r="W58" s="8"/>
      <c r="X58" s="8"/>
      <c r="Y58" s="8"/>
      <c r="Z58" s="8"/>
      <c r="AA58" s="64"/>
      <c r="AB58" s="63" t="s">
        <v>70</v>
      </c>
      <c r="AC58" s="8"/>
      <c r="AD58" s="8"/>
      <c r="AE58" s="8"/>
      <c r="AF58" s="8"/>
      <c r="AG58" s="8"/>
      <c r="AH58" s="8"/>
      <c r="AI58" s="8"/>
      <c r="AJ58" s="8"/>
      <c r="AK58" s="64"/>
    </row>
    <row r="59" spans="1:37" ht="14.25" customHeight="1">
      <c r="A59" s="10"/>
      <c r="B59" s="10"/>
      <c r="C59" s="10"/>
      <c r="D59" s="10"/>
      <c r="E59" s="10"/>
      <c r="F59" s="10"/>
      <c r="G59" s="10"/>
      <c r="H59" s="10"/>
      <c r="I59" s="10"/>
      <c r="J59" s="10"/>
      <c r="K59" s="10"/>
      <c r="L59" s="10"/>
      <c r="M59" s="10"/>
      <c r="N59" s="10"/>
      <c r="O59" s="10"/>
      <c r="P59" s="10"/>
      <c r="Q59" s="10"/>
      <c r="R59" s="10"/>
      <c r="S59" s="10"/>
      <c r="T59" s="10"/>
      <c r="U59" s="10"/>
      <c r="V59" s="10"/>
      <c r="W59" s="10"/>
      <c r="X59" s="10"/>
      <c r="Y59" s="10"/>
      <c r="Z59" s="10"/>
      <c r="AA59" s="65"/>
      <c r="AB59" s="10"/>
      <c r="AC59" s="10"/>
      <c r="AD59" s="10"/>
      <c r="AE59" s="10"/>
      <c r="AF59" s="10"/>
      <c r="AG59" s="10"/>
      <c r="AH59" s="10"/>
      <c r="AI59" s="10"/>
      <c r="AJ59" s="10"/>
      <c r="AK59" s="65"/>
    </row>
    <row r="60" spans="1:37" ht="14.25" customHeight="1">
      <c r="A60" s="27" t="s">
        <v>71</v>
      </c>
      <c r="B60" s="34" t="s">
        <v>72</v>
      </c>
      <c r="C60" s="10"/>
      <c r="D60" s="10"/>
      <c r="E60" s="10"/>
      <c r="F60" s="10"/>
      <c r="G60" s="10"/>
      <c r="H60" s="11"/>
      <c r="I60" s="53" t="str">
        <f t="array" aca="1" ref="I60" ca="1">IFERROR(
    INDEX(データ集約!A:ZZ, MATCH(D5, データ集約!C:C, 0), MATCH("皮膚疾患", データ集約!1:1, 0)),
    ""
)</f>
        <v/>
      </c>
      <c r="J60" s="10"/>
      <c r="K60" s="10"/>
      <c r="L60" s="10"/>
      <c r="M60" s="10"/>
      <c r="N60" s="10"/>
      <c r="O60" s="11"/>
      <c r="P60" s="7" t="str">
        <f t="array" aca="1" ref="P60" ca="1">IFERROR(
    INDEX(データ集約!A:ZZ, MATCH(D5, データ集約!C:C, 0), MATCH("身体状況｜特記事項", データ集約!1:1, 0)),
    ""
)</f>
        <v/>
      </c>
      <c r="Q60" s="8"/>
      <c r="R60" s="8"/>
      <c r="S60" s="8"/>
      <c r="T60" s="8"/>
      <c r="U60" s="8"/>
      <c r="V60" s="8"/>
      <c r="W60" s="8"/>
      <c r="X60" s="8"/>
      <c r="Y60" s="8"/>
      <c r="Z60" s="8"/>
      <c r="AA60" s="9"/>
      <c r="AB60" s="7"/>
      <c r="AC60" s="8"/>
      <c r="AD60" s="8"/>
      <c r="AE60" s="8"/>
      <c r="AF60" s="8"/>
      <c r="AG60" s="8"/>
      <c r="AH60" s="8"/>
      <c r="AI60" s="8"/>
      <c r="AJ60" s="8"/>
      <c r="AK60" s="9"/>
    </row>
    <row r="61" spans="1:37" ht="14.25" customHeight="1">
      <c r="A61" s="28"/>
      <c r="B61" s="34" t="s">
        <v>73</v>
      </c>
      <c r="C61" s="10"/>
      <c r="D61" s="10"/>
      <c r="E61" s="10"/>
      <c r="F61" s="10"/>
      <c r="G61" s="10"/>
      <c r="H61" s="11"/>
      <c r="I61" s="53" t="str">
        <f t="array" aca="1" ref="I61" ca="1">IFERROR(
    INDEX(データ集約!A:ZZ, MATCH(D5, データ集約!C:C, 0), MATCH("感染症", データ集約!1:1, 0)),
    ""
)</f>
        <v/>
      </c>
      <c r="J61" s="10"/>
      <c r="K61" s="10"/>
      <c r="L61" s="10"/>
      <c r="M61" s="10"/>
      <c r="N61" s="10"/>
      <c r="O61" s="11"/>
      <c r="P61" s="8"/>
      <c r="Q61" s="8"/>
      <c r="R61" s="8"/>
      <c r="S61" s="8"/>
      <c r="T61" s="8"/>
      <c r="U61" s="8"/>
      <c r="V61" s="8"/>
      <c r="W61" s="8"/>
      <c r="X61" s="8"/>
      <c r="Y61" s="8"/>
      <c r="Z61" s="8"/>
      <c r="AA61" s="9"/>
      <c r="AB61" s="8"/>
      <c r="AC61" s="8"/>
      <c r="AD61" s="8"/>
      <c r="AE61" s="8"/>
      <c r="AF61" s="8"/>
      <c r="AG61" s="8"/>
      <c r="AH61" s="8"/>
      <c r="AI61" s="8"/>
      <c r="AJ61" s="8"/>
      <c r="AK61" s="9"/>
    </row>
    <row r="62" spans="1:37" ht="14.25" customHeight="1">
      <c r="A62" s="28"/>
      <c r="B62" s="34" t="s">
        <v>74</v>
      </c>
      <c r="C62" s="10"/>
      <c r="D62" s="10"/>
      <c r="E62" s="10"/>
      <c r="F62" s="10"/>
      <c r="G62" s="10"/>
      <c r="H62" s="11"/>
      <c r="I62" s="53" t="str">
        <f t="array" aca="1" ref="I62" ca="1">IFERROR(
    INDEX(データ集約!A:ZZ, MATCH(D5, データ集約!C:C, 0), MATCH("特別な医療処置", データ集約!1:1, 0)),
    ""
)</f>
        <v/>
      </c>
      <c r="J62" s="10"/>
      <c r="K62" s="10"/>
      <c r="L62" s="10"/>
      <c r="M62" s="10"/>
      <c r="N62" s="10"/>
      <c r="O62" s="11"/>
      <c r="P62" s="8"/>
      <c r="Q62" s="8"/>
      <c r="R62" s="8"/>
      <c r="S62" s="8"/>
      <c r="T62" s="8"/>
      <c r="U62" s="8"/>
      <c r="V62" s="8"/>
      <c r="W62" s="8"/>
      <c r="X62" s="8"/>
      <c r="Y62" s="8"/>
      <c r="Z62" s="8"/>
      <c r="AA62" s="9"/>
      <c r="AB62" s="8"/>
      <c r="AC62" s="8"/>
      <c r="AD62" s="8"/>
      <c r="AE62" s="8"/>
      <c r="AF62" s="8"/>
      <c r="AG62" s="8"/>
      <c r="AH62" s="8"/>
      <c r="AI62" s="8"/>
      <c r="AJ62" s="8"/>
      <c r="AK62" s="9"/>
    </row>
    <row r="63" spans="1:37" ht="14.25" customHeight="1">
      <c r="A63" s="28"/>
      <c r="B63" s="34" t="s">
        <v>75</v>
      </c>
      <c r="C63" s="10"/>
      <c r="D63" s="10"/>
      <c r="E63" s="10"/>
      <c r="F63" s="10"/>
      <c r="G63" s="10"/>
      <c r="H63" s="11"/>
      <c r="I63" s="53" t="str">
        <f t="array" aca="1" ref="I63" ca="1">IFERROR(
    INDEX(データ集約!A:ZZ, MATCH(D5, データ集約!C:C, 0), MATCH("麻痺", データ集約!1:1, 0)),
    ""
)</f>
        <v/>
      </c>
      <c r="J63" s="10"/>
      <c r="K63" s="10"/>
      <c r="L63" s="10"/>
      <c r="M63" s="10"/>
      <c r="N63" s="10"/>
      <c r="O63" s="11"/>
      <c r="P63" s="8"/>
      <c r="Q63" s="8"/>
      <c r="R63" s="8"/>
      <c r="S63" s="8"/>
      <c r="T63" s="8"/>
      <c r="U63" s="8"/>
      <c r="V63" s="8"/>
      <c r="W63" s="8"/>
      <c r="X63" s="8"/>
      <c r="Y63" s="8"/>
      <c r="Z63" s="8"/>
      <c r="AA63" s="9"/>
      <c r="AB63" s="8"/>
      <c r="AC63" s="8"/>
      <c r="AD63" s="8"/>
      <c r="AE63" s="8"/>
      <c r="AF63" s="8"/>
      <c r="AG63" s="8"/>
      <c r="AH63" s="8"/>
      <c r="AI63" s="8"/>
      <c r="AJ63" s="8"/>
      <c r="AK63" s="9"/>
    </row>
    <row r="64" spans="1:37" ht="14.25" customHeight="1">
      <c r="A64" s="28"/>
      <c r="B64" s="34" t="s">
        <v>76</v>
      </c>
      <c r="C64" s="10"/>
      <c r="D64" s="10"/>
      <c r="E64" s="10"/>
      <c r="F64" s="10"/>
      <c r="G64" s="10"/>
      <c r="H64" s="11"/>
      <c r="I64" s="53" t="str">
        <f t="array" aca="1" ref="I64" ca="1">IFERROR(
    INDEX(データ集約!A:ZZ, MATCH(D5, データ集約!C:C, 0), MATCH("痛み", データ集約!1:1, 0)),
    ""
)</f>
        <v/>
      </c>
      <c r="J64" s="10"/>
      <c r="K64" s="10"/>
      <c r="L64" s="10"/>
      <c r="M64" s="10"/>
      <c r="N64" s="10"/>
      <c r="O64" s="11"/>
      <c r="P64" s="8"/>
      <c r="Q64" s="8"/>
      <c r="R64" s="8"/>
      <c r="S64" s="8"/>
      <c r="T64" s="8"/>
      <c r="U64" s="8"/>
      <c r="V64" s="8"/>
      <c r="W64" s="8"/>
      <c r="X64" s="8"/>
      <c r="Y64" s="8"/>
      <c r="Z64" s="8"/>
      <c r="AA64" s="9"/>
      <c r="AB64" s="8"/>
      <c r="AC64" s="8"/>
      <c r="AD64" s="8"/>
      <c r="AE64" s="8"/>
      <c r="AF64" s="8"/>
      <c r="AG64" s="8"/>
      <c r="AH64" s="8"/>
      <c r="AI64" s="8"/>
      <c r="AJ64" s="8"/>
      <c r="AK64" s="9"/>
    </row>
    <row r="65" spans="1:37" ht="14.25" customHeight="1">
      <c r="A65" s="28"/>
      <c r="B65" s="34" t="s">
        <v>77</v>
      </c>
      <c r="C65" s="10"/>
      <c r="D65" s="10"/>
      <c r="E65" s="10"/>
      <c r="F65" s="10"/>
      <c r="G65" s="10"/>
      <c r="H65" s="11"/>
      <c r="I65" s="53" t="str">
        <f t="array" aca="1" ref="I65" ca="1">IFERROR(
    INDEX(データ集約!A:ZZ, MATCH(D5, データ集約!C:C, 0), MATCH("身長", データ集約!1:1, 0)),
    ""
)</f>
        <v/>
      </c>
      <c r="J65" s="10"/>
      <c r="K65" s="10"/>
      <c r="L65" s="10"/>
      <c r="M65" s="10"/>
      <c r="N65" s="53" t="s">
        <v>78</v>
      </c>
      <c r="O65" s="11"/>
      <c r="P65" s="8"/>
      <c r="Q65" s="8"/>
      <c r="R65" s="8"/>
      <c r="S65" s="8"/>
      <c r="T65" s="8"/>
      <c r="U65" s="8"/>
      <c r="V65" s="8"/>
      <c r="W65" s="8"/>
      <c r="X65" s="8"/>
      <c r="Y65" s="8"/>
      <c r="Z65" s="8"/>
      <c r="AA65" s="9"/>
      <c r="AB65" s="8"/>
      <c r="AC65" s="8"/>
      <c r="AD65" s="8"/>
      <c r="AE65" s="8"/>
      <c r="AF65" s="8"/>
      <c r="AG65" s="8"/>
      <c r="AH65" s="8"/>
      <c r="AI65" s="8"/>
      <c r="AJ65" s="8"/>
      <c r="AK65" s="9"/>
    </row>
    <row r="66" spans="1:37" ht="14.25" customHeight="1">
      <c r="A66" s="28"/>
      <c r="B66" s="34" t="s">
        <v>79</v>
      </c>
      <c r="C66" s="10"/>
      <c r="D66" s="10"/>
      <c r="E66" s="10"/>
      <c r="F66" s="10"/>
      <c r="G66" s="10"/>
      <c r="H66" s="11"/>
      <c r="I66" s="53" t="str">
        <f t="array" aca="1" ref="I66" ca="1">IFERROR(
    INDEX(データ集約!A:ZZ, MATCH(D5, データ集約!C:C, 0), MATCH("体重", データ集約!1:1, 0)),
    ""
)</f>
        <v/>
      </c>
      <c r="J66" s="10"/>
      <c r="K66" s="10"/>
      <c r="L66" s="10"/>
      <c r="M66" s="10"/>
      <c r="N66" s="53" t="s">
        <v>80</v>
      </c>
      <c r="O66" s="11"/>
      <c r="P66" s="8"/>
      <c r="Q66" s="8"/>
      <c r="R66" s="8"/>
      <c r="S66" s="8"/>
      <c r="T66" s="8"/>
      <c r="U66" s="8"/>
      <c r="V66" s="8"/>
      <c r="W66" s="8"/>
      <c r="X66" s="8"/>
      <c r="Y66" s="8"/>
      <c r="Z66" s="8"/>
      <c r="AA66" s="9"/>
      <c r="AB66" s="8"/>
      <c r="AC66" s="8"/>
      <c r="AD66" s="8"/>
      <c r="AE66" s="8"/>
      <c r="AF66" s="8"/>
      <c r="AG66" s="8"/>
      <c r="AH66" s="8"/>
      <c r="AI66" s="8"/>
      <c r="AJ66" s="8"/>
      <c r="AK66" s="9"/>
    </row>
    <row r="67" spans="1:37" ht="14.25" customHeight="1">
      <c r="A67" s="28"/>
      <c r="B67" s="58" t="s">
        <v>81</v>
      </c>
      <c r="C67" s="57" t="s">
        <v>81</v>
      </c>
      <c r="D67" s="10"/>
      <c r="E67" s="10"/>
      <c r="F67" s="10"/>
      <c r="G67" s="10"/>
      <c r="H67" s="11"/>
      <c r="I67" s="53" t="str">
        <f t="array" aca="1" ref="I67" ca="1">IFERROR(
    INDEX(データ集約!A:ZZ, MATCH(D5, データ集約!C:C, 0), MATCH("視力", データ集約!1:1, 0)),
    ""
)</f>
        <v/>
      </c>
      <c r="J67" s="10"/>
      <c r="K67" s="10"/>
      <c r="L67" s="10"/>
      <c r="M67" s="10"/>
      <c r="N67" s="10"/>
      <c r="O67" s="11"/>
      <c r="P67" s="8"/>
      <c r="Q67" s="8"/>
      <c r="R67" s="8"/>
      <c r="S67" s="8"/>
      <c r="T67" s="8"/>
      <c r="U67" s="8"/>
      <c r="V67" s="8"/>
      <c r="W67" s="8"/>
      <c r="X67" s="8"/>
      <c r="Y67" s="8"/>
      <c r="Z67" s="8"/>
      <c r="AA67" s="9"/>
      <c r="AB67" s="8"/>
      <c r="AC67" s="8"/>
      <c r="AD67" s="8"/>
      <c r="AE67" s="8"/>
      <c r="AF67" s="8"/>
      <c r="AG67" s="8"/>
      <c r="AH67" s="8"/>
      <c r="AI67" s="8"/>
      <c r="AJ67" s="8"/>
      <c r="AK67" s="9"/>
    </row>
    <row r="68" spans="1:37" ht="14.25" customHeight="1">
      <c r="A68" s="28"/>
      <c r="B68" s="11"/>
      <c r="C68" s="57" t="s">
        <v>82</v>
      </c>
      <c r="D68" s="10"/>
      <c r="E68" s="10"/>
      <c r="F68" s="10"/>
      <c r="G68" s="10"/>
      <c r="H68" s="11"/>
      <c r="I68" s="53" t="str">
        <f t="array" aca="1" ref="I68" ca="1">IFERROR(
    INDEX(データ集約!A:ZZ, MATCH(D5, データ集約!C:C, 0), MATCH("眼鏡等", データ集約!1:1, 0)),
    ""
)</f>
        <v/>
      </c>
      <c r="J68" s="10"/>
      <c r="K68" s="10"/>
      <c r="L68" s="10"/>
      <c r="M68" s="10"/>
      <c r="N68" s="10"/>
      <c r="O68" s="11"/>
      <c r="P68" s="8"/>
      <c r="Q68" s="8"/>
      <c r="R68" s="8"/>
      <c r="S68" s="8"/>
      <c r="T68" s="8"/>
      <c r="U68" s="8"/>
      <c r="V68" s="8"/>
      <c r="W68" s="8"/>
      <c r="X68" s="8"/>
      <c r="Y68" s="8"/>
      <c r="Z68" s="8"/>
      <c r="AA68" s="9"/>
      <c r="AB68" s="8"/>
      <c r="AC68" s="8"/>
      <c r="AD68" s="8"/>
      <c r="AE68" s="8"/>
      <c r="AF68" s="8"/>
      <c r="AG68" s="8"/>
      <c r="AH68" s="8"/>
      <c r="AI68" s="8"/>
      <c r="AJ68" s="8"/>
      <c r="AK68" s="9"/>
    </row>
    <row r="69" spans="1:37" ht="14.25" customHeight="1">
      <c r="A69" s="28"/>
      <c r="B69" s="58" t="s">
        <v>83</v>
      </c>
      <c r="C69" s="57" t="s">
        <v>83</v>
      </c>
      <c r="D69" s="10"/>
      <c r="E69" s="10"/>
      <c r="F69" s="10"/>
      <c r="G69" s="10"/>
      <c r="H69" s="11"/>
      <c r="I69" s="53" t="str">
        <f t="array" aca="1" ref="I69" ca="1">IFERROR(
    INDEX(データ集約!A:ZZ, MATCH(D5, データ集約!C:C, 0), MATCH("聴力", データ集約!1:1, 0)),
    ""
)</f>
        <v/>
      </c>
      <c r="J69" s="10"/>
      <c r="K69" s="10"/>
      <c r="L69" s="10"/>
      <c r="M69" s="10"/>
      <c r="N69" s="10"/>
      <c r="O69" s="11"/>
      <c r="P69" s="8"/>
      <c r="Q69" s="8"/>
      <c r="R69" s="8"/>
      <c r="S69" s="8"/>
      <c r="T69" s="8"/>
      <c r="U69" s="8"/>
      <c r="V69" s="8"/>
      <c r="W69" s="8"/>
      <c r="X69" s="8"/>
      <c r="Y69" s="8"/>
      <c r="Z69" s="8"/>
      <c r="AA69" s="9"/>
      <c r="AB69" s="8"/>
      <c r="AC69" s="8"/>
      <c r="AD69" s="8"/>
      <c r="AE69" s="8"/>
      <c r="AF69" s="8"/>
      <c r="AG69" s="8"/>
      <c r="AH69" s="8"/>
      <c r="AI69" s="8"/>
      <c r="AJ69" s="8"/>
      <c r="AK69" s="9"/>
    </row>
    <row r="70" spans="1:37" ht="14.25" customHeight="1">
      <c r="A70" s="29"/>
      <c r="B70" s="11"/>
      <c r="C70" s="57" t="s">
        <v>84</v>
      </c>
      <c r="D70" s="10"/>
      <c r="E70" s="10"/>
      <c r="F70" s="10"/>
      <c r="G70" s="10"/>
      <c r="H70" s="11"/>
      <c r="I70" s="53" t="str">
        <f t="array" aca="1" ref="I70" ca="1">IFERROR(
    INDEX(データ集約!A:ZZ, MATCH(D5, データ集約!C:C, 0), MATCH("補聴器等", データ集約!1:1, 0)),
    ""
)</f>
        <v/>
      </c>
      <c r="J70" s="10"/>
      <c r="K70" s="10"/>
      <c r="L70" s="10"/>
      <c r="M70" s="10"/>
      <c r="N70" s="10"/>
      <c r="O70" s="11"/>
      <c r="P70" s="10"/>
      <c r="Q70" s="10"/>
      <c r="R70" s="10"/>
      <c r="S70" s="10"/>
      <c r="T70" s="10"/>
      <c r="U70" s="10"/>
      <c r="V70" s="10"/>
      <c r="W70" s="10"/>
      <c r="X70" s="10"/>
      <c r="Y70" s="10"/>
      <c r="Z70" s="10"/>
      <c r="AA70" s="11"/>
      <c r="AB70" s="10"/>
      <c r="AC70" s="10"/>
      <c r="AD70" s="10"/>
      <c r="AE70" s="10"/>
      <c r="AF70" s="10"/>
      <c r="AG70" s="10"/>
      <c r="AH70" s="10"/>
      <c r="AI70" s="10"/>
      <c r="AJ70" s="10"/>
      <c r="AK70" s="11"/>
    </row>
    <row r="71" spans="1:37" ht="14.25" customHeight="1">
      <c r="A71" s="27" t="s">
        <v>85</v>
      </c>
      <c r="B71" s="34" t="s">
        <v>86</v>
      </c>
      <c r="C71" s="10"/>
      <c r="D71" s="10"/>
      <c r="E71" s="10"/>
      <c r="F71" s="10"/>
      <c r="G71" s="10"/>
      <c r="H71" s="11"/>
      <c r="I71" s="60" t="str">
        <f t="array" aca="1" ref="I71" ca="1">IFERROR(
    INDEX(データ集約!A:ZZ, MATCH(D5, データ集約!C:C, 0), MATCH("寝返り", データ集約!1:1, 0)),
    ""
)</f>
        <v/>
      </c>
      <c r="J71" s="10"/>
      <c r="K71" s="10"/>
      <c r="L71" s="10"/>
      <c r="M71" s="10"/>
      <c r="N71" s="10"/>
      <c r="O71" s="11"/>
      <c r="P71" s="7" t="str">
        <f t="array" aca="1" ref="P71" ca="1">IFERROR(
    INDEX(データ集約!A:ZZ, MATCH(D5, データ集約!C:C, 0), MATCH("基本動作｜特記事項", データ集約!1:1, 0)),
    ""
)</f>
        <v/>
      </c>
      <c r="Q71" s="8"/>
      <c r="R71" s="8"/>
      <c r="S71" s="8"/>
      <c r="T71" s="8"/>
      <c r="U71" s="8"/>
      <c r="V71" s="8"/>
      <c r="W71" s="8"/>
      <c r="X71" s="8"/>
      <c r="Y71" s="8"/>
      <c r="Z71" s="8"/>
      <c r="AA71" s="9"/>
      <c r="AB71" s="7"/>
      <c r="AC71" s="8"/>
      <c r="AD71" s="8"/>
      <c r="AE71" s="8"/>
      <c r="AF71" s="8"/>
      <c r="AG71" s="8"/>
      <c r="AH71" s="8"/>
      <c r="AI71" s="8"/>
      <c r="AJ71" s="8"/>
      <c r="AK71" s="9"/>
    </row>
    <row r="72" spans="1:37" ht="14.25" customHeight="1">
      <c r="A72" s="28"/>
      <c r="B72" s="34" t="s">
        <v>87</v>
      </c>
      <c r="C72" s="10"/>
      <c r="D72" s="10"/>
      <c r="E72" s="10"/>
      <c r="F72" s="10"/>
      <c r="G72" s="10"/>
      <c r="H72" s="11"/>
      <c r="I72" s="60" t="str">
        <f t="array" aca="1" ref="I72" ca="1">IFERROR(
    INDEX(データ集約!A:ZZ, MATCH(D5, データ集約!C:C, 0), MATCH("起き上がり", データ集約!1:1, 0)),
    ""
)</f>
        <v/>
      </c>
      <c r="J72" s="10"/>
      <c r="K72" s="10"/>
      <c r="L72" s="10"/>
      <c r="M72" s="10"/>
      <c r="N72" s="10"/>
      <c r="O72" s="11"/>
      <c r="P72" s="8"/>
      <c r="Q72" s="8"/>
      <c r="R72" s="8"/>
      <c r="S72" s="8"/>
      <c r="T72" s="8"/>
      <c r="U72" s="8"/>
      <c r="V72" s="8"/>
      <c r="W72" s="8"/>
      <c r="X72" s="8"/>
      <c r="Y72" s="8"/>
      <c r="Z72" s="8"/>
      <c r="AA72" s="9"/>
      <c r="AB72" s="8"/>
      <c r="AC72" s="8"/>
      <c r="AD72" s="8"/>
      <c r="AE72" s="8"/>
      <c r="AF72" s="8"/>
      <c r="AG72" s="8"/>
      <c r="AH72" s="8"/>
      <c r="AI72" s="8"/>
      <c r="AJ72" s="8"/>
      <c r="AK72" s="9"/>
    </row>
    <row r="73" spans="1:37" ht="14.25" customHeight="1">
      <c r="A73" s="28"/>
      <c r="B73" s="34" t="s">
        <v>88</v>
      </c>
      <c r="C73" s="10"/>
      <c r="D73" s="10"/>
      <c r="E73" s="10"/>
      <c r="F73" s="10"/>
      <c r="G73" s="10"/>
      <c r="H73" s="11"/>
      <c r="I73" s="60" t="str">
        <f t="array" aca="1" ref="I73" ca="1">IFERROR(
    INDEX(データ集約!A:ZZ, MATCH(D5, データ集約!C:C, 0), MATCH("座位", データ集約!1:1, 0)),
    ""
)</f>
        <v/>
      </c>
      <c r="J73" s="10"/>
      <c r="K73" s="10"/>
      <c r="L73" s="10"/>
      <c r="M73" s="10"/>
      <c r="N73" s="10"/>
      <c r="O73" s="11"/>
      <c r="P73" s="8"/>
      <c r="Q73" s="8"/>
      <c r="R73" s="8"/>
      <c r="S73" s="8"/>
      <c r="T73" s="8"/>
      <c r="U73" s="8"/>
      <c r="V73" s="8"/>
      <c r="W73" s="8"/>
      <c r="X73" s="8"/>
      <c r="Y73" s="8"/>
      <c r="Z73" s="8"/>
      <c r="AA73" s="9"/>
      <c r="AB73" s="8"/>
      <c r="AC73" s="8"/>
      <c r="AD73" s="8"/>
      <c r="AE73" s="8"/>
      <c r="AF73" s="8"/>
      <c r="AG73" s="8"/>
      <c r="AH73" s="8"/>
      <c r="AI73" s="8"/>
      <c r="AJ73" s="8"/>
      <c r="AK73" s="9"/>
    </row>
    <row r="74" spans="1:37" ht="14.25" customHeight="1">
      <c r="A74" s="28"/>
      <c r="B74" s="34" t="s">
        <v>89</v>
      </c>
      <c r="C74" s="10"/>
      <c r="D74" s="10"/>
      <c r="E74" s="10"/>
      <c r="F74" s="10"/>
      <c r="G74" s="10"/>
      <c r="H74" s="11"/>
      <c r="I74" s="60" t="str">
        <f t="array" aca="1" ref="I74" ca="1">IFERROR(
    INDEX(データ集約!A:ZZ, MATCH(D5, データ集約!C:C, 0), MATCH("立ち上がり", データ集約!1:1, 0)),
    ""
)</f>
        <v/>
      </c>
      <c r="J74" s="10"/>
      <c r="K74" s="10"/>
      <c r="L74" s="10"/>
      <c r="M74" s="10"/>
      <c r="N74" s="10"/>
      <c r="O74" s="11"/>
      <c r="P74" s="8"/>
      <c r="Q74" s="8"/>
      <c r="R74" s="8"/>
      <c r="S74" s="8"/>
      <c r="T74" s="8"/>
      <c r="U74" s="8"/>
      <c r="V74" s="8"/>
      <c r="W74" s="8"/>
      <c r="X74" s="8"/>
      <c r="Y74" s="8"/>
      <c r="Z74" s="8"/>
      <c r="AA74" s="9"/>
      <c r="AB74" s="8"/>
      <c r="AC74" s="8"/>
      <c r="AD74" s="8"/>
      <c r="AE74" s="8"/>
      <c r="AF74" s="8"/>
      <c r="AG74" s="8"/>
      <c r="AH74" s="8"/>
      <c r="AI74" s="8"/>
      <c r="AJ74" s="8"/>
      <c r="AK74" s="9"/>
    </row>
    <row r="75" spans="1:37" ht="14.25" customHeight="1">
      <c r="A75" s="28"/>
      <c r="B75" s="34" t="s">
        <v>90</v>
      </c>
      <c r="C75" s="10"/>
      <c r="D75" s="10"/>
      <c r="E75" s="10"/>
      <c r="F75" s="10"/>
      <c r="G75" s="10"/>
      <c r="H75" s="11"/>
      <c r="I75" s="60" t="str">
        <f t="array" aca="1" ref="I75" ca="1">IFERROR(
    INDEX(データ集約!A:ZZ, MATCH(D5, データ集約!C:C, 0), MATCH("立位", データ集約!1:1, 0)),
    ""
)</f>
        <v/>
      </c>
      <c r="J75" s="10"/>
      <c r="K75" s="10"/>
      <c r="L75" s="10"/>
      <c r="M75" s="10"/>
      <c r="N75" s="10"/>
      <c r="O75" s="11"/>
      <c r="P75" s="8"/>
      <c r="Q75" s="8"/>
      <c r="R75" s="8"/>
      <c r="S75" s="8"/>
      <c r="T75" s="8"/>
      <c r="U75" s="8"/>
      <c r="V75" s="8"/>
      <c r="W75" s="8"/>
      <c r="X75" s="8"/>
      <c r="Y75" s="8"/>
      <c r="Z75" s="8"/>
      <c r="AA75" s="9"/>
      <c r="AB75" s="8"/>
      <c r="AC75" s="8"/>
      <c r="AD75" s="8"/>
      <c r="AE75" s="8"/>
      <c r="AF75" s="8"/>
      <c r="AG75" s="8"/>
      <c r="AH75" s="8"/>
      <c r="AI75" s="8"/>
      <c r="AJ75" s="8"/>
      <c r="AK75" s="9"/>
    </row>
    <row r="76" spans="1:37" ht="14.25" customHeight="1">
      <c r="A76" s="28"/>
      <c r="B76" s="34" t="s">
        <v>91</v>
      </c>
      <c r="C76" s="10"/>
      <c r="D76" s="10"/>
      <c r="E76" s="10"/>
      <c r="F76" s="10"/>
      <c r="G76" s="10"/>
      <c r="H76" s="11"/>
      <c r="I76" s="60" t="str">
        <f t="array" aca="1" ref="I76" ca="1">IFERROR(
    INDEX(データ集約!A:ZZ, MATCH(D5, データ集約!C:C, 0), MATCH("移乗", データ集約!1:1, 0)),
    ""
)</f>
        <v/>
      </c>
      <c r="J76" s="10"/>
      <c r="K76" s="10"/>
      <c r="L76" s="10"/>
      <c r="M76" s="10"/>
      <c r="N76" s="10"/>
      <c r="O76" s="11"/>
      <c r="P76" s="8"/>
      <c r="Q76" s="8"/>
      <c r="R76" s="8"/>
      <c r="S76" s="8"/>
      <c r="T76" s="8"/>
      <c r="U76" s="8"/>
      <c r="V76" s="8"/>
      <c r="W76" s="8"/>
      <c r="X76" s="8"/>
      <c r="Y76" s="8"/>
      <c r="Z76" s="8"/>
      <c r="AA76" s="9"/>
      <c r="AB76" s="8"/>
      <c r="AC76" s="8"/>
      <c r="AD76" s="8"/>
      <c r="AE76" s="8"/>
      <c r="AF76" s="8"/>
      <c r="AG76" s="8"/>
      <c r="AH76" s="8"/>
      <c r="AI76" s="8"/>
      <c r="AJ76" s="8"/>
      <c r="AK76" s="9"/>
    </row>
    <row r="77" spans="1:37" ht="14.25" customHeight="1">
      <c r="A77" s="28"/>
      <c r="B77" s="34" t="s">
        <v>92</v>
      </c>
      <c r="C77" s="10"/>
      <c r="D77" s="10"/>
      <c r="E77" s="10"/>
      <c r="F77" s="10"/>
      <c r="G77" s="10"/>
      <c r="H77" s="11"/>
      <c r="I77" s="60" t="str">
        <f t="array" aca="1" ref="I77" ca="1">IFERROR(
    INDEX(データ集約!A:ZZ, MATCH(D5, データ集約!C:C, 0), MATCH("屋内移動", データ集約!1:1, 0)),
    ""
)</f>
        <v/>
      </c>
      <c r="J77" s="10"/>
      <c r="K77" s="10"/>
      <c r="L77" s="10"/>
      <c r="M77" s="10"/>
      <c r="N77" s="10"/>
      <c r="O77" s="11"/>
      <c r="P77" s="8"/>
      <c r="Q77" s="8"/>
      <c r="R77" s="8"/>
      <c r="S77" s="8"/>
      <c r="T77" s="8"/>
      <c r="U77" s="8"/>
      <c r="V77" s="8"/>
      <c r="W77" s="8"/>
      <c r="X77" s="8"/>
      <c r="Y77" s="8"/>
      <c r="Z77" s="8"/>
      <c r="AA77" s="9"/>
      <c r="AB77" s="8"/>
      <c r="AC77" s="8"/>
      <c r="AD77" s="8"/>
      <c r="AE77" s="8"/>
      <c r="AF77" s="8"/>
      <c r="AG77" s="8"/>
      <c r="AH77" s="8"/>
      <c r="AI77" s="8"/>
      <c r="AJ77" s="8"/>
      <c r="AK77" s="9"/>
    </row>
    <row r="78" spans="1:37" ht="14.25" customHeight="1">
      <c r="A78" s="28"/>
      <c r="B78" s="34" t="s">
        <v>93</v>
      </c>
      <c r="C78" s="10"/>
      <c r="D78" s="10"/>
      <c r="E78" s="10"/>
      <c r="F78" s="10"/>
      <c r="G78" s="10"/>
      <c r="H78" s="11"/>
      <c r="I78" s="60" t="str">
        <f t="array" aca="1" ref="I78" ca="1">IFERROR(
    INDEX(データ集約!A:ZZ, MATCH(D5, データ集約!C:C, 0), MATCH("屋内移動｜使用用具", データ集約!1:1, 0)),
    ""
)</f>
        <v/>
      </c>
      <c r="J78" s="10"/>
      <c r="K78" s="10"/>
      <c r="L78" s="10"/>
      <c r="M78" s="10"/>
      <c r="N78" s="10"/>
      <c r="O78" s="11"/>
      <c r="P78" s="8"/>
      <c r="Q78" s="8"/>
      <c r="R78" s="8"/>
      <c r="S78" s="8"/>
      <c r="T78" s="8"/>
      <c r="U78" s="8"/>
      <c r="V78" s="8"/>
      <c r="W78" s="8"/>
      <c r="X78" s="8"/>
      <c r="Y78" s="8"/>
      <c r="Z78" s="8"/>
      <c r="AA78" s="9"/>
      <c r="AB78" s="8"/>
      <c r="AC78" s="8"/>
      <c r="AD78" s="8"/>
      <c r="AE78" s="8"/>
      <c r="AF78" s="8"/>
      <c r="AG78" s="8"/>
      <c r="AH78" s="8"/>
      <c r="AI78" s="8"/>
      <c r="AJ78" s="8"/>
      <c r="AK78" s="9"/>
    </row>
    <row r="79" spans="1:37" ht="14.25" customHeight="1">
      <c r="A79" s="28"/>
      <c r="B79" s="34" t="s">
        <v>94</v>
      </c>
      <c r="C79" s="10"/>
      <c r="D79" s="10"/>
      <c r="E79" s="10"/>
      <c r="F79" s="10"/>
      <c r="G79" s="10"/>
      <c r="H79" s="11"/>
      <c r="I79" s="53" t="str">
        <f t="array" aca="1" ref="I79" ca="1">IFERROR(
    INDEX(データ集約!A:ZZ, MATCH(D5, データ集約!C:C, 0), MATCH("屋外移動", データ集約!1:1, 0)),
    ""
)</f>
        <v/>
      </c>
      <c r="J79" s="10"/>
      <c r="K79" s="10"/>
      <c r="L79" s="10"/>
      <c r="M79" s="10"/>
      <c r="N79" s="10"/>
      <c r="O79" s="11"/>
      <c r="P79" s="8"/>
      <c r="Q79" s="8"/>
      <c r="R79" s="8"/>
      <c r="S79" s="8"/>
      <c r="T79" s="8"/>
      <c r="U79" s="8"/>
      <c r="V79" s="8"/>
      <c r="W79" s="8"/>
      <c r="X79" s="8"/>
      <c r="Y79" s="8"/>
      <c r="Z79" s="8"/>
      <c r="AA79" s="9"/>
      <c r="AB79" s="8"/>
      <c r="AC79" s="8"/>
      <c r="AD79" s="8"/>
      <c r="AE79" s="8"/>
      <c r="AF79" s="8"/>
      <c r="AG79" s="8"/>
      <c r="AH79" s="8"/>
      <c r="AI79" s="8"/>
      <c r="AJ79" s="8"/>
      <c r="AK79" s="9"/>
    </row>
    <row r="80" spans="1:37" ht="14.25" customHeight="1">
      <c r="A80" s="29"/>
      <c r="B80" s="34" t="s">
        <v>95</v>
      </c>
      <c r="C80" s="10"/>
      <c r="D80" s="10"/>
      <c r="E80" s="10"/>
      <c r="F80" s="10"/>
      <c r="G80" s="10"/>
      <c r="H80" s="11"/>
      <c r="I80" s="53" t="str">
        <f t="array" aca="1" ref="I80" ca="1">IFERROR(
    INDEX(データ集約!A:ZZ, MATCH(D5, データ集約!C:C, 0), MATCH("屋外移動｜使用用具", データ集約!1:1, 0)),
    ""
)</f>
        <v/>
      </c>
      <c r="J80" s="10"/>
      <c r="K80" s="10"/>
      <c r="L80" s="10"/>
      <c r="M80" s="10"/>
      <c r="N80" s="10"/>
      <c r="O80" s="11"/>
      <c r="P80" s="10"/>
      <c r="Q80" s="10"/>
      <c r="R80" s="10"/>
      <c r="S80" s="10"/>
      <c r="T80" s="10"/>
      <c r="U80" s="10"/>
      <c r="V80" s="10"/>
      <c r="W80" s="10"/>
      <c r="X80" s="10"/>
      <c r="Y80" s="10"/>
      <c r="Z80" s="10"/>
      <c r="AA80" s="11"/>
      <c r="AB80" s="10"/>
      <c r="AC80" s="10"/>
      <c r="AD80" s="10"/>
      <c r="AE80" s="10"/>
      <c r="AF80" s="10"/>
      <c r="AG80" s="10"/>
      <c r="AH80" s="10"/>
      <c r="AI80" s="10"/>
      <c r="AJ80" s="10"/>
      <c r="AK80" s="11"/>
    </row>
    <row r="81" spans="1:37" ht="14.25" customHeight="1">
      <c r="A81" s="27" t="s">
        <v>96</v>
      </c>
      <c r="B81" s="59" t="s">
        <v>97</v>
      </c>
      <c r="C81" s="57" t="s">
        <v>98</v>
      </c>
      <c r="D81" s="10"/>
      <c r="E81" s="10"/>
      <c r="F81" s="10"/>
      <c r="G81" s="10"/>
      <c r="H81" s="11"/>
      <c r="I81" s="53" t="str">
        <f t="array" aca="1" ref="I81" ca="1">IFERROR(
    INDEX(データ集約!A:ZZ, MATCH(D5, データ集約!C:C, 0), MATCH("食事方法", データ集約!1:1, 0)),
    ""
)</f>
        <v/>
      </c>
      <c r="J81" s="10"/>
      <c r="K81" s="10"/>
      <c r="L81" s="10"/>
      <c r="M81" s="10"/>
      <c r="N81" s="10"/>
      <c r="O81" s="11"/>
      <c r="P81" s="7" t="str">
        <f t="array" aca="1" ref="P81" ca="1">IFERROR(
    INDEX(データ集約!A:ZZ, MATCH(D5, データ集約!C:C, 0), MATCH("食事｜特記事項", データ集約!1:1, 0)),
    ""
)</f>
        <v/>
      </c>
      <c r="Q81" s="8"/>
      <c r="R81" s="8"/>
      <c r="S81" s="8"/>
      <c r="T81" s="8"/>
      <c r="U81" s="8"/>
      <c r="V81" s="8"/>
      <c r="W81" s="8"/>
      <c r="X81" s="8"/>
      <c r="Y81" s="8"/>
      <c r="Z81" s="8"/>
      <c r="AA81" s="9"/>
      <c r="AB81" s="7"/>
      <c r="AC81" s="8"/>
      <c r="AD81" s="8"/>
      <c r="AE81" s="8"/>
      <c r="AF81" s="8"/>
      <c r="AG81" s="8"/>
      <c r="AH81" s="8"/>
      <c r="AI81" s="8"/>
      <c r="AJ81" s="8"/>
      <c r="AK81" s="9"/>
    </row>
    <row r="82" spans="1:37" ht="14.25" customHeight="1">
      <c r="A82" s="28"/>
      <c r="B82" s="9"/>
      <c r="C82" s="57" t="s">
        <v>99</v>
      </c>
      <c r="D82" s="10"/>
      <c r="E82" s="10"/>
      <c r="F82" s="10"/>
      <c r="G82" s="10"/>
      <c r="H82" s="11"/>
      <c r="I82" s="53" t="str">
        <f t="array" aca="1" ref="I82" ca="1">IFERROR(
    INDEX(データ集約!A:ZZ, MATCH(D5, データ集約!C:C, 0), MATCH("食事動作", データ集約!1:1, 0)),
    ""
)</f>
        <v/>
      </c>
      <c r="J82" s="10"/>
      <c r="K82" s="10"/>
      <c r="L82" s="10"/>
      <c r="M82" s="10"/>
      <c r="N82" s="10"/>
      <c r="O82" s="11"/>
      <c r="P82" s="8"/>
      <c r="Q82" s="8"/>
      <c r="R82" s="8"/>
      <c r="S82" s="8"/>
      <c r="T82" s="8"/>
      <c r="U82" s="8"/>
      <c r="V82" s="8"/>
      <c r="W82" s="8"/>
      <c r="X82" s="8"/>
      <c r="Y82" s="8"/>
      <c r="Z82" s="8"/>
      <c r="AA82" s="9"/>
      <c r="AB82" s="8"/>
      <c r="AC82" s="8"/>
      <c r="AD82" s="8"/>
      <c r="AE82" s="8"/>
      <c r="AF82" s="8"/>
      <c r="AG82" s="8"/>
      <c r="AH82" s="8"/>
      <c r="AI82" s="8"/>
      <c r="AJ82" s="8"/>
      <c r="AK82" s="9"/>
    </row>
    <row r="83" spans="1:37" ht="14.25" customHeight="1">
      <c r="A83" s="28"/>
      <c r="B83" s="9"/>
      <c r="C83" s="57" t="s">
        <v>100</v>
      </c>
      <c r="D83" s="10"/>
      <c r="E83" s="10"/>
      <c r="F83" s="10"/>
      <c r="G83" s="10"/>
      <c r="H83" s="11"/>
      <c r="I83" s="53" t="str">
        <f t="array" aca="1" ref="I83" ca="1">IFERROR(
    INDEX(データ集約!A:ZZ, MATCH(D5, データ集約!C:C, 0), MATCH("嚥下", データ集約!1:1, 0)),
    ""
)</f>
        <v/>
      </c>
      <c r="J83" s="10"/>
      <c r="K83" s="10"/>
      <c r="L83" s="10"/>
      <c r="M83" s="10"/>
      <c r="N83" s="10"/>
      <c r="O83" s="11"/>
      <c r="P83" s="8"/>
      <c r="Q83" s="8"/>
      <c r="R83" s="8"/>
      <c r="S83" s="8"/>
      <c r="T83" s="8"/>
      <c r="U83" s="8"/>
      <c r="V83" s="8"/>
      <c r="W83" s="8"/>
      <c r="X83" s="8"/>
      <c r="Y83" s="8"/>
      <c r="Z83" s="8"/>
      <c r="AA83" s="9"/>
      <c r="AB83" s="8"/>
      <c r="AC83" s="8"/>
      <c r="AD83" s="8"/>
      <c r="AE83" s="8"/>
      <c r="AF83" s="8"/>
      <c r="AG83" s="8"/>
      <c r="AH83" s="8"/>
      <c r="AI83" s="8"/>
      <c r="AJ83" s="8"/>
      <c r="AK83" s="9"/>
    </row>
    <row r="84" spans="1:37" ht="14.25" customHeight="1">
      <c r="A84" s="28"/>
      <c r="B84" s="9"/>
      <c r="C84" s="61" t="s">
        <v>101</v>
      </c>
      <c r="D84" s="9"/>
      <c r="E84" s="57" t="s">
        <v>102</v>
      </c>
      <c r="F84" s="10"/>
      <c r="G84" s="10"/>
      <c r="H84" s="11"/>
      <c r="I84" s="53" t="str">
        <f t="array" aca="1" ref="I84" ca="1">IFERROR(
    INDEX(データ集約!A:ZZ, MATCH(D5, データ集約!C:C, 0), MATCH("食事形態｜主食", データ集約!1:1, 0)),
    ""
)</f>
        <v/>
      </c>
      <c r="J84" s="10"/>
      <c r="K84" s="10"/>
      <c r="L84" s="10"/>
      <c r="M84" s="10"/>
      <c r="N84" s="10"/>
      <c r="O84" s="11"/>
      <c r="P84" s="8"/>
      <c r="Q84" s="8"/>
      <c r="R84" s="8"/>
      <c r="S84" s="8"/>
      <c r="T84" s="8"/>
      <c r="U84" s="8"/>
      <c r="V84" s="8"/>
      <c r="W84" s="8"/>
      <c r="X84" s="8"/>
      <c r="Y84" s="8"/>
      <c r="Z84" s="8"/>
      <c r="AA84" s="9"/>
      <c r="AB84" s="8"/>
      <c r="AC84" s="8"/>
      <c r="AD84" s="8"/>
      <c r="AE84" s="8"/>
      <c r="AF84" s="8"/>
      <c r="AG84" s="8"/>
      <c r="AH84" s="8"/>
      <c r="AI84" s="8"/>
      <c r="AJ84" s="8"/>
      <c r="AK84" s="9"/>
    </row>
    <row r="85" spans="1:37" ht="14.25" customHeight="1">
      <c r="A85" s="28"/>
      <c r="B85" s="9"/>
      <c r="C85" s="8"/>
      <c r="D85" s="9"/>
      <c r="E85" s="57" t="s">
        <v>103</v>
      </c>
      <c r="F85" s="10"/>
      <c r="G85" s="10"/>
      <c r="H85" s="11"/>
      <c r="I85" s="53" t="str">
        <f t="array" aca="1" ref="I85" ca="1">IFERROR(
    INDEX(データ集約!A:ZZ, MATCH(D5, データ集約!C:C, 0), MATCH("食事形態｜副食", データ集約!1:1, 0)),
    ""
)</f>
        <v/>
      </c>
      <c r="J85" s="10"/>
      <c r="K85" s="10"/>
      <c r="L85" s="10"/>
      <c r="M85" s="10"/>
      <c r="N85" s="10"/>
      <c r="O85" s="11"/>
      <c r="P85" s="8"/>
      <c r="Q85" s="8"/>
      <c r="R85" s="8"/>
      <c r="S85" s="8"/>
      <c r="T85" s="8"/>
      <c r="U85" s="8"/>
      <c r="V85" s="8"/>
      <c r="W85" s="8"/>
      <c r="X85" s="8"/>
      <c r="Y85" s="8"/>
      <c r="Z85" s="8"/>
      <c r="AA85" s="9"/>
      <c r="AB85" s="8"/>
      <c r="AC85" s="8"/>
      <c r="AD85" s="8"/>
      <c r="AE85" s="8"/>
      <c r="AF85" s="8"/>
      <c r="AG85" s="8"/>
      <c r="AH85" s="8"/>
      <c r="AI85" s="8"/>
      <c r="AJ85" s="8"/>
      <c r="AK85" s="9"/>
    </row>
    <row r="86" spans="1:37" ht="14.25" customHeight="1">
      <c r="A86" s="28"/>
      <c r="B86" s="9"/>
      <c r="C86" s="10"/>
      <c r="D86" s="11"/>
      <c r="E86" s="57" t="s">
        <v>104</v>
      </c>
      <c r="F86" s="10"/>
      <c r="G86" s="10"/>
      <c r="H86" s="11"/>
      <c r="I86" s="62" t="str">
        <f t="array" aca="1" ref="I86" ca="1">IFERROR(
    INDEX(データ集約!A:ZZ, MATCH(D5, データ集約!C:C, 0), MATCH("水分とろみ", データ集約!1:1, 0)),
    ""
)</f>
        <v/>
      </c>
      <c r="J86" s="10"/>
      <c r="K86" s="10"/>
      <c r="L86" s="10"/>
      <c r="M86" s="10"/>
      <c r="N86" s="10"/>
      <c r="O86" s="11"/>
      <c r="P86" s="8"/>
      <c r="Q86" s="8"/>
      <c r="R86" s="8"/>
      <c r="S86" s="8"/>
      <c r="T86" s="8"/>
      <c r="U86" s="8"/>
      <c r="V86" s="8"/>
      <c r="W86" s="8"/>
      <c r="X86" s="8"/>
      <c r="Y86" s="8"/>
      <c r="Z86" s="8"/>
      <c r="AA86" s="9"/>
      <c r="AB86" s="8"/>
      <c r="AC86" s="8"/>
      <c r="AD86" s="8"/>
      <c r="AE86" s="8"/>
      <c r="AF86" s="8"/>
      <c r="AG86" s="8"/>
      <c r="AH86" s="8"/>
      <c r="AI86" s="8"/>
      <c r="AJ86" s="8"/>
      <c r="AK86" s="9"/>
    </row>
    <row r="87" spans="1:37" ht="14.25" customHeight="1">
      <c r="A87" s="28"/>
      <c r="B87" s="9"/>
      <c r="C87" s="57" t="s">
        <v>105</v>
      </c>
      <c r="D87" s="10"/>
      <c r="E87" s="10"/>
      <c r="F87" s="10"/>
      <c r="G87" s="10"/>
      <c r="H87" s="11"/>
      <c r="I87" s="53" t="str">
        <f t="array" aca="1" ref="I87" ca="1">IFERROR(
    INDEX(データ集約!A:ZZ, MATCH(D5, データ集約!C:C, 0), MATCH("食事制限", データ集約!1:1, 0)),
    ""
)</f>
        <v/>
      </c>
      <c r="J87" s="10"/>
      <c r="K87" s="10"/>
      <c r="L87" s="10"/>
      <c r="M87" s="10"/>
      <c r="N87" s="10"/>
      <c r="O87" s="11"/>
      <c r="P87" s="8"/>
      <c r="Q87" s="8"/>
      <c r="R87" s="8"/>
      <c r="S87" s="8"/>
      <c r="T87" s="8"/>
      <c r="U87" s="8"/>
      <c r="V87" s="8"/>
      <c r="W87" s="8"/>
      <c r="X87" s="8"/>
      <c r="Y87" s="8"/>
      <c r="Z87" s="8"/>
      <c r="AA87" s="9"/>
      <c r="AB87" s="8"/>
      <c r="AC87" s="8"/>
      <c r="AD87" s="8"/>
      <c r="AE87" s="8"/>
      <c r="AF87" s="8"/>
      <c r="AG87" s="8"/>
      <c r="AH87" s="8"/>
      <c r="AI87" s="8"/>
      <c r="AJ87" s="8"/>
      <c r="AK87" s="9"/>
    </row>
    <row r="88" spans="1:37" ht="14.25" customHeight="1">
      <c r="A88" s="28"/>
      <c r="B88" s="11"/>
      <c r="C88" s="57" t="s">
        <v>106</v>
      </c>
      <c r="D88" s="10"/>
      <c r="E88" s="10"/>
      <c r="F88" s="10"/>
      <c r="G88" s="10"/>
      <c r="H88" s="11"/>
      <c r="I88" s="53" t="str">
        <f t="array" aca="1" ref="I88" ca="1">IFERROR(
    INDEX(データ集約!A:ZZ, MATCH(D5, データ集約!C:C, 0), MATCH("道具・用具", データ集約!1:1, 0)),
    ""
)</f>
        <v/>
      </c>
      <c r="J88" s="10"/>
      <c r="K88" s="10"/>
      <c r="L88" s="10"/>
      <c r="M88" s="10"/>
      <c r="N88" s="10"/>
      <c r="O88" s="11"/>
      <c r="P88" s="10"/>
      <c r="Q88" s="10"/>
      <c r="R88" s="10"/>
      <c r="S88" s="10"/>
      <c r="T88" s="10"/>
      <c r="U88" s="10"/>
      <c r="V88" s="10"/>
      <c r="W88" s="10"/>
      <c r="X88" s="10"/>
      <c r="Y88" s="10"/>
      <c r="Z88" s="10"/>
      <c r="AA88" s="11"/>
      <c r="AB88" s="10"/>
      <c r="AC88" s="10"/>
      <c r="AD88" s="10"/>
      <c r="AE88" s="10"/>
      <c r="AF88" s="10"/>
      <c r="AG88" s="10"/>
      <c r="AH88" s="10"/>
      <c r="AI88" s="10"/>
      <c r="AJ88" s="10"/>
      <c r="AK88" s="11"/>
    </row>
    <row r="89" spans="1:37" ht="14.25" customHeight="1">
      <c r="A89" s="28"/>
      <c r="B89" s="59" t="s">
        <v>107</v>
      </c>
      <c r="C89" s="57" t="s">
        <v>108</v>
      </c>
      <c r="D89" s="10"/>
      <c r="E89" s="10"/>
      <c r="F89" s="10"/>
      <c r="G89" s="10"/>
      <c r="H89" s="11"/>
      <c r="I89" s="53" t="str">
        <f t="array" aca="1" ref="I89" ca="1">IFERROR(
    INDEX(データ集約!A:ZZ, MATCH(D5, データ集約!C:C, 0), MATCH("口腔衛生", データ集約!1:1, 0)),
    ""
)</f>
        <v/>
      </c>
      <c r="J89" s="10"/>
      <c r="K89" s="10"/>
      <c r="L89" s="10"/>
      <c r="M89" s="10"/>
      <c r="N89" s="10"/>
      <c r="O89" s="11"/>
      <c r="P89" s="7" t="str">
        <f t="array" aca="1" ref="P89" ca="1">IFERROR(
    INDEX(データ集約!A:ZZ, MATCH(D5, データ集約!C:C, 0), MATCH("口腔｜特記事項", データ集約!1:1, 0)),
    ""
)</f>
        <v/>
      </c>
      <c r="Q89" s="8"/>
      <c r="R89" s="8"/>
      <c r="S89" s="8"/>
      <c r="T89" s="8"/>
      <c r="U89" s="8"/>
      <c r="V89" s="8"/>
      <c r="W89" s="8"/>
      <c r="X89" s="8"/>
      <c r="Y89" s="8"/>
      <c r="Z89" s="8"/>
      <c r="AA89" s="9"/>
      <c r="AB89" s="7"/>
      <c r="AC89" s="8"/>
      <c r="AD89" s="8"/>
      <c r="AE89" s="8"/>
      <c r="AF89" s="8"/>
      <c r="AG89" s="8"/>
      <c r="AH89" s="8"/>
      <c r="AI89" s="8"/>
      <c r="AJ89" s="8"/>
      <c r="AK89" s="9"/>
    </row>
    <row r="90" spans="1:37" ht="14.25" customHeight="1">
      <c r="A90" s="28"/>
      <c r="B90" s="9"/>
      <c r="C90" s="57" t="s">
        <v>109</v>
      </c>
      <c r="D90" s="10"/>
      <c r="E90" s="10"/>
      <c r="F90" s="10"/>
      <c r="G90" s="10"/>
      <c r="H90" s="11"/>
      <c r="I90" s="53" t="str">
        <f t="array" aca="1" ref="I90" ca="1">IFERROR(
    INDEX(データ集約!A:ZZ, MATCH(D5, データ集約!C:C, 0), MATCH("自歯の有無", データ集約!1:1, 0)),
    ""
)</f>
        <v/>
      </c>
      <c r="J90" s="10"/>
      <c r="K90" s="10"/>
      <c r="L90" s="10"/>
      <c r="M90" s="10"/>
      <c r="N90" s="10"/>
      <c r="O90" s="11"/>
      <c r="P90" s="8"/>
      <c r="Q90" s="8"/>
      <c r="R90" s="8"/>
      <c r="S90" s="8"/>
      <c r="T90" s="8"/>
      <c r="U90" s="8"/>
      <c r="V90" s="8"/>
      <c r="W90" s="8"/>
      <c r="X90" s="8"/>
      <c r="Y90" s="8"/>
      <c r="Z90" s="8"/>
      <c r="AA90" s="9"/>
      <c r="AB90" s="8"/>
      <c r="AC90" s="8"/>
      <c r="AD90" s="8"/>
      <c r="AE90" s="8"/>
      <c r="AF90" s="8"/>
      <c r="AG90" s="8"/>
      <c r="AH90" s="8"/>
      <c r="AI90" s="8"/>
      <c r="AJ90" s="8"/>
      <c r="AK90" s="9"/>
    </row>
    <row r="91" spans="1:37" ht="14.25" customHeight="1">
      <c r="A91" s="28"/>
      <c r="B91" s="9"/>
      <c r="C91" s="61" t="s">
        <v>110</v>
      </c>
      <c r="D91" s="9"/>
      <c r="E91" s="57" t="s">
        <v>111</v>
      </c>
      <c r="F91" s="10"/>
      <c r="G91" s="10"/>
      <c r="H91" s="11"/>
      <c r="I91" s="53" t="str">
        <f t="array" aca="1" ref="I91" ca="1">IFERROR(
    INDEX(データ集約!A:ZZ, MATCH(D5, データ集約!C:C, 0), MATCH("義歯の有無", データ集約!1:1, 0)),
    ""
)</f>
        <v/>
      </c>
      <c r="J91" s="10"/>
      <c r="K91" s="10"/>
      <c r="L91" s="53" t="str">
        <f t="array" aca="1" ref="L91" ca="1">IFERROR(
    INDEX(データ集約!A:ZZ, MATCH(D5, データ集約!C:C, 0), MATCH("義歯の種類", データ集約!1:1, 0)),
    ""
)</f>
        <v/>
      </c>
      <c r="M91" s="10"/>
      <c r="N91" s="10"/>
      <c r="O91" s="11"/>
      <c r="P91" s="8"/>
      <c r="Q91" s="8"/>
      <c r="R91" s="8"/>
      <c r="S91" s="8"/>
      <c r="T91" s="8"/>
      <c r="U91" s="8"/>
      <c r="V91" s="8"/>
      <c r="W91" s="8"/>
      <c r="X91" s="8"/>
      <c r="Y91" s="8"/>
      <c r="Z91" s="8"/>
      <c r="AA91" s="9"/>
      <c r="AB91" s="8"/>
      <c r="AC91" s="8"/>
      <c r="AD91" s="8"/>
      <c r="AE91" s="8"/>
      <c r="AF91" s="8"/>
      <c r="AG91" s="8"/>
      <c r="AH91" s="8"/>
      <c r="AI91" s="8"/>
      <c r="AJ91" s="8"/>
      <c r="AK91" s="9"/>
    </row>
    <row r="92" spans="1:37" ht="14.25" customHeight="1">
      <c r="A92" s="28"/>
      <c r="B92" s="11"/>
      <c r="C92" s="10"/>
      <c r="D92" s="11"/>
      <c r="E92" s="57" t="s">
        <v>112</v>
      </c>
      <c r="F92" s="10"/>
      <c r="G92" s="10"/>
      <c r="H92" s="11"/>
      <c r="I92" s="53" t="str">
        <f t="array" aca="1" ref="I92" ca="1">IFERROR(
    INDEX(データ集約!A:ZZ, MATCH(D5, データ集約!C:C, 0), MATCH("義歯の場所", データ集約!1:1, 0)),
    ""
)</f>
        <v/>
      </c>
      <c r="J92" s="10"/>
      <c r="K92" s="10"/>
      <c r="L92" s="10"/>
      <c r="M92" s="10"/>
      <c r="N92" s="10"/>
      <c r="O92" s="11"/>
      <c r="P92" s="10"/>
      <c r="Q92" s="10"/>
      <c r="R92" s="10"/>
      <c r="S92" s="10"/>
      <c r="T92" s="10"/>
      <c r="U92" s="10"/>
      <c r="V92" s="10"/>
      <c r="W92" s="10"/>
      <c r="X92" s="10"/>
      <c r="Y92" s="10"/>
      <c r="Z92" s="10"/>
      <c r="AA92" s="11"/>
      <c r="AB92" s="10"/>
      <c r="AC92" s="10"/>
      <c r="AD92" s="10"/>
      <c r="AE92" s="10"/>
      <c r="AF92" s="10"/>
      <c r="AG92" s="10"/>
      <c r="AH92" s="10"/>
      <c r="AI92" s="10"/>
      <c r="AJ92" s="10"/>
      <c r="AK92" s="11"/>
    </row>
    <row r="93" spans="1:37" ht="14.25" customHeight="1">
      <c r="A93" s="28"/>
      <c r="B93" s="58" t="s">
        <v>113</v>
      </c>
      <c r="C93" s="57" t="s">
        <v>114</v>
      </c>
      <c r="D93" s="10"/>
      <c r="E93" s="10"/>
      <c r="F93" s="10"/>
      <c r="G93" s="10"/>
      <c r="H93" s="11"/>
      <c r="I93" s="53" t="str">
        <f t="array" aca="1" ref="I93" ca="1">IFERROR(
    INDEX(データ集約!A:ZZ, MATCH(D5, データ集約!C:C, 0), MATCH("入浴動作", データ集約!1:1, 0)),
    ""
)</f>
        <v/>
      </c>
      <c r="J93" s="10"/>
      <c r="K93" s="10"/>
      <c r="L93" s="10"/>
      <c r="M93" s="10"/>
      <c r="N93" s="10"/>
      <c r="O93" s="11"/>
      <c r="P93" s="7" t="str">
        <f t="array" aca="1" ref="P93" ca="1">IFERROR(
    INDEX(データ集約!A:ZZ, MATCH(D5, データ集約!C:C, 0), MATCH("入浴・更衣｜特記事項", データ集約!1:1, 0)),
    ""
)</f>
        <v/>
      </c>
      <c r="Q93" s="8"/>
      <c r="R93" s="8"/>
      <c r="S93" s="8"/>
      <c r="T93" s="8"/>
      <c r="U93" s="8"/>
      <c r="V93" s="8"/>
      <c r="W93" s="8"/>
      <c r="X93" s="8"/>
      <c r="Y93" s="8"/>
      <c r="Z93" s="8"/>
      <c r="AA93" s="9"/>
      <c r="AB93" s="7"/>
      <c r="AC93" s="8"/>
      <c r="AD93" s="8"/>
      <c r="AE93" s="8"/>
      <c r="AF93" s="8"/>
      <c r="AG93" s="8"/>
      <c r="AH93" s="8"/>
      <c r="AI93" s="8"/>
      <c r="AJ93" s="8"/>
      <c r="AK93" s="9"/>
    </row>
    <row r="94" spans="1:37" ht="14.25" customHeight="1">
      <c r="A94" s="28"/>
      <c r="B94" s="9"/>
      <c r="C94" s="57" t="s">
        <v>101</v>
      </c>
      <c r="D94" s="10"/>
      <c r="E94" s="10"/>
      <c r="F94" s="10"/>
      <c r="G94" s="10"/>
      <c r="H94" s="11"/>
      <c r="I94" s="53" t="str">
        <f t="array" aca="1" ref="I94" ca="1">IFERROR(
    INDEX(データ集約!A:ZZ, MATCH(D5, データ集約!C:C, 0), MATCH("形態", データ集約!1:1, 0)),
    ""
)</f>
        <v/>
      </c>
      <c r="J94" s="10"/>
      <c r="K94" s="10"/>
      <c r="L94" s="10"/>
      <c r="M94" s="10"/>
      <c r="N94" s="10"/>
      <c r="O94" s="11"/>
      <c r="P94" s="8"/>
      <c r="Q94" s="8"/>
      <c r="R94" s="8"/>
      <c r="S94" s="8"/>
      <c r="T94" s="8"/>
      <c r="U94" s="8"/>
      <c r="V94" s="8"/>
      <c r="W94" s="8"/>
      <c r="X94" s="8"/>
      <c r="Y94" s="8"/>
      <c r="Z94" s="8"/>
      <c r="AA94" s="9"/>
      <c r="AB94" s="8"/>
      <c r="AC94" s="8"/>
      <c r="AD94" s="8"/>
      <c r="AE94" s="8"/>
      <c r="AF94" s="8"/>
      <c r="AG94" s="8"/>
      <c r="AH94" s="8"/>
      <c r="AI94" s="8"/>
      <c r="AJ94" s="8"/>
      <c r="AK94" s="9"/>
    </row>
    <row r="95" spans="1:37" ht="14.25" customHeight="1">
      <c r="A95" s="28"/>
      <c r="B95" s="11"/>
      <c r="C95" s="57" t="s">
        <v>115</v>
      </c>
      <c r="D95" s="10"/>
      <c r="E95" s="10"/>
      <c r="F95" s="10"/>
      <c r="G95" s="10"/>
      <c r="H95" s="11"/>
      <c r="I95" s="53" t="str">
        <f t="array" aca="1" ref="I95" ca="1">IFERROR(
    INDEX(データ集約!A:ZZ, MATCH(D5, データ集約!C:C, 0), MATCH("入浴の制限", データ集約!1:1, 0)),
    ""
)</f>
        <v/>
      </c>
      <c r="J95" s="10"/>
      <c r="K95" s="10"/>
      <c r="L95" s="10"/>
      <c r="M95" s="10"/>
      <c r="N95" s="10"/>
      <c r="O95" s="11"/>
      <c r="P95" s="8"/>
      <c r="Q95" s="8"/>
      <c r="R95" s="8"/>
      <c r="S95" s="8"/>
      <c r="T95" s="8"/>
      <c r="U95" s="8"/>
      <c r="V95" s="8"/>
      <c r="W95" s="8"/>
      <c r="X95" s="8"/>
      <c r="Y95" s="8"/>
      <c r="Z95" s="8"/>
      <c r="AA95" s="9"/>
      <c r="AB95" s="8"/>
      <c r="AC95" s="8"/>
      <c r="AD95" s="8"/>
      <c r="AE95" s="8"/>
      <c r="AF95" s="8"/>
      <c r="AG95" s="8"/>
      <c r="AH95" s="8"/>
      <c r="AI95" s="8"/>
      <c r="AJ95" s="8"/>
      <c r="AK95" s="9"/>
    </row>
    <row r="96" spans="1:37" ht="14.25" customHeight="1">
      <c r="A96" s="28"/>
      <c r="B96" s="59" t="s">
        <v>116</v>
      </c>
      <c r="C96" s="57" t="s">
        <v>117</v>
      </c>
      <c r="D96" s="10"/>
      <c r="E96" s="10"/>
      <c r="F96" s="10"/>
      <c r="G96" s="10"/>
      <c r="H96" s="11"/>
      <c r="I96" s="53" t="str">
        <f t="array" aca="1" ref="I96" ca="1">IFERROR(
    INDEX(データ集約!A:ZZ, MATCH(D5, データ集約!C:C, 0), MATCH("上衣", データ集約!1:1, 0)),
    ""
)</f>
        <v/>
      </c>
      <c r="J96" s="10"/>
      <c r="K96" s="10"/>
      <c r="L96" s="10"/>
      <c r="M96" s="10"/>
      <c r="N96" s="10"/>
      <c r="O96" s="11"/>
      <c r="P96" s="8"/>
      <c r="Q96" s="8"/>
      <c r="R96" s="8"/>
      <c r="S96" s="8"/>
      <c r="T96" s="8"/>
      <c r="U96" s="8"/>
      <c r="V96" s="8"/>
      <c r="W96" s="8"/>
      <c r="X96" s="8"/>
      <c r="Y96" s="8"/>
      <c r="Z96" s="8"/>
      <c r="AA96" s="9"/>
      <c r="AB96" s="8"/>
      <c r="AC96" s="8"/>
      <c r="AD96" s="8"/>
      <c r="AE96" s="8"/>
      <c r="AF96" s="8"/>
      <c r="AG96" s="8"/>
      <c r="AH96" s="8"/>
      <c r="AI96" s="8"/>
      <c r="AJ96" s="8"/>
      <c r="AK96" s="9"/>
    </row>
    <row r="97" spans="1:37" ht="14.25" customHeight="1">
      <c r="A97" s="28"/>
      <c r="B97" s="11"/>
      <c r="C97" s="57" t="s">
        <v>118</v>
      </c>
      <c r="D97" s="10"/>
      <c r="E97" s="10"/>
      <c r="F97" s="10"/>
      <c r="G97" s="10"/>
      <c r="H97" s="11"/>
      <c r="I97" s="53" t="str">
        <f t="array" aca="1" ref="I97" ca="1">IFERROR(
    INDEX(データ集約!A:ZZ, MATCH(D5, データ集約!C:C, 0), MATCH("下衣", データ集約!1:1, 0)),
    ""
)</f>
        <v/>
      </c>
      <c r="J97" s="10"/>
      <c r="K97" s="10"/>
      <c r="L97" s="10"/>
      <c r="M97" s="10"/>
      <c r="N97" s="10"/>
      <c r="O97" s="11"/>
      <c r="P97" s="10"/>
      <c r="Q97" s="10"/>
      <c r="R97" s="10"/>
      <c r="S97" s="10"/>
      <c r="T97" s="10"/>
      <c r="U97" s="10"/>
      <c r="V97" s="10"/>
      <c r="W97" s="10"/>
      <c r="X97" s="10"/>
      <c r="Y97" s="10"/>
      <c r="Z97" s="10"/>
      <c r="AA97" s="11"/>
      <c r="AB97" s="10"/>
      <c r="AC97" s="10"/>
      <c r="AD97" s="10"/>
      <c r="AE97" s="10"/>
      <c r="AF97" s="10"/>
      <c r="AG97" s="10"/>
      <c r="AH97" s="10"/>
      <c r="AI97" s="10"/>
      <c r="AJ97" s="10"/>
      <c r="AK97" s="11"/>
    </row>
    <row r="98" spans="1:37" ht="14.25" customHeight="1">
      <c r="A98" s="28"/>
      <c r="B98" s="58" t="s">
        <v>119</v>
      </c>
      <c r="C98" s="57" t="s">
        <v>120</v>
      </c>
      <c r="D98" s="10"/>
      <c r="E98" s="10"/>
      <c r="F98" s="10"/>
      <c r="G98" s="10"/>
      <c r="H98" s="11"/>
      <c r="I98" s="53" t="str">
        <f t="array" aca="1" ref="I98" ca="1">IFERROR(
    INDEX(データ集約!A:ZZ, MATCH(D5, データ集約!C:C, 0), MATCH("排泄動作", データ集約!1:1, 0)),
    ""
)</f>
        <v/>
      </c>
      <c r="J98" s="10"/>
      <c r="K98" s="10"/>
      <c r="L98" s="10"/>
      <c r="M98" s="10"/>
      <c r="N98" s="10"/>
      <c r="O98" s="11"/>
      <c r="P98" s="7" t="str">
        <f t="array" aca="1" ref="P98" ca="1">IFERROR(
    INDEX(データ集約!A:GI, MATCH(D5, データ集約!C:C, 0), MATCH("排泄｜特記事項", データ集約!1:1, 0)),
    ""
)</f>
        <v/>
      </c>
      <c r="Q98" s="8"/>
      <c r="R98" s="8"/>
      <c r="S98" s="8"/>
      <c r="T98" s="8"/>
      <c r="U98" s="8"/>
      <c r="V98" s="8"/>
      <c r="W98" s="8"/>
      <c r="X98" s="8"/>
      <c r="Y98" s="8"/>
      <c r="Z98" s="8"/>
      <c r="AA98" s="9"/>
      <c r="AB98" s="7"/>
      <c r="AC98" s="8"/>
      <c r="AD98" s="8"/>
      <c r="AE98" s="8"/>
      <c r="AF98" s="8"/>
      <c r="AG98" s="8"/>
      <c r="AH98" s="8"/>
      <c r="AI98" s="8"/>
      <c r="AJ98" s="8"/>
      <c r="AK98" s="9"/>
    </row>
    <row r="99" spans="1:37" ht="14.25" customHeight="1">
      <c r="A99" s="28"/>
      <c r="B99" s="9"/>
      <c r="C99" s="61" t="s">
        <v>121</v>
      </c>
      <c r="D99" s="9"/>
      <c r="E99" s="34" t="s">
        <v>122</v>
      </c>
      <c r="F99" s="10"/>
      <c r="G99" s="10"/>
      <c r="H99" s="11"/>
      <c r="I99" s="53" t="str">
        <f t="array" aca="1" ref="I99" ca="1">IFERROR(
    INDEX(データ集約!A:ZZ, MATCH(D5, データ集約!C:C, 0), MATCH("尿意", データ集約!1:1, 0)),
    ""
)</f>
        <v/>
      </c>
      <c r="J99" s="10"/>
      <c r="K99" s="10"/>
      <c r="L99" s="10"/>
      <c r="M99" s="10"/>
      <c r="N99" s="10"/>
      <c r="O99" s="11"/>
      <c r="P99" s="8"/>
      <c r="Q99" s="8"/>
      <c r="R99" s="8"/>
      <c r="S99" s="8"/>
      <c r="T99" s="8"/>
      <c r="U99" s="8"/>
      <c r="V99" s="8"/>
      <c r="W99" s="8"/>
      <c r="X99" s="8"/>
      <c r="Y99" s="8"/>
      <c r="Z99" s="8"/>
      <c r="AA99" s="9"/>
      <c r="AB99" s="8"/>
      <c r="AC99" s="8"/>
      <c r="AD99" s="8"/>
      <c r="AE99" s="8"/>
      <c r="AF99" s="8"/>
      <c r="AG99" s="8"/>
      <c r="AH99" s="8"/>
      <c r="AI99" s="8"/>
      <c r="AJ99" s="8"/>
      <c r="AK99" s="9"/>
    </row>
    <row r="100" spans="1:37" ht="14.25" customHeight="1">
      <c r="A100" s="28"/>
      <c r="B100" s="9"/>
      <c r="C100" s="10"/>
      <c r="D100" s="11"/>
      <c r="E100" s="34" t="s">
        <v>123</v>
      </c>
      <c r="F100" s="10"/>
      <c r="G100" s="10"/>
      <c r="H100" s="11"/>
      <c r="I100" s="53" t="str">
        <f t="array" aca="1" ref="I100" ca="1">IFERROR(
    INDEX(データ集約!A:ZZ, MATCH(D5, データ集約!C:C, 0), MATCH("尿失禁", データ集約!1:1, 0)),
    ""
)</f>
        <v/>
      </c>
      <c r="J100" s="10"/>
      <c r="K100" s="10"/>
      <c r="L100" s="10"/>
      <c r="M100" s="10"/>
      <c r="N100" s="10"/>
      <c r="O100" s="11"/>
      <c r="P100" s="8"/>
      <c r="Q100" s="8"/>
      <c r="R100" s="8"/>
      <c r="S100" s="8"/>
      <c r="T100" s="8"/>
      <c r="U100" s="8"/>
      <c r="V100" s="8"/>
      <c r="W100" s="8"/>
      <c r="X100" s="8"/>
      <c r="Y100" s="8"/>
      <c r="Z100" s="8"/>
      <c r="AA100" s="9"/>
      <c r="AB100" s="8"/>
      <c r="AC100" s="8"/>
      <c r="AD100" s="8"/>
      <c r="AE100" s="8"/>
      <c r="AF100" s="8"/>
      <c r="AG100" s="8"/>
      <c r="AH100" s="8"/>
      <c r="AI100" s="8"/>
      <c r="AJ100" s="8"/>
      <c r="AK100" s="9"/>
    </row>
    <row r="101" spans="1:37" ht="14.25" customHeight="1">
      <c r="A101" s="28"/>
      <c r="B101" s="9"/>
      <c r="C101" s="61" t="s">
        <v>124</v>
      </c>
      <c r="D101" s="9"/>
      <c r="E101" s="34" t="s">
        <v>125</v>
      </c>
      <c r="F101" s="10"/>
      <c r="G101" s="10"/>
      <c r="H101" s="11"/>
      <c r="I101" s="53" t="str">
        <f t="array" aca="1" ref="I101" ca="1">IFERROR(
    INDEX(データ集約!A:ZZ, MATCH(D5, データ集約!C:C, 0), MATCH("便意", データ集約!1:1, 0)),
    ""
)</f>
        <v/>
      </c>
      <c r="J101" s="10"/>
      <c r="K101" s="10"/>
      <c r="L101" s="10"/>
      <c r="M101" s="10"/>
      <c r="N101" s="10"/>
      <c r="O101" s="11"/>
      <c r="P101" s="8"/>
      <c r="Q101" s="8"/>
      <c r="R101" s="8"/>
      <c r="S101" s="8"/>
      <c r="T101" s="8"/>
      <c r="U101" s="8"/>
      <c r="V101" s="8"/>
      <c r="W101" s="8"/>
      <c r="X101" s="8"/>
      <c r="Y101" s="8"/>
      <c r="Z101" s="8"/>
      <c r="AA101" s="9"/>
      <c r="AB101" s="8"/>
      <c r="AC101" s="8"/>
      <c r="AD101" s="8"/>
      <c r="AE101" s="8"/>
      <c r="AF101" s="8"/>
      <c r="AG101" s="8"/>
      <c r="AH101" s="8"/>
      <c r="AI101" s="8"/>
      <c r="AJ101" s="8"/>
      <c r="AK101" s="9"/>
    </row>
    <row r="102" spans="1:37" ht="14.25" customHeight="1">
      <c r="A102" s="28"/>
      <c r="B102" s="9"/>
      <c r="C102" s="10"/>
      <c r="D102" s="11"/>
      <c r="E102" s="34" t="s">
        <v>123</v>
      </c>
      <c r="F102" s="10"/>
      <c r="G102" s="10"/>
      <c r="H102" s="11"/>
      <c r="I102" s="53" t="str">
        <f t="array" aca="1" ref="I102" ca="1">IFERROR(
    INDEX(データ集約!A:ZZ, MATCH(D5, データ集約!C:C, 0), MATCH("便失禁", データ集約!1:1, 0)),
    ""
)</f>
        <v/>
      </c>
      <c r="J102" s="10"/>
      <c r="K102" s="10"/>
      <c r="L102" s="10"/>
      <c r="M102" s="10"/>
      <c r="N102" s="10"/>
      <c r="O102" s="11"/>
      <c r="P102" s="8"/>
      <c r="Q102" s="8"/>
      <c r="R102" s="8"/>
      <c r="S102" s="8"/>
      <c r="T102" s="8"/>
      <c r="U102" s="8"/>
      <c r="V102" s="8"/>
      <c r="W102" s="8"/>
      <c r="X102" s="8"/>
      <c r="Y102" s="8"/>
      <c r="Z102" s="8"/>
      <c r="AA102" s="9"/>
      <c r="AB102" s="8"/>
      <c r="AC102" s="8"/>
      <c r="AD102" s="8"/>
      <c r="AE102" s="8"/>
      <c r="AF102" s="8"/>
      <c r="AG102" s="8"/>
      <c r="AH102" s="8"/>
      <c r="AI102" s="8"/>
      <c r="AJ102" s="8"/>
      <c r="AK102" s="9"/>
    </row>
    <row r="103" spans="1:37" ht="14.25" customHeight="1">
      <c r="A103" s="28"/>
      <c r="B103" s="9"/>
      <c r="C103" s="61" t="s">
        <v>112</v>
      </c>
      <c r="D103" s="9"/>
      <c r="E103" s="34" t="s">
        <v>126</v>
      </c>
      <c r="F103" s="10"/>
      <c r="G103" s="10"/>
      <c r="H103" s="11"/>
      <c r="I103" s="53" t="str">
        <f t="array" aca="1" ref="I103" ca="1">IFERROR(
    INDEX(データ集約!A:ZZ, MATCH(D5, データ集約!C:C, 0), MATCH("場所｜日中", データ集約!1:1, 0)),
    ""
)</f>
        <v/>
      </c>
      <c r="J103" s="10"/>
      <c r="K103" s="10"/>
      <c r="L103" s="10"/>
      <c r="M103" s="10"/>
      <c r="N103" s="10"/>
      <c r="O103" s="11"/>
      <c r="P103" s="8"/>
      <c r="Q103" s="8"/>
      <c r="R103" s="8"/>
      <c r="S103" s="8"/>
      <c r="T103" s="8"/>
      <c r="U103" s="8"/>
      <c r="V103" s="8"/>
      <c r="W103" s="8"/>
      <c r="X103" s="8"/>
      <c r="Y103" s="8"/>
      <c r="Z103" s="8"/>
      <c r="AA103" s="9"/>
      <c r="AB103" s="8"/>
      <c r="AC103" s="8"/>
      <c r="AD103" s="8"/>
      <c r="AE103" s="8"/>
      <c r="AF103" s="8"/>
      <c r="AG103" s="8"/>
      <c r="AH103" s="8"/>
      <c r="AI103" s="8"/>
      <c r="AJ103" s="8"/>
      <c r="AK103" s="9"/>
    </row>
    <row r="104" spans="1:37" ht="14.25" customHeight="1">
      <c r="A104" s="28"/>
      <c r="B104" s="9"/>
      <c r="C104" s="10"/>
      <c r="D104" s="11"/>
      <c r="E104" s="34" t="s">
        <v>127</v>
      </c>
      <c r="F104" s="10"/>
      <c r="G104" s="10"/>
      <c r="H104" s="11"/>
      <c r="I104" s="53" t="str">
        <f t="array" aca="1" ref="I104" ca="1">IFERROR(
    INDEX(データ集約!A:ZZ, MATCH(D5, データ集約!C:C, 0), MATCH("場所｜夜間", データ集約!1:1, 0)),
    ""
)</f>
        <v/>
      </c>
      <c r="J104" s="10"/>
      <c r="K104" s="10"/>
      <c r="L104" s="10"/>
      <c r="M104" s="10"/>
      <c r="N104" s="10"/>
      <c r="O104" s="11"/>
      <c r="P104" s="8"/>
      <c r="Q104" s="8"/>
      <c r="R104" s="8"/>
      <c r="S104" s="8"/>
      <c r="T104" s="8"/>
      <c r="U104" s="8"/>
      <c r="V104" s="8"/>
      <c r="W104" s="8"/>
      <c r="X104" s="8"/>
      <c r="Y104" s="8"/>
      <c r="Z104" s="8"/>
      <c r="AA104" s="9"/>
      <c r="AB104" s="8"/>
      <c r="AC104" s="8"/>
      <c r="AD104" s="8"/>
      <c r="AE104" s="8"/>
      <c r="AF104" s="8"/>
      <c r="AG104" s="8"/>
      <c r="AH104" s="8"/>
      <c r="AI104" s="8"/>
      <c r="AJ104" s="8"/>
      <c r="AK104" s="9"/>
    </row>
    <row r="105" spans="1:37" ht="14.25" customHeight="1">
      <c r="A105" s="29"/>
      <c r="B105" s="11"/>
      <c r="C105" s="34" t="s">
        <v>128</v>
      </c>
      <c r="D105" s="10"/>
      <c r="E105" s="10"/>
      <c r="F105" s="10"/>
      <c r="G105" s="10"/>
      <c r="H105" s="11"/>
      <c r="I105" s="60" t="str">
        <f t="array" aca="1" ref="I105" ca="1">IFERROR(
    INDEX(データ集約!A:ZZ, MATCH(D5, データ集約!C:C, 0), MATCH("排泄用品", データ集約!1:1, 0)),
    ""
)</f>
        <v/>
      </c>
      <c r="J105" s="10"/>
      <c r="K105" s="10"/>
      <c r="L105" s="10"/>
      <c r="M105" s="10"/>
      <c r="N105" s="10"/>
      <c r="O105" s="11"/>
      <c r="P105" s="10"/>
      <c r="Q105" s="10"/>
      <c r="R105" s="10"/>
      <c r="S105" s="10"/>
      <c r="T105" s="10"/>
      <c r="U105" s="10"/>
      <c r="V105" s="10"/>
      <c r="W105" s="10"/>
      <c r="X105" s="10"/>
      <c r="Y105" s="10"/>
      <c r="Z105" s="10"/>
      <c r="AA105" s="11"/>
      <c r="AB105" s="10"/>
      <c r="AC105" s="10"/>
      <c r="AD105" s="10"/>
      <c r="AE105" s="10"/>
      <c r="AF105" s="10"/>
      <c r="AG105" s="10"/>
      <c r="AH105" s="10"/>
      <c r="AI105" s="10"/>
      <c r="AJ105" s="10"/>
      <c r="AK105" s="11"/>
    </row>
    <row r="106" spans="1:37" ht="14.25" customHeight="1">
      <c r="A106" s="30" t="s">
        <v>129</v>
      </c>
      <c r="B106" s="34" t="s">
        <v>130</v>
      </c>
      <c r="C106" s="10"/>
      <c r="D106" s="10"/>
      <c r="E106" s="11"/>
      <c r="F106" s="53" t="str">
        <f t="array" aca="1" ref="F106" ca="1">IFERROR(
    INDEX(データ集約!A:GI, MATCH(D5, データ集約!C:C, 0), MATCH("調理", データ集約!1:1, 0)),
    ""
)</f>
        <v/>
      </c>
      <c r="G106" s="10"/>
      <c r="H106" s="11"/>
      <c r="I106" s="34" t="s">
        <v>131</v>
      </c>
      <c r="J106" s="10"/>
      <c r="K106" s="10"/>
      <c r="L106" s="11"/>
      <c r="M106" s="53" t="str">
        <f t="array" aca="1" ref="M106" ca="1">IFERROR(
    INDEX(データ集約!A:ZZ, MATCH(D5, データ集約!C:C, 0), MATCH("掃除", データ集約!1:1, 0)),
    ""
)</f>
        <v/>
      </c>
      <c r="N106" s="10"/>
      <c r="O106" s="11"/>
      <c r="P106" s="7" t="str">
        <f t="array" aca="1" ref="P106" ca="1">IFERROR(
    INDEX(データ集約!A:ZZ, MATCH(D5, データ集約!C:C, 0), MATCH("IADL｜特記事項", データ集約!1:1, 0)),
    ""
)</f>
        <v/>
      </c>
      <c r="Q106" s="8"/>
      <c r="R106" s="8"/>
      <c r="S106" s="8"/>
      <c r="T106" s="8"/>
      <c r="U106" s="8"/>
      <c r="V106" s="8"/>
      <c r="W106" s="8"/>
      <c r="X106" s="8"/>
      <c r="Y106" s="8"/>
      <c r="Z106" s="8"/>
      <c r="AA106" s="9"/>
      <c r="AB106" s="7"/>
      <c r="AC106" s="8"/>
      <c r="AD106" s="8"/>
      <c r="AE106" s="8"/>
      <c r="AF106" s="8"/>
      <c r="AG106" s="8"/>
      <c r="AH106" s="8"/>
      <c r="AI106" s="8"/>
      <c r="AJ106" s="8"/>
      <c r="AK106" s="9"/>
    </row>
    <row r="107" spans="1:37" ht="14.25" customHeight="1">
      <c r="A107" s="28"/>
      <c r="B107" s="34" t="s">
        <v>132</v>
      </c>
      <c r="C107" s="10"/>
      <c r="D107" s="10"/>
      <c r="E107" s="11"/>
      <c r="F107" s="53" t="str">
        <f t="array" aca="1" ref="F107" ca="1">IFERROR(
    INDEX(データ集約!A:ZZ, MATCH(D5, データ集約!C:C, 0), MATCH("洗濯", データ集約!1:1, 0)),
    ""
)</f>
        <v/>
      </c>
      <c r="G107" s="10"/>
      <c r="H107" s="11"/>
      <c r="I107" s="34" t="s">
        <v>133</v>
      </c>
      <c r="J107" s="10"/>
      <c r="K107" s="10"/>
      <c r="L107" s="11"/>
      <c r="M107" s="53" t="str">
        <f t="array" aca="1" ref="M107" ca="1">IFERROR(
    INDEX(データ集約!A:ZZ, MATCH(D5, データ集約!C:C, 0), MATCH("買い物", データ集約!1:1, 0)),
    ""
)</f>
        <v/>
      </c>
      <c r="N107" s="10"/>
      <c r="O107" s="11"/>
      <c r="P107" s="8"/>
      <c r="Q107" s="8"/>
      <c r="R107" s="8"/>
      <c r="S107" s="8"/>
      <c r="T107" s="8"/>
      <c r="U107" s="8"/>
      <c r="V107" s="8"/>
      <c r="W107" s="8"/>
      <c r="X107" s="8"/>
      <c r="Y107" s="8"/>
      <c r="Z107" s="8"/>
      <c r="AA107" s="9"/>
      <c r="AB107" s="8"/>
      <c r="AC107" s="8"/>
      <c r="AD107" s="8"/>
      <c r="AE107" s="8"/>
      <c r="AF107" s="8"/>
      <c r="AG107" s="8"/>
      <c r="AH107" s="8"/>
      <c r="AI107" s="8"/>
      <c r="AJ107" s="8"/>
      <c r="AK107" s="9"/>
    </row>
    <row r="108" spans="1:37" ht="14.25" customHeight="1">
      <c r="A108" s="29"/>
      <c r="B108" s="34" t="s">
        <v>134</v>
      </c>
      <c r="C108" s="10"/>
      <c r="D108" s="10"/>
      <c r="E108" s="11"/>
      <c r="F108" s="53" t="str">
        <f t="array" aca="1" ref="F108" ca="1">IFERROR(
    INDEX(データ集約!A:ZZ, MATCH(D5, データ集約!C:C, 0), MATCH("金銭管理", データ集約!1:1, 0)),
    ""
)</f>
        <v/>
      </c>
      <c r="G108" s="10"/>
      <c r="H108" s="11"/>
      <c r="I108" s="53"/>
      <c r="J108" s="10"/>
      <c r="K108" s="10"/>
      <c r="L108" s="10"/>
      <c r="M108" s="10"/>
      <c r="N108" s="10"/>
      <c r="O108" s="11"/>
      <c r="P108" s="10"/>
      <c r="Q108" s="10"/>
      <c r="R108" s="10"/>
      <c r="S108" s="10"/>
      <c r="T108" s="10"/>
      <c r="U108" s="10"/>
      <c r="V108" s="10"/>
      <c r="W108" s="10"/>
      <c r="X108" s="10"/>
      <c r="Y108" s="10"/>
      <c r="Z108" s="10"/>
      <c r="AA108" s="11"/>
      <c r="AB108" s="10"/>
      <c r="AC108" s="10"/>
      <c r="AD108" s="10"/>
      <c r="AE108" s="10"/>
      <c r="AF108" s="10"/>
      <c r="AG108" s="10"/>
      <c r="AH108" s="10"/>
      <c r="AI108" s="10"/>
      <c r="AJ108" s="10"/>
      <c r="AK108" s="11"/>
    </row>
    <row r="109" spans="1:37" ht="14.25" customHeight="1">
      <c r="A109" s="27" t="s">
        <v>135</v>
      </c>
      <c r="B109" s="34" t="s">
        <v>136</v>
      </c>
      <c r="C109" s="10"/>
      <c r="D109" s="10"/>
      <c r="E109" s="10"/>
      <c r="F109" s="10"/>
      <c r="G109" s="10"/>
      <c r="H109" s="11"/>
      <c r="I109" s="53" t="str">
        <f t="array" aca="1" ref="I109" ca="1">IFERROR(
    INDEX(データ集約!A:ZZ, MATCH(D5, データ集約!C:C, 0), MATCH("認知症の有無", データ集約!1:1, 0)),
    ""
)</f>
        <v/>
      </c>
      <c r="J109" s="10"/>
      <c r="K109" s="10"/>
      <c r="L109" s="53" t="str">
        <f t="array" aca="1" ref="L109" ca="1">IFERROR(
    INDEX(データ集約!A:ZZ, MATCH(D5, データ集約!C:C, 0), MATCH("認知症の程度", データ集約!1:1, 0)),
    ""
)</f>
        <v/>
      </c>
      <c r="M109" s="10"/>
      <c r="N109" s="10"/>
      <c r="O109" s="11"/>
      <c r="P109" s="7" t="str">
        <f t="array" aca="1" ref="P109" ca="1">IFERROR(
    INDEX(データ集約!A:ZZ, MATCH(D5, データ集約!C:C, 0), MATCH("認知機能｜特記事項", データ集約!1:1, 0)),
    ""
)</f>
        <v/>
      </c>
      <c r="Q109" s="8"/>
      <c r="R109" s="8"/>
      <c r="S109" s="8"/>
      <c r="T109" s="8"/>
      <c r="U109" s="8"/>
      <c r="V109" s="8"/>
      <c r="W109" s="8"/>
      <c r="X109" s="8"/>
      <c r="Y109" s="8"/>
      <c r="Z109" s="8"/>
      <c r="AA109" s="9"/>
      <c r="AB109" s="7"/>
      <c r="AC109" s="8"/>
      <c r="AD109" s="8"/>
      <c r="AE109" s="8"/>
      <c r="AF109" s="8"/>
      <c r="AG109" s="8"/>
      <c r="AH109" s="8"/>
      <c r="AI109" s="8"/>
      <c r="AJ109" s="8"/>
      <c r="AK109" s="9"/>
    </row>
    <row r="110" spans="1:37" ht="14.25" customHeight="1">
      <c r="A110" s="28"/>
      <c r="B110" s="32" t="s">
        <v>137</v>
      </c>
      <c r="C110" s="9"/>
      <c r="D110" s="7" t="str">
        <f t="array" aca="1" ref="D110" ca="1">IFERROR(
    INDEX(データ集約!A:ZZ, MATCH(D5, データ集約!C:C, 0), MATCH("BPSD", データ集約!1:1, 0)),
    ""
)</f>
        <v/>
      </c>
      <c r="E110" s="8"/>
      <c r="F110" s="8"/>
      <c r="G110" s="8"/>
      <c r="H110" s="8"/>
      <c r="I110" s="8"/>
      <c r="J110" s="8"/>
      <c r="K110" s="8"/>
      <c r="L110" s="8"/>
      <c r="M110" s="8"/>
      <c r="N110" s="8"/>
      <c r="O110" s="9"/>
      <c r="P110" s="8"/>
      <c r="Q110" s="8"/>
      <c r="R110" s="8"/>
      <c r="S110" s="8"/>
      <c r="T110" s="8"/>
      <c r="U110" s="8"/>
      <c r="V110" s="8"/>
      <c r="W110" s="8"/>
      <c r="X110" s="8"/>
      <c r="Y110" s="8"/>
      <c r="Z110" s="8"/>
      <c r="AA110" s="9"/>
      <c r="AB110" s="8"/>
      <c r="AC110" s="8"/>
      <c r="AD110" s="8"/>
      <c r="AE110" s="8"/>
      <c r="AF110" s="8"/>
      <c r="AG110" s="8"/>
      <c r="AH110" s="8"/>
      <c r="AI110" s="8"/>
      <c r="AJ110" s="8"/>
      <c r="AK110" s="9"/>
    </row>
    <row r="111" spans="1:37" ht="14.25" customHeight="1">
      <c r="A111" s="28"/>
      <c r="B111" s="10"/>
      <c r="C111" s="11"/>
      <c r="D111" s="10"/>
      <c r="E111" s="10"/>
      <c r="F111" s="10"/>
      <c r="G111" s="10"/>
      <c r="H111" s="10"/>
      <c r="I111" s="10"/>
      <c r="J111" s="10"/>
      <c r="K111" s="10"/>
      <c r="L111" s="10"/>
      <c r="M111" s="10"/>
      <c r="N111" s="10"/>
      <c r="O111" s="11"/>
      <c r="P111" s="8"/>
      <c r="Q111" s="8"/>
      <c r="R111" s="8"/>
      <c r="S111" s="8"/>
      <c r="T111" s="8"/>
      <c r="U111" s="8"/>
      <c r="V111" s="8"/>
      <c r="W111" s="8"/>
      <c r="X111" s="8"/>
      <c r="Y111" s="8"/>
      <c r="Z111" s="8"/>
      <c r="AA111" s="9"/>
      <c r="AB111" s="8"/>
      <c r="AC111" s="8"/>
      <c r="AD111" s="8"/>
      <c r="AE111" s="8"/>
      <c r="AF111" s="8"/>
      <c r="AG111" s="8"/>
      <c r="AH111" s="8"/>
      <c r="AI111" s="8"/>
      <c r="AJ111" s="8"/>
      <c r="AK111" s="9"/>
    </row>
    <row r="112" spans="1:37" ht="14.25" customHeight="1">
      <c r="A112" s="28"/>
      <c r="B112" s="34" t="s">
        <v>138</v>
      </c>
      <c r="C112" s="10"/>
      <c r="D112" s="10"/>
      <c r="E112" s="10"/>
      <c r="F112" s="10"/>
      <c r="G112" s="10"/>
      <c r="H112" s="11"/>
      <c r="I112" s="53" t="str">
        <f t="array" aca="1" ref="I112" ca="1">IFERROR(
    INDEX(データ集約!A:ZZ, MATCH(D5, データ集約!C:C, 0), MATCH("会話", データ集約!1:1, 0)),
    ""
)</f>
        <v/>
      </c>
      <c r="J112" s="10"/>
      <c r="K112" s="10"/>
      <c r="L112" s="10"/>
      <c r="M112" s="10"/>
      <c r="N112" s="10"/>
      <c r="O112" s="11"/>
      <c r="P112" s="8"/>
      <c r="Q112" s="8"/>
      <c r="R112" s="8"/>
      <c r="S112" s="8"/>
      <c r="T112" s="8"/>
      <c r="U112" s="8"/>
      <c r="V112" s="8"/>
      <c r="W112" s="8"/>
      <c r="X112" s="8"/>
      <c r="Y112" s="8"/>
      <c r="Z112" s="8"/>
      <c r="AA112" s="9"/>
      <c r="AB112" s="8"/>
      <c r="AC112" s="8"/>
      <c r="AD112" s="8"/>
      <c r="AE112" s="8"/>
      <c r="AF112" s="8"/>
      <c r="AG112" s="8"/>
      <c r="AH112" s="8"/>
      <c r="AI112" s="8"/>
      <c r="AJ112" s="8"/>
      <c r="AK112" s="9"/>
    </row>
    <row r="113" spans="1:37" ht="14.25" customHeight="1">
      <c r="A113" s="29"/>
      <c r="B113" s="34" t="s">
        <v>139</v>
      </c>
      <c r="C113" s="10"/>
      <c r="D113" s="10"/>
      <c r="E113" s="10"/>
      <c r="F113" s="10"/>
      <c r="G113" s="10"/>
      <c r="H113" s="11"/>
      <c r="I113" s="53" t="str">
        <f t="array" aca="1" ref="I113" ca="1">IFERROR(
    INDEX(データ集約!A:ZZ, MATCH(D5, データ集約!C:C, 0), MATCH("意思疎通", データ集約!1:1, 0)),
    ""
)</f>
        <v/>
      </c>
      <c r="J113" s="10"/>
      <c r="K113" s="10"/>
      <c r="L113" s="10"/>
      <c r="M113" s="10"/>
      <c r="N113" s="10"/>
      <c r="O113" s="11"/>
      <c r="P113" s="10"/>
      <c r="Q113" s="10"/>
      <c r="R113" s="10"/>
      <c r="S113" s="10"/>
      <c r="T113" s="10"/>
      <c r="U113" s="10"/>
      <c r="V113" s="10"/>
      <c r="W113" s="10"/>
      <c r="X113" s="10"/>
      <c r="Y113" s="10"/>
      <c r="Z113" s="10"/>
      <c r="AA113" s="11"/>
      <c r="AB113" s="10"/>
      <c r="AC113" s="10"/>
      <c r="AD113" s="10"/>
      <c r="AE113" s="10"/>
      <c r="AF113" s="10"/>
      <c r="AG113" s="10"/>
      <c r="AH113" s="10"/>
      <c r="AI113" s="10"/>
      <c r="AJ113" s="10"/>
      <c r="AK113" s="11"/>
    </row>
  </sheetData>
  <mergeCells count="319">
    <mergeCell ref="B62:H62"/>
    <mergeCell ref="B63:H63"/>
    <mergeCell ref="B64:H64"/>
    <mergeCell ref="I65:M65"/>
    <mergeCell ref="I66:M66"/>
    <mergeCell ref="I64:O64"/>
    <mergeCell ref="N65:O65"/>
    <mergeCell ref="N66:O66"/>
    <mergeCell ref="S45:AK46"/>
    <mergeCell ref="A47:AK47"/>
    <mergeCell ref="A48:AK52"/>
    <mergeCell ref="A53:AK53"/>
    <mergeCell ref="A54:AK56"/>
    <mergeCell ref="A57:AK57"/>
    <mergeCell ref="A58:AA59"/>
    <mergeCell ref="AB58:AK59"/>
    <mergeCell ref="I60:O60"/>
    <mergeCell ref="B60:H60"/>
    <mergeCell ref="P71:AA80"/>
    <mergeCell ref="AB71:AK80"/>
    <mergeCell ref="I72:O72"/>
    <mergeCell ref="I73:O73"/>
    <mergeCell ref="I74:O74"/>
    <mergeCell ref="I87:O87"/>
    <mergeCell ref="R34:U36"/>
    <mergeCell ref="N35:Q36"/>
    <mergeCell ref="I37:Q38"/>
    <mergeCell ref="R37:U38"/>
    <mergeCell ref="V37:AK38"/>
    <mergeCell ref="V39:AK40"/>
    <mergeCell ref="V41:AK41"/>
    <mergeCell ref="V42:AK43"/>
    <mergeCell ref="S44:AK44"/>
    <mergeCell ref="V34:AK36"/>
    <mergeCell ref="N33:Q34"/>
    <mergeCell ref="B35:M36"/>
    <mergeCell ref="F37:H38"/>
    <mergeCell ref="R39:U40"/>
    <mergeCell ref="R41:U41"/>
    <mergeCell ref="R42:U43"/>
    <mergeCell ref="P60:AA70"/>
    <mergeCell ref="AB60:AK70"/>
    <mergeCell ref="P81:AA88"/>
    <mergeCell ref="AB81:AK88"/>
    <mergeCell ref="C82:H82"/>
    <mergeCell ref="I82:O82"/>
    <mergeCell ref="C84:D86"/>
    <mergeCell ref="E84:H84"/>
    <mergeCell ref="E85:H85"/>
    <mergeCell ref="E86:H86"/>
    <mergeCell ref="I84:O84"/>
    <mergeCell ref="I85:O85"/>
    <mergeCell ref="I86:O86"/>
    <mergeCell ref="C87:H87"/>
    <mergeCell ref="I104:O104"/>
    <mergeCell ref="I105:O105"/>
    <mergeCell ref="C67:H67"/>
    <mergeCell ref="I67:O67"/>
    <mergeCell ref="I68:O68"/>
    <mergeCell ref="I69:O69"/>
    <mergeCell ref="I75:O75"/>
    <mergeCell ref="I76:O76"/>
    <mergeCell ref="I77:O77"/>
    <mergeCell ref="I78:O78"/>
    <mergeCell ref="C83:H83"/>
    <mergeCell ref="I83:O83"/>
    <mergeCell ref="B79:H79"/>
    <mergeCell ref="B80:H80"/>
    <mergeCell ref="C88:H88"/>
    <mergeCell ref="I88:O88"/>
    <mergeCell ref="I79:O79"/>
    <mergeCell ref="I80:O80"/>
    <mergeCell ref="I81:O81"/>
    <mergeCell ref="I71:O71"/>
    <mergeCell ref="C68:H68"/>
    <mergeCell ref="C69:H69"/>
    <mergeCell ref="B69:B70"/>
    <mergeCell ref="C70:H70"/>
    <mergeCell ref="C105:H105"/>
    <mergeCell ref="C89:H89"/>
    <mergeCell ref="P89:AA92"/>
    <mergeCell ref="AB89:AK92"/>
    <mergeCell ref="I90:O90"/>
    <mergeCell ref="C91:D92"/>
    <mergeCell ref="E92:H92"/>
    <mergeCell ref="I92:O92"/>
    <mergeCell ref="I93:O93"/>
    <mergeCell ref="P93:AA97"/>
    <mergeCell ref="AB93:AK97"/>
    <mergeCell ref="I94:O94"/>
    <mergeCell ref="I95:O95"/>
    <mergeCell ref="E103:H103"/>
    <mergeCell ref="I103:O103"/>
    <mergeCell ref="P98:AA105"/>
    <mergeCell ref="AB98:AK105"/>
    <mergeCell ref="E99:H99"/>
    <mergeCell ref="I99:O99"/>
    <mergeCell ref="I100:O100"/>
    <mergeCell ref="I101:O101"/>
    <mergeCell ref="I102:O102"/>
    <mergeCell ref="E100:H100"/>
    <mergeCell ref="E101:H101"/>
    <mergeCell ref="P106:AA108"/>
    <mergeCell ref="AB106:AK108"/>
    <mergeCell ref="I107:L107"/>
    <mergeCell ref="M107:O107"/>
    <mergeCell ref="I108:O108"/>
    <mergeCell ref="U3:AC3"/>
    <mergeCell ref="AD3:AF3"/>
    <mergeCell ref="A4:A8"/>
    <mergeCell ref="D4:Q4"/>
    <mergeCell ref="R4:W4"/>
    <mergeCell ref="X4:AC4"/>
    <mergeCell ref="AD4:AK4"/>
    <mergeCell ref="Z12:AE12"/>
    <mergeCell ref="AF12:AK12"/>
    <mergeCell ref="D5:O6"/>
    <mergeCell ref="P5:Q6"/>
    <mergeCell ref="J10:P11"/>
    <mergeCell ref="Q10:U11"/>
    <mergeCell ref="V10:AA11"/>
    <mergeCell ref="AB10:AB11"/>
    <mergeCell ref="M12:Q12"/>
    <mergeCell ref="S16:W17"/>
    <mergeCell ref="X16:Z17"/>
    <mergeCell ref="AA16:AC17"/>
    <mergeCell ref="AD16:AE17"/>
    <mergeCell ref="L15:R15"/>
    <mergeCell ref="S15:W15"/>
    <mergeCell ref="X15:Z15"/>
    <mergeCell ref="AA15:AC15"/>
    <mergeCell ref="AD15:AE15"/>
    <mergeCell ref="AF15:AK15"/>
    <mergeCell ref="L16:R17"/>
    <mergeCell ref="AF16:AK17"/>
    <mergeCell ref="A1:Y2"/>
    <mergeCell ref="AA1:AE1"/>
    <mergeCell ref="AF1:AK1"/>
    <mergeCell ref="Z2:AK2"/>
    <mergeCell ref="A3:F3"/>
    <mergeCell ref="G3:Q3"/>
    <mergeCell ref="R3:T3"/>
    <mergeCell ref="AG3:AK3"/>
    <mergeCell ref="R5:W6"/>
    <mergeCell ref="X5:AC6"/>
    <mergeCell ref="AD5:AI6"/>
    <mergeCell ref="AJ5:AK6"/>
    <mergeCell ref="B4:C4"/>
    <mergeCell ref="B5:C6"/>
    <mergeCell ref="B7:C8"/>
    <mergeCell ref="D7:Z8"/>
    <mergeCell ref="E9:I9"/>
    <mergeCell ref="J9:P9"/>
    <mergeCell ref="Q9:U9"/>
    <mergeCell ref="V9:AH9"/>
    <mergeCell ref="AI9:AK9"/>
    <mergeCell ref="AA7:AC8"/>
    <mergeCell ref="AD7:AK8"/>
    <mergeCell ref="B9:D11"/>
    <mergeCell ref="E10:I11"/>
    <mergeCell ref="AC10:AH11"/>
    <mergeCell ref="AI10:AK11"/>
    <mergeCell ref="R12:U12"/>
    <mergeCell ref="V12:Y12"/>
    <mergeCell ref="O13:Q14"/>
    <mergeCell ref="R13:U14"/>
    <mergeCell ref="V13:Y14"/>
    <mergeCell ref="Z13:AE14"/>
    <mergeCell ref="AF13:AK14"/>
    <mergeCell ref="AD21:AK21"/>
    <mergeCell ref="AE22:AK22"/>
    <mergeCell ref="L18:R19"/>
    <mergeCell ref="N20:Q20"/>
    <mergeCell ref="R20:Y20"/>
    <mergeCell ref="Z20:AC20"/>
    <mergeCell ref="AD20:AK20"/>
    <mergeCell ref="N21:Q21"/>
    <mergeCell ref="R21:S21"/>
    <mergeCell ref="T21:V21"/>
    <mergeCell ref="W21:Y21"/>
    <mergeCell ref="N22:Q22"/>
    <mergeCell ref="R22:U22"/>
    <mergeCell ref="V22:Y22"/>
    <mergeCell ref="Z22:AD22"/>
    <mergeCell ref="S18:W19"/>
    <mergeCell ref="X18:Z19"/>
    <mergeCell ref="AA18:AC19"/>
    <mergeCell ref="AD18:AE19"/>
    <mergeCell ref="AF18:AK19"/>
    <mergeCell ref="Z21:AC21"/>
    <mergeCell ref="R23:Y23"/>
    <mergeCell ref="Z23:AC23"/>
    <mergeCell ref="AD23:AK23"/>
    <mergeCell ref="R24:AK24"/>
    <mergeCell ref="R25:AK27"/>
    <mergeCell ref="AC28:AI29"/>
    <mergeCell ref="AJ28:AK29"/>
    <mergeCell ref="N31:Q32"/>
    <mergeCell ref="N24:Q24"/>
    <mergeCell ref="N25:Q26"/>
    <mergeCell ref="N27:Q28"/>
    <mergeCell ref="R28:U29"/>
    <mergeCell ref="N29:Q30"/>
    <mergeCell ref="R30:U31"/>
    <mergeCell ref="R32:U33"/>
    <mergeCell ref="AD33:AK33"/>
    <mergeCell ref="V28:AB29"/>
    <mergeCell ref="V30:AB31"/>
    <mergeCell ref="AC30:AI31"/>
    <mergeCell ref="AJ30:AK31"/>
    <mergeCell ref="V32:AC32"/>
    <mergeCell ref="AD32:AK32"/>
    <mergeCell ref="V33:AC33"/>
    <mergeCell ref="B12:L12"/>
    <mergeCell ref="B13:L14"/>
    <mergeCell ref="M13:N14"/>
    <mergeCell ref="B21:E21"/>
    <mergeCell ref="B22:E22"/>
    <mergeCell ref="B15:H15"/>
    <mergeCell ref="I15:K15"/>
    <mergeCell ref="A20:A23"/>
    <mergeCell ref="F20:M20"/>
    <mergeCell ref="F21:H21"/>
    <mergeCell ref="I21:M21"/>
    <mergeCell ref="F22:M22"/>
    <mergeCell ref="F23:M23"/>
    <mergeCell ref="N23:Q23"/>
    <mergeCell ref="A9:A14"/>
    <mergeCell ref="A15:A19"/>
    <mergeCell ref="B16:B17"/>
    <mergeCell ref="C16:G17"/>
    <mergeCell ref="H16:H17"/>
    <mergeCell ref="I16:K17"/>
    <mergeCell ref="B18:B19"/>
    <mergeCell ref="I18:K19"/>
    <mergeCell ref="C18:G19"/>
    <mergeCell ref="H18:H19"/>
    <mergeCell ref="B24:M24"/>
    <mergeCell ref="B25:M26"/>
    <mergeCell ref="B27:M28"/>
    <mergeCell ref="B29:M30"/>
    <mergeCell ref="B31:M32"/>
    <mergeCell ref="B33:M34"/>
    <mergeCell ref="B20:E20"/>
    <mergeCell ref="B23:E23"/>
    <mergeCell ref="A24:A38"/>
    <mergeCell ref="B37:E38"/>
    <mergeCell ref="A39:A43"/>
    <mergeCell ref="B39:E41"/>
    <mergeCell ref="B42:E43"/>
    <mergeCell ref="B75:H75"/>
    <mergeCell ref="B76:H76"/>
    <mergeCell ref="I89:O89"/>
    <mergeCell ref="I96:O96"/>
    <mergeCell ref="I97:O97"/>
    <mergeCell ref="I98:O98"/>
    <mergeCell ref="C94:H94"/>
    <mergeCell ref="C95:H95"/>
    <mergeCell ref="C96:H96"/>
    <mergeCell ref="C97:H97"/>
    <mergeCell ref="F39:Q41"/>
    <mergeCell ref="F42:Q43"/>
    <mergeCell ref="A44:R44"/>
    <mergeCell ref="A45:R46"/>
    <mergeCell ref="I61:O61"/>
    <mergeCell ref="I62:O62"/>
    <mergeCell ref="I63:O63"/>
    <mergeCell ref="I70:O70"/>
    <mergeCell ref="B65:H65"/>
    <mergeCell ref="B66:H66"/>
    <mergeCell ref="B61:H61"/>
    <mergeCell ref="C93:H93"/>
    <mergeCell ref="B109:H109"/>
    <mergeCell ref="B110:C111"/>
    <mergeCell ref="D110:O111"/>
    <mergeCell ref="B112:H112"/>
    <mergeCell ref="I112:O112"/>
    <mergeCell ref="B113:H113"/>
    <mergeCell ref="I113:O113"/>
    <mergeCell ref="C98:H98"/>
    <mergeCell ref="B106:E106"/>
    <mergeCell ref="F106:H106"/>
    <mergeCell ref="I106:L106"/>
    <mergeCell ref="M106:O106"/>
    <mergeCell ref="I109:K109"/>
    <mergeCell ref="L109:O109"/>
    <mergeCell ref="F107:H107"/>
    <mergeCell ref="F108:H108"/>
    <mergeCell ref="C101:D102"/>
    <mergeCell ref="E102:H102"/>
    <mergeCell ref="C99:D100"/>
    <mergeCell ref="C103:D104"/>
    <mergeCell ref="B107:E107"/>
    <mergeCell ref="B108:E108"/>
    <mergeCell ref="E104:H104"/>
    <mergeCell ref="P109:AA113"/>
    <mergeCell ref="AB109:AK113"/>
    <mergeCell ref="B77:H77"/>
    <mergeCell ref="B78:H78"/>
    <mergeCell ref="B67:B68"/>
    <mergeCell ref="B81:B88"/>
    <mergeCell ref="A81:A105"/>
    <mergeCell ref="B89:B92"/>
    <mergeCell ref="B93:B95"/>
    <mergeCell ref="B96:B97"/>
    <mergeCell ref="B98:B105"/>
    <mergeCell ref="A106:A108"/>
    <mergeCell ref="A109:A113"/>
    <mergeCell ref="A60:A70"/>
    <mergeCell ref="A71:A80"/>
    <mergeCell ref="B71:H71"/>
    <mergeCell ref="B72:H72"/>
    <mergeCell ref="B73:H73"/>
    <mergeCell ref="B74:H74"/>
    <mergeCell ref="C81:H81"/>
    <mergeCell ref="I91:K91"/>
    <mergeCell ref="L91:O91"/>
    <mergeCell ref="C90:H90"/>
    <mergeCell ref="E91:H91"/>
  </mergeCells>
  <phoneticPr fontId="16"/>
  <conditionalFormatting sqref="D5:O6">
    <cfRule type="containsBlanks" dxfId="0" priority="1">
      <formula>LEN(TRIM(D5))=0</formula>
    </cfRule>
  </conditionalFormatting>
  <dataValidations count="1">
    <dataValidation type="list" allowBlank="1" showDropDown="1" showErrorMessage="1" sqref="D5" xr:uid="{00000000-0002-0000-0400-000000000000}">
      <formula1>#REF!</formula1>
    </dataValidation>
  </dataValidations>
  <printOptions horizontalCentered="1" verticalCentered="1"/>
  <pageMargins left="0.27559055118110232" right="0.27559055118110232" top="0.27559055118110232" bottom="0.27559055118110232" header="0" footer="0"/>
  <pageSetup paperSize="9" orientation="portrait"/>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AK111"/>
  <sheetViews>
    <sheetView tabSelected="1" topLeftCell="A34" workbookViewId="0">
      <selection activeCell="AO46" sqref="AO46"/>
    </sheetView>
  </sheetViews>
  <sheetFormatPr defaultColWidth="12.5703125" defaultRowHeight="15.75" customHeight="1"/>
  <cols>
    <col min="1" max="1" width="2.85546875" style="6" customWidth="1"/>
    <col min="2" max="6" width="2.42578125" style="6" customWidth="1"/>
    <col min="7" max="7" width="2" style="6" customWidth="1"/>
    <col min="8" max="8" width="3" style="6" customWidth="1"/>
    <col min="9" max="30" width="2.42578125" style="6" customWidth="1"/>
    <col min="31" max="31" width="4" style="6" customWidth="1"/>
    <col min="32" max="37" width="2.42578125" style="6" customWidth="1"/>
    <col min="38" max="16384" width="12.5703125" style="6"/>
  </cols>
  <sheetData>
    <row r="1" spans="1:37" ht="14.25" customHeight="1">
      <c r="A1" s="243" t="s">
        <v>0</v>
      </c>
      <c r="B1" s="244"/>
      <c r="C1" s="244"/>
      <c r="D1" s="244"/>
      <c r="E1" s="244"/>
      <c r="F1" s="244"/>
      <c r="G1" s="244"/>
      <c r="H1" s="244"/>
      <c r="I1" s="244"/>
      <c r="J1" s="244"/>
      <c r="K1" s="244"/>
      <c r="L1" s="244"/>
      <c r="M1" s="244"/>
      <c r="N1" s="244"/>
      <c r="O1" s="244"/>
      <c r="P1" s="244"/>
      <c r="Q1" s="244"/>
      <c r="R1" s="244"/>
      <c r="S1" s="244"/>
      <c r="T1" s="244"/>
      <c r="U1" s="244"/>
      <c r="V1" s="244"/>
      <c r="W1" s="244"/>
      <c r="X1" s="244"/>
      <c r="Y1" s="244"/>
      <c r="AA1" s="246" t="s">
        <v>1</v>
      </c>
      <c r="AB1" s="247"/>
      <c r="AC1" s="247"/>
      <c r="AD1" s="247"/>
      <c r="AE1" s="247"/>
      <c r="AF1" s="248"/>
      <c r="AG1" s="174"/>
      <c r="AH1" s="174"/>
      <c r="AI1" s="174"/>
      <c r="AJ1" s="174"/>
      <c r="AK1" s="174"/>
    </row>
    <row r="2" spans="1:37" ht="14.25" customHeight="1">
      <c r="A2" s="245"/>
      <c r="B2" s="245"/>
      <c r="C2" s="245"/>
      <c r="D2" s="245"/>
      <c r="E2" s="245"/>
      <c r="F2" s="245"/>
      <c r="G2" s="245"/>
      <c r="H2" s="245"/>
      <c r="I2" s="245"/>
      <c r="J2" s="245"/>
      <c r="K2" s="245"/>
      <c r="L2" s="245"/>
      <c r="M2" s="245"/>
      <c r="N2" s="245"/>
      <c r="O2" s="245"/>
      <c r="P2" s="245"/>
      <c r="Q2" s="245"/>
      <c r="R2" s="245"/>
      <c r="S2" s="245"/>
      <c r="T2" s="245"/>
      <c r="U2" s="245"/>
      <c r="V2" s="245"/>
      <c r="W2" s="245"/>
      <c r="X2" s="245"/>
      <c r="Y2" s="245"/>
      <c r="Z2" s="249" t="s">
        <v>145</v>
      </c>
      <c r="AA2" s="250"/>
      <c r="AB2" s="250"/>
      <c r="AC2" s="250"/>
      <c r="AD2" s="251"/>
      <c r="AE2" s="251"/>
      <c r="AF2" s="251"/>
      <c r="AG2" s="251"/>
      <c r="AH2" s="251"/>
      <c r="AI2" s="251"/>
      <c r="AJ2" s="251"/>
      <c r="AK2" s="251"/>
    </row>
    <row r="3" spans="1:37" ht="14.25" customHeight="1">
      <c r="A3" s="100" t="s">
        <v>2</v>
      </c>
      <c r="B3" s="100"/>
      <c r="C3" s="100"/>
      <c r="D3" s="100"/>
      <c r="E3" s="100"/>
      <c r="F3" s="100"/>
      <c r="G3" s="252"/>
      <c r="H3" s="252"/>
      <c r="I3" s="252"/>
      <c r="J3" s="252"/>
      <c r="K3" s="252"/>
      <c r="L3" s="252"/>
      <c r="M3" s="252"/>
      <c r="N3" s="252"/>
      <c r="O3" s="252"/>
      <c r="P3" s="252"/>
      <c r="Q3" s="252"/>
      <c r="R3" s="119" t="s">
        <v>3</v>
      </c>
      <c r="S3" s="120"/>
      <c r="T3" s="120"/>
      <c r="U3" s="121"/>
      <c r="V3" s="122"/>
      <c r="W3" s="123"/>
      <c r="X3" s="123"/>
      <c r="Y3" s="123"/>
      <c r="Z3" s="123"/>
      <c r="AA3" s="123"/>
      <c r="AB3" s="123"/>
      <c r="AC3" s="124"/>
      <c r="AD3" s="256" t="s">
        <v>4</v>
      </c>
      <c r="AE3" s="129"/>
      <c r="AF3" s="130"/>
      <c r="AG3" s="144"/>
      <c r="AH3" s="145"/>
      <c r="AI3" s="145"/>
      <c r="AJ3" s="145"/>
      <c r="AK3" s="146"/>
    </row>
    <row r="4" spans="1:37" ht="14.25" customHeight="1">
      <c r="A4" s="137" t="s">
        <v>5</v>
      </c>
      <c r="B4" s="254" t="s">
        <v>6</v>
      </c>
      <c r="C4" s="130"/>
      <c r="D4" s="144"/>
      <c r="E4" s="145"/>
      <c r="F4" s="145"/>
      <c r="G4" s="145"/>
      <c r="H4" s="145"/>
      <c r="I4" s="145"/>
      <c r="J4" s="145"/>
      <c r="K4" s="145"/>
      <c r="L4" s="145"/>
      <c r="M4" s="145"/>
      <c r="N4" s="145"/>
      <c r="O4" s="145"/>
      <c r="P4" s="145"/>
      <c r="Q4" s="146"/>
      <c r="R4" s="233" t="s">
        <v>7</v>
      </c>
      <c r="S4" s="129"/>
      <c r="T4" s="129"/>
      <c r="U4" s="129"/>
      <c r="V4" s="129"/>
      <c r="W4" s="130"/>
      <c r="X4" s="233" t="s">
        <v>8</v>
      </c>
      <c r="Y4" s="129"/>
      <c r="Z4" s="129"/>
      <c r="AA4" s="129"/>
      <c r="AB4" s="129"/>
      <c r="AC4" s="130"/>
      <c r="AD4" s="233" t="s">
        <v>9</v>
      </c>
      <c r="AE4" s="129"/>
      <c r="AF4" s="129"/>
      <c r="AG4" s="129"/>
      <c r="AH4" s="129"/>
      <c r="AI4" s="129"/>
      <c r="AJ4" s="129"/>
      <c r="AK4" s="130"/>
    </row>
    <row r="5" spans="1:37" ht="14.25" customHeight="1">
      <c r="A5" s="229"/>
      <c r="B5" s="139" t="s">
        <v>10</v>
      </c>
      <c r="C5" s="133"/>
      <c r="D5" s="257"/>
      <c r="E5" s="258"/>
      <c r="F5" s="258"/>
      <c r="G5" s="258"/>
      <c r="H5" s="258"/>
      <c r="I5" s="258"/>
      <c r="J5" s="258"/>
      <c r="K5" s="258"/>
      <c r="L5" s="258"/>
      <c r="M5" s="258"/>
      <c r="N5" s="258"/>
      <c r="O5" s="258"/>
      <c r="P5" s="260" t="s">
        <v>12</v>
      </c>
      <c r="Q5" s="175"/>
      <c r="R5" s="173"/>
      <c r="S5" s="174"/>
      <c r="T5" s="174"/>
      <c r="U5" s="174"/>
      <c r="V5" s="174"/>
      <c r="W5" s="175"/>
      <c r="X5" s="253"/>
      <c r="Y5" s="174"/>
      <c r="Z5" s="174"/>
      <c r="AA5" s="174"/>
      <c r="AB5" s="174"/>
      <c r="AC5" s="175"/>
      <c r="AD5" s="173"/>
      <c r="AE5" s="174"/>
      <c r="AF5" s="174"/>
      <c r="AG5" s="174"/>
      <c r="AH5" s="174"/>
      <c r="AI5" s="175"/>
      <c r="AJ5" s="173" t="s">
        <v>13</v>
      </c>
      <c r="AK5" s="175"/>
    </row>
    <row r="6" spans="1:37" ht="14.25" customHeight="1">
      <c r="A6" s="229"/>
      <c r="B6" s="129"/>
      <c r="C6" s="130"/>
      <c r="D6" s="259"/>
      <c r="E6" s="259"/>
      <c r="F6" s="259"/>
      <c r="G6" s="259"/>
      <c r="H6" s="259"/>
      <c r="I6" s="259"/>
      <c r="J6" s="259"/>
      <c r="K6" s="259"/>
      <c r="L6" s="259"/>
      <c r="M6" s="259"/>
      <c r="N6" s="259"/>
      <c r="O6" s="259"/>
      <c r="P6" s="145"/>
      <c r="Q6" s="146"/>
      <c r="R6" s="145"/>
      <c r="S6" s="145"/>
      <c r="T6" s="145"/>
      <c r="U6" s="145"/>
      <c r="V6" s="145"/>
      <c r="W6" s="146"/>
      <c r="X6" s="145"/>
      <c r="Y6" s="145"/>
      <c r="Z6" s="145"/>
      <c r="AA6" s="145"/>
      <c r="AB6" s="145"/>
      <c r="AC6" s="146"/>
      <c r="AD6" s="145"/>
      <c r="AE6" s="145"/>
      <c r="AF6" s="145"/>
      <c r="AG6" s="145"/>
      <c r="AH6" s="145"/>
      <c r="AI6" s="146"/>
      <c r="AJ6" s="145"/>
      <c r="AK6" s="146"/>
    </row>
    <row r="7" spans="1:37" ht="14.25" customHeight="1">
      <c r="A7" s="229"/>
      <c r="B7" s="139" t="s">
        <v>14</v>
      </c>
      <c r="C7" s="133"/>
      <c r="D7" s="173"/>
      <c r="E7" s="174"/>
      <c r="F7" s="174"/>
      <c r="G7" s="174"/>
      <c r="H7" s="174"/>
      <c r="I7" s="174"/>
      <c r="J7" s="174"/>
      <c r="K7" s="174"/>
      <c r="L7" s="174"/>
      <c r="M7" s="174"/>
      <c r="N7" s="174"/>
      <c r="O7" s="174"/>
      <c r="P7" s="174"/>
      <c r="Q7" s="174"/>
      <c r="R7" s="174"/>
      <c r="S7" s="174"/>
      <c r="T7" s="174"/>
      <c r="U7" s="174"/>
      <c r="V7" s="174"/>
      <c r="W7" s="174"/>
      <c r="X7" s="174"/>
      <c r="Y7" s="174"/>
      <c r="Z7" s="175"/>
      <c r="AA7" s="238" t="s">
        <v>15</v>
      </c>
      <c r="AB7" s="169"/>
      <c r="AC7" s="133"/>
      <c r="AD7" s="173"/>
      <c r="AE7" s="174"/>
      <c r="AF7" s="174"/>
      <c r="AG7" s="174"/>
      <c r="AH7" s="174"/>
      <c r="AI7" s="174"/>
      <c r="AJ7" s="174"/>
      <c r="AK7" s="175"/>
    </row>
    <row r="8" spans="1:37" ht="14.25" customHeight="1">
      <c r="A8" s="230"/>
      <c r="B8" s="129"/>
      <c r="C8" s="130"/>
      <c r="D8" s="145"/>
      <c r="E8" s="145"/>
      <c r="F8" s="145"/>
      <c r="G8" s="145"/>
      <c r="H8" s="145"/>
      <c r="I8" s="145"/>
      <c r="J8" s="145"/>
      <c r="K8" s="145"/>
      <c r="L8" s="145"/>
      <c r="M8" s="145"/>
      <c r="N8" s="145"/>
      <c r="O8" s="145"/>
      <c r="P8" s="145"/>
      <c r="Q8" s="145"/>
      <c r="R8" s="145"/>
      <c r="S8" s="145"/>
      <c r="T8" s="145"/>
      <c r="U8" s="145"/>
      <c r="V8" s="145"/>
      <c r="W8" s="145"/>
      <c r="X8" s="145"/>
      <c r="Y8" s="145"/>
      <c r="Z8" s="146"/>
      <c r="AA8" s="129"/>
      <c r="AB8" s="129"/>
      <c r="AC8" s="130"/>
      <c r="AD8" s="145"/>
      <c r="AE8" s="145"/>
      <c r="AF8" s="145"/>
      <c r="AG8" s="145"/>
      <c r="AH8" s="145"/>
      <c r="AI8" s="145"/>
      <c r="AJ8" s="145"/>
      <c r="AK8" s="146"/>
    </row>
    <row r="9" spans="1:37" ht="14.25" customHeight="1">
      <c r="A9" s="137" t="s">
        <v>16</v>
      </c>
      <c r="B9" s="238" t="s">
        <v>17</v>
      </c>
      <c r="C9" s="239"/>
      <c r="D9" s="240"/>
      <c r="E9" s="233" t="s">
        <v>18</v>
      </c>
      <c r="F9" s="234"/>
      <c r="G9" s="234"/>
      <c r="H9" s="234"/>
      <c r="I9" s="235"/>
      <c r="J9" s="233" t="s">
        <v>19</v>
      </c>
      <c r="K9" s="234"/>
      <c r="L9" s="234"/>
      <c r="M9" s="234"/>
      <c r="N9" s="234"/>
      <c r="O9" s="234"/>
      <c r="P9" s="235"/>
      <c r="Q9" s="219" t="s">
        <v>20</v>
      </c>
      <c r="R9" s="236"/>
      <c r="S9" s="236"/>
      <c r="T9" s="236"/>
      <c r="U9" s="237"/>
      <c r="V9" s="219" t="s">
        <v>21</v>
      </c>
      <c r="W9" s="236"/>
      <c r="X9" s="236"/>
      <c r="Y9" s="236"/>
      <c r="Z9" s="236"/>
      <c r="AA9" s="236"/>
      <c r="AB9" s="236"/>
      <c r="AC9" s="236"/>
      <c r="AD9" s="236"/>
      <c r="AE9" s="236"/>
      <c r="AF9" s="236"/>
      <c r="AG9" s="236"/>
      <c r="AH9" s="237"/>
      <c r="AI9" s="233" t="s">
        <v>22</v>
      </c>
      <c r="AJ9" s="234"/>
      <c r="AK9" s="235"/>
    </row>
    <row r="10" spans="1:37" ht="14.25" customHeight="1">
      <c r="A10" s="229"/>
      <c r="B10" s="239"/>
      <c r="C10" s="239"/>
      <c r="D10" s="240"/>
      <c r="E10" s="173"/>
      <c r="F10" s="174"/>
      <c r="G10" s="174"/>
      <c r="H10" s="174"/>
      <c r="I10" s="175"/>
      <c r="J10" s="173"/>
      <c r="K10" s="174"/>
      <c r="L10" s="174"/>
      <c r="M10" s="174"/>
      <c r="N10" s="174"/>
      <c r="O10" s="174"/>
      <c r="P10" s="175"/>
      <c r="Q10" s="261"/>
      <c r="R10" s="174"/>
      <c r="S10" s="174"/>
      <c r="T10" s="174"/>
      <c r="U10" s="175"/>
      <c r="V10" s="261"/>
      <c r="W10" s="174"/>
      <c r="X10" s="174"/>
      <c r="Y10" s="174"/>
      <c r="Z10" s="174"/>
      <c r="AA10" s="174"/>
      <c r="AB10" s="246" t="s">
        <v>23</v>
      </c>
      <c r="AC10" s="173"/>
      <c r="AD10" s="174"/>
      <c r="AE10" s="174"/>
      <c r="AF10" s="174"/>
      <c r="AG10" s="174"/>
      <c r="AH10" s="175"/>
      <c r="AI10" s="173"/>
      <c r="AJ10" s="174"/>
      <c r="AK10" s="175"/>
    </row>
    <row r="11" spans="1:37" ht="14.25" customHeight="1">
      <c r="A11" s="229"/>
      <c r="B11" s="234"/>
      <c r="C11" s="234"/>
      <c r="D11" s="235"/>
      <c r="E11" s="145"/>
      <c r="F11" s="145"/>
      <c r="G11" s="145"/>
      <c r="H11" s="145"/>
      <c r="I11" s="146"/>
      <c r="J11" s="145"/>
      <c r="K11" s="145"/>
      <c r="L11" s="145"/>
      <c r="M11" s="145"/>
      <c r="N11" s="145"/>
      <c r="O11" s="145"/>
      <c r="P11" s="146"/>
      <c r="Q11" s="217"/>
      <c r="R11" s="145"/>
      <c r="S11" s="145"/>
      <c r="T11" s="145"/>
      <c r="U11" s="146"/>
      <c r="V11" s="217"/>
      <c r="W11" s="145"/>
      <c r="X11" s="145"/>
      <c r="Y11" s="145"/>
      <c r="Z11" s="145"/>
      <c r="AA11" s="145"/>
      <c r="AB11" s="181"/>
      <c r="AC11" s="145"/>
      <c r="AD11" s="145"/>
      <c r="AE11" s="145"/>
      <c r="AF11" s="145"/>
      <c r="AG11" s="145"/>
      <c r="AH11" s="146"/>
      <c r="AI11" s="145"/>
      <c r="AJ11" s="145"/>
      <c r="AK11" s="146"/>
    </row>
    <row r="12" spans="1:37" ht="14.25" customHeight="1">
      <c r="A12" s="229"/>
      <c r="B12" s="233" t="s">
        <v>24</v>
      </c>
      <c r="C12" s="234"/>
      <c r="D12" s="234"/>
      <c r="E12" s="234"/>
      <c r="F12" s="234"/>
      <c r="G12" s="234"/>
      <c r="H12" s="234"/>
      <c r="I12" s="234"/>
      <c r="J12" s="234"/>
      <c r="K12" s="234"/>
      <c r="L12" s="235"/>
      <c r="M12" s="233" t="s">
        <v>25</v>
      </c>
      <c r="N12" s="234"/>
      <c r="O12" s="234"/>
      <c r="P12" s="234"/>
      <c r="Q12" s="235"/>
      <c r="R12" s="233" t="s">
        <v>26</v>
      </c>
      <c r="S12" s="234"/>
      <c r="T12" s="234"/>
      <c r="U12" s="235"/>
      <c r="V12" s="233" t="s">
        <v>27</v>
      </c>
      <c r="W12" s="234"/>
      <c r="X12" s="234"/>
      <c r="Y12" s="235"/>
      <c r="Z12" s="254" t="s">
        <v>28</v>
      </c>
      <c r="AA12" s="193"/>
      <c r="AB12" s="193"/>
      <c r="AC12" s="193"/>
      <c r="AD12" s="193"/>
      <c r="AE12" s="194"/>
      <c r="AF12" s="254" t="s">
        <v>29</v>
      </c>
      <c r="AG12" s="193"/>
      <c r="AH12" s="193"/>
      <c r="AI12" s="193"/>
      <c r="AJ12" s="193"/>
      <c r="AK12" s="194"/>
    </row>
    <row r="13" spans="1:37" ht="14.25" customHeight="1">
      <c r="A13" s="229"/>
      <c r="B13" s="173"/>
      <c r="C13" s="174"/>
      <c r="D13" s="174"/>
      <c r="E13" s="174"/>
      <c r="F13" s="174"/>
      <c r="G13" s="174"/>
      <c r="H13" s="174"/>
      <c r="I13" s="174"/>
      <c r="J13" s="174"/>
      <c r="K13" s="174"/>
      <c r="L13" s="175"/>
      <c r="M13" s="210"/>
      <c r="N13" s="211"/>
      <c r="O13" s="211"/>
      <c r="P13" s="211"/>
      <c r="Q13" s="241"/>
      <c r="R13" s="173"/>
      <c r="S13" s="174"/>
      <c r="T13" s="174"/>
      <c r="U13" s="175"/>
      <c r="V13" s="173"/>
      <c r="W13" s="174"/>
      <c r="X13" s="174"/>
      <c r="Y13" s="175"/>
      <c r="Z13" s="173"/>
      <c r="AA13" s="174"/>
      <c r="AB13" s="174"/>
      <c r="AC13" s="174"/>
      <c r="AD13" s="174"/>
      <c r="AE13" s="175"/>
      <c r="AF13" s="173"/>
      <c r="AG13" s="174"/>
      <c r="AH13" s="174"/>
      <c r="AI13" s="174"/>
      <c r="AJ13" s="174"/>
      <c r="AK13" s="175"/>
    </row>
    <row r="14" spans="1:37" ht="14.25" customHeight="1">
      <c r="A14" s="230"/>
      <c r="B14" s="145"/>
      <c r="C14" s="145"/>
      <c r="D14" s="145"/>
      <c r="E14" s="145"/>
      <c r="F14" s="145"/>
      <c r="G14" s="145"/>
      <c r="H14" s="145"/>
      <c r="I14" s="145"/>
      <c r="J14" s="145"/>
      <c r="K14" s="145"/>
      <c r="L14" s="146"/>
      <c r="M14" s="208"/>
      <c r="N14" s="166"/>
      <c r="O14" s="166"/>
      <c r="P14" s="166"/>
      <c r="Q14" s="242"/>
      <c r="R14" s="145"/>
      <c r="S14" s="145"/>
      <c r="T14" s="145"/>
      <c r="U14" s="146"/>
      <c r="V14" s="145"/>
      <c r="W14" s="145"/>
      <c r="X14" s="145"/>
      <c r="Y14" s="146"/>
      <c r="Z14" s="145"/>
      <c r="AA14" s="145"/>
      <c r="AB14" s="145"/>
      <c r="AC14" s="145"/>
      <c r="AD14" s="145"/>
      <c r="AE14" s="146"/>
      <c r="AF14" s="145"/>
      <c r="AG14" s="145"/>
      <c r="AH14" s="145"/>
      <c r="AI14" s="145"/>
      <c r="AJ14" s="145"/>
      <c r="AK14" s="146"/>
    </row>
    <row r="15" spans="1:37" ht="14.25" customHeight="1">
      <c r="A15" s="137" t="s">
        <v>30</v>
      </c>
      <c r="B15" s="219" t="s">
        <v>31</v>
      </c>
      <c r="C15" s="220"/>
      <c r="D15" s="220"/>
      <c r="E15" s="220"/>
      <c r="F15" s="220"/>
      <c r="G15" s="220"/>
      <c r="H15" s="220"/>
      <c r="I15" s="219" t="s">
        <v>32</v>
      </c>
      <c r="J15" s="220"/>
      <c r="K15" s="221"/>
      <c r="L15" s="219" t="s">
        <v>14</v>
      </c>
      <c r="M15" s="220"/>
      <c r="N15" s="220"/>
      <c r="O15" s="220"/>
      <c r="P15" s="220"/>
      <c r="Q15" s="220"/>
      <c r="R15" s="221"/>
      <c r="S15" s="219" t="s">
        <v>15</v>
      </c>
      <c r="T15" s="220"/>
      <c r="U15" s="220"/>
      <c r="V15" s="220"/>
      <c r="W15" s="221"/>
      <c r="X15" s="219" t="s">
        <v>34</v>
      </c>
      <c r="Y15" s="220"/>
      <c r="Z15" s="221"/>
      <c r="AA15" s="219" t="s">
        <v>33</v>
      </c>
      <c r="AB15" s="220"/>
      <c r="AC15" s="221"/>
      <c r="AD15" s="219" t="s">
        <v>35</v>
      </c>
      <c r="AE15" s="221"/>
      <c r="AF15" s="219" t="s">
        <v>36</v>
      </c>
      <c r="AG15" s="220"/>
      <c r="AH15" s="220"/>
      <c r="AI15" s="220"/>
      <c r="AJ15" s="220"/>
      <c r="AK15" s="221"/>
    </row>
    <row r="16" spans="1:37" ht="14.25" customHeight="1">
      <c r="A16" s="229"/>
      <c r="B16" s="231" t="s">
        <v>37</v>
      </c>
      <c r="C16" s="173"/>
      <c r="D16" s="174"/>
      <c r="E16" s="174"/>
      <c r="F16" s="174"/>
      <c r="G16" s="174"/>
      <c r="H16" s="232" t="s">
        <v>12</v>
      </c>
      <c r="I16" s="210"/>
      <c r="J16" s="215"/>
      <c r="K16" s="216"/>
      <c r="L16" s="222"/>
      <c r="M16" s="214"/>
      <c r="N16" s="214"/>
      <c r="O16" s="214"/>
      <c r="P16" s="214"/>
      <c r="Q16" s="214"/>
      <c r="R16" s="223"/>
      <c r="S16" s="210"/>
      <c r="T16" s="215"/>
      <c r="U16" s="215"/>
      <c r="V16" s="215"/>
      <c r="W16" s="216"/>
      <c r="X16" s="210"/>
      <c r="Y16" s="215"/>
      <c r="Z16" s="216"/>
      <c r="AA16" s="210"/>
      <c r="AB16" s="215"/>
      <c r="AC16" s="216"/>
      <c r="AD16" s="210"/>
      <c r="AE16" s="216"/>
      <c r="AF16" s="210"/>
      <c r="AG16" s="215"/>
      <c r="AH16" s="215"/>
      <c r="AI16" s="215"/>
      <c r="AJ16" s="215"/>
      <c r="AK16" s="216"/>
    </row>
    <row r="17" spans="1:37" ht="14.25" customHeight="1">
      <c r="A17" s="229"/>
      <c r="B17" s="181"/>
      <c r="C17" s="145"/>
      <c r="D17" s="145"/>
      <c r="E17" s="145"/>
      <c r="F17" s="145"/>
      <c r="G17" s="145"/>
      <c r="H17" s="182"/>
      <c r="I17" s="217"/>
      <c r="J17" s="145"/>
      <c r="K17" s="146"/>
      <c r="L17" s="224"/>
      <c r="M17" s="225"/>
      <c r="N17" s="225"/>
      <c r="O17" s="225"/>
      <c r="P17" s="225"/>
      <c r="Q17" s="225"/>
      <c r="R17" s="226"/>
      <c r="S17" s="217"/>
      <c r="T17" s="145"/>
      <c r="U17" s="145"/>
      <c r="V17" s="145"/>
      <c r="W17" s="146"/>
      <c r="X17" s="217"/>
      <c r="Y17" s="145"/>
      <c r="Z17" s="146"/>
      <c r="AA17" s="217"/>
      <c r="AB17" s="145"/>
      <c r="AC17" s="146"/>
      <c r="AD17" s="217"/>
      <c r="AE17" s="146"/>
      <c r="AF17" s="217"/>
      <c r="AG17" s="145"/>
      <c r="AH17" s="145"/>
      <c r="AI17" s="145"/>
      <c r="AJ17" s="145"/>
      <c r="AK17" s="146"/>
    </row>
    <row r="18" spans="1:37" ht="14.25" customHeight="1">
      <c r="A18" s="229"/>
      <c r="B18" s="231" t="s">
        <v>38</v>
      </c>
      <c r="C18" s="173"/>
      <c r="D18" s="174"/>
      <c r="E18" s="174"/>
      <c r="F18" s="174"/>
      <c r="G18" s="174"/>
      <c r="H18" s="232" t="s">
        <v>12</v>
      </c>
      <c r="I18" s="210"/>
      <c r="J18" s="215"/>
      <c r="K18" s="216"/>
      <c r="L18" s="210"/>
      <c r="M18" s="215"/>
      <c r="N18" s="215"/>
      <c r="O18" s="215"/>
      <c r="P18" s="215"/>
      <c r="Q18" s="215"/>
      <c r="R18" s="216"/>
      <c r="S18" s="210"/>
      <c r="T18" s="215"/>
      <c r="U18" s="215"/>
      <c r="V18" s="215"/>
      <c r="W18" s="216"/>
      <c r="X18" s="210"/>
      <c r="Y18" s="215"/>
      <c r="Z18" s="216"/>
      <c r="AA18" s="210"/>
      <c r="AB18" s="215"/>
      <c r="AC18" s="216"/>
      <c r="AD18" s="210"/>
      <c r="AE18" s="216"/>
      <c r="AF18" s="210"/>
      <c r="AG18" s="215"/>
      <c r="AH18" s="215"/>
      <c r="AI18" s="215"/>
      <c r="AJ18" s="215"/>
      <c r="AK18" s="216"/>
    </row>
    <row r="19" spans="1:37" ht="14.25" customHeight="1">
      <c r="A19" s="230"/>
      <c r="B19" s="181"/>
      <c r="C19" s="145"/>
      <c r="D19" s="145"/>
      <c r="E19" s="145"/>
      <c r="F19" s="145"/>
      <c r="G19" s="145"/>
      <c r="H19" s="182"/>
      <c r="I19" s="217"/>
      <c r="J19" s="145"/>
      <c r="K19" s="146"/>
      <c r="L19" s="217"/>
      <c r="M19" s="145"/>
      <c r="N19" s="145"/>
      <c r="O19" s="145"/>
      <c r="P19" s="145"/>
      <c r="Q19" s="145"/>
      <c r="R19" s="146"/>
      <c r="S19" s="217"/>
      <c r="T19" s="145"/>
      <c r="U19" s="145"/>
      <c r="V19" s="145"/>
      <c r="W19" s="146"/>
      <c r="X19" s="217"/>
      <c r="Y19" s="145"/>
      <c r="Z19" s="146"/>
      <c r="AA19" s="217"/>
      <c r="AB19" s="145"/>
      <c r="AC19" s="146"/>
      <c r="AD19" s="217"/>
      <c r="AE19" s="146"/>
      <c r="AF19" s="217"/>
      <c r="AG19" s="145"/>
      <c r="AH19" s="145"/>
      <c r="AI19" s="145"/>
      <c r="AJ19" s="145"/>
      <c r="AK19" s="146"/>
    </row>
    <row r="20" spans="1:37" ht="14.25" customHeight="1">
      <c r="A20" s="134" t="s">
        <v>39</v>
      </c>
      <c r="B20" s="170" t="s">
        <v>40</v>
      </c>
      <c r="C20" s="129"/>
      <c r="D20" s="129"/>
      <c r="E20" s="130"/>
      <c r="F20" s="144"/>
      <c r="G20" s="145"/>
      <c r="H20" s="145"/>
      <c r="I20" s="145"/>
      <c r="J20" s="145"/>
      <c r="K20" s="145"/>
      <c r="L20" s="145"/>
      <c r="M20" s="146"/>
      <c r="N20" s="170" t="s">
        <v>41</v>
      </c>
      <c r="O20" s="129"/>
      <c r="P20" s="129"/>
      <c r="Q20" s="130"/>
      <c r="R20" s="144"/>
      <c r="S20" s="145"/>
      <c r="T20" s="145"/>
      <c r="U20" s="145"/>
      <c r="V20" s="145"/>
      <c r="W20" s="145"/>
      <c r="X20" s="145"/>
      <c r="Y20" s="146"/>
      <c r="Z20" s="170" t="s">
        <v>42</v>
      </c>
      <c r="AA20" s="129"/>
      <c r="AB20" s="129"/>
      <c r="AC20" s="130"/>
      <c r="AD20" s="144"/>
      <c r="AE20" s="145"/>
      <c r="AF20" s="145"/>
      <c r="AG20" s="145"/>
      <c r="AH20" s="145"/>
      <c r="AI20" s="145"/>
      <c r="AJ20" s="145"/>
      <c r="AK20" s="146"/>
    </row>
    <row r="21" spans="1:37" ht="14.25" customHeight="1">
      <c r="A21" s="135"/>
      <c r="B21" s="170" t="s">
        <v>43</v>
      </c>
      <c r="C21" s="129"/>
      <c r="D21" s="129"/>
      <c r="E21" s="130"/>
      <c r="F21" s="195"/>
      <c r="G21" s="196"/>
      <c r="H21" s="196"/>
      <c r="I21" s="196"/>
      <c r="J21" s="196"/>
      <c r="K21" s="196"/>
      <c r="L21" s="196"/>
      <c r="M21" s="228"/>
      <c r="N21" s="170" t="s">
        <v>44</v>
      </c>
      <c r="O21" s="129"/>
      <c r="P21" s="129"/>
      <c r="Q21" s="130"/>
      <c r="R21" s="195"/>
      <c r="S21" s="196"/>
      <c r="T21" s="196"/>
      <c r="U21" s="196"/>
      <c r="V21" s="196"/>
      <c r="W21" s="196"/>
      <c r="X21" s="196"/>
      <c r="Y21" s="228"/>
      <c r="Z21" s="218" t="s">
        <v>45</v>
      </c>
      <c r="AA21" s="178"/>
      <c r="AB21" s="178"/>
      <c r="AC21" s="133"/>
      <c r="AD21" s="227"/>
      <c r="AE21" s="176"/>
      <c r="AF21" s="176"/>
      <c r="AG21" s="176"/>
      <c r="AH21" s="176"/>
      <c r="AI21" s="176"/>
      <c r="AJ21" s="176"/>
      <c r="AK21" s="175"/>
    </row>
    <row r="22" spans="1:37" ht="14.25" customHeight="1">
      <c r="A22" s="135"/>
      <c r="B22" s="170" t="s">
        <v>46</v>
      </c>
      <c r="C22" s="129"/>
      <c r="D22" s="129"/>
      <c r="E22" s="130"/>
      <c r="F22" s="144"/>
      <c r="G22" s="145"/>
      <c r="H22" s="145"/>
      <c r="I22" s="145"/>
      <c r="J22" s="145"/>
      <c r="K22" s="145"/>
      <c r="L22" s="145"/>
      <c r="M22" s="146"/>
      <c r="N22" s="170" t="s">
        <v>47</v>
      </c>
      <c r="O22" s="129"/>
      <c r="P22" s="129"/>
      <c r="Q22" s="130"/>
      <c r="R22" s="195"/>
      <c r="S22" s="196"/>
      <c r="T22" s="196"/>
      <c r="U22" s="196"/>
      <c r="V22" s="196"/>
      <c r="W22" s="196"/>
      <c r="X22" s="196"/>
      <c r="Y22" s="197"/>
      <c r="Z22" s="125" t="s">
        <v>157</v>
      </c>
      <c r="AA22" s="125"/>
      <c r="AB22" s="125"/>
      <c r="AC22" s="125"/>
      <c r="AD22" s="125"/>
      <c r="AE22" s="125"/>
      <c r="AF22" s="126"/>
      <c r="AG22" s="126"/>
      <c r="AH22" s="126"/>
      <c r="AI22" s="126"/>
      <c r="AJ22" s="126"/>
      <c r="AK22" s="126"/>
    </row>
    <row r="23" spans="1:37" ht="14.25" customHeight="1">
      <c r="A23" s="135"/>
      <c r="B23" s="170" t="s">
        <v>49</v>
      </c>
      <c r="C23" s="129"/>
      <c r="D23" s="129"/>
      <c r="E23" s="130"/>
      <c r="F23" s="144"/>
      <c r="G23" s="145"/>
      <c r="H23" s="145"/>
      <c r="I23" s="145"/>
      <c r="J23" s="145"/>
      <c r="K23" s="145"/>
      <c r="L23" s="145"/>
      <c r="M23" s="146"/>
      <c r="N23" s="170" t="s">
        <v>50</v>
      </c>
      <c r="O23" s="129"/>
      <c r="P23" s="129"/>
      <c r="Q23" s="130"/>
      <c r="R23" s="144"/>
      <c r="S23" s="145"/>
      <c r="T23" s="145"/>
      <c r="U23" s="145"/>
      <c r="V23" s="145"/>
      <c r="W23" s="145"/>
      <c r="X23" s="145"/>
      <c r="Y23" s="167"/>
      <c r="Z23" s="127" t="s">
        <v>51</v>
      </c>
      <c r="AA23" s="127"/>
      <c r="AB23" s="127"/>
      <c r="AC23" s="127"/>
      <c r="AD23" s="127"/>
      <c r="AE23" s="126"/>
      <c r="AF23" s="126"/>
      <c r="AG23" s="126"/>
      <c r="AH23" s="126"/>
      <c r="AI23" s="126"/>
      <c r="AJ23" s="126"/>
      <c r="AK23" s="126"/>
    </row>
    <row r="24" spans="1:37" ht="14.25" customHeight="1">
      <c r="A24" s="289" t="s">
        <v>52</v>
      </c>
      <c r="B24" s="128" t="s">
        <v>53</v>
      </c>
      <c r="C24" s="129"/>
      <c r="D24" s="129"/>
      <c r="E24" s="129"/>
      <c r="F24" s="129"/>
      <c r="G24" s="129"/>
      <c r="H24" s="129"/>
      <c r="I24" s="129"/>
      <c r="J24" s="129"/>
      <c r="K24" s="129"/>
      <c r="L24" s="129"/>
      <c r="M24" s="130"/>
      <c r="N24" s="183" t="s">
        <v>54</v>
      </c>
      <c r="O24" s="184"/>
      <c r="P24" s="184"/>
      <c r="Q24" s="185"/>
      <c r="R24" s="177" t="s">
        <v>56</v>
      </c>
      <c r="S24" s="178"/>
      <c r="T24" s="178"/>
      <c r="U24" s="178"/>
      <c r="V24" s="178"/>
      <c r="W24" s="178"/>
      <c r="X24" s="178"/>
      <c r="Y24" s="178"/>
      <c r="Z24" s="178"/>
      <c r="AA24" s="178"/>
      <c r="AB24" s="178"/>
      <c r="AC24" s="178"/>
      <c r="AD24" s="178"/>
      <c r="AE24" s="178"/>
      <c r="AF24" s="178"/>
      <c r="AG24" s="178"/>
      <c r="AH24" s="178"/>
      <c r="AI24" s="178"/>
      <c r="AJ24" s="178"/>
      <c r="AK24" s="133"/>
    </row>
    <row r="25" spans="1:37" ht="14.25" customHeight="1">
      <c r="A25" s="289"/>
      <c r="B25" s="173"/>
      <c r="C25" s="174"/>
      <c r="D25" s="174"/>
      <c r="E25" s="174"/>
      <c r="F25" s="174"/>
      <c r="G25" s="174"/>
      <c r="H25" s="174"/>
      <c r="I25" s="174"/>
      <c r="J25" s="174"/>
      <c r="K25" s="174"/>
      <c r="L25" s="174"/>
      <c r="M25" s="175"/>
      <c r="N25" s="186"/>
      <c r="O25" s="187"/>
      <c r="P25" s="187"/>
      <c r="Q25" s="188"/>
      <c r="R25" s="156"/>
      <c r="S25" s="156"/>
      <c r="T25" s="156"/>
      <c r="U25" s="156"/>
      <c r="V25" s="156"/>
      <c r="W25" s="156"/>
      <c r="X25" s="156"/>
      <c r="Y25" s="156"/>
      <c r="Z25" s="156"/>
      <c r="AA25" s="156"/>
      <c r="AB25" s="156"/>
      <c r="AC25" s="156"/>
      <c r="AD25" s="156"/>
      <c r="AE25" s="156"/>
      <c r="AF25" s="156"/>
      <c r="AG25" s="156"/>
      <c r="AH25" s="156"/>
      <c r="AI25" s="156"/>
      <c r="AJ25" s="156"/>
      <c r="AK25" s="156"/>
    </row>
    <row r="26" spans="1:37" ht="14.25" customHeight="1">
      <c r="A26" s="289"/>
      <c r="B26" s="176"/>
      <c r="C26" s="176"/>
      <c r="D26" s="176"/>
      <c r="E26" s="176"/>
      <c r="F26" s="176"/>
      <c r="G26" s="176"/>
      <c r="H26" s="176"/>
      <c r="I26" s="176"/>
      <c r="J26" s="176"/>
      <c r="K26" s="176"/>
      <c r="L26" s="176"/>
      <c r="M26" s="175"/>
      <c r="N26" s="188"/>
      <c r="O26" s="188"/>
      <c r="P26" s="188"/>
      <c r="Q26" s="188"/>
      <c r="R26" s="156"/>
      <c r="S26" s="156"/>
      <c r="T26" s="156"/>
      <c r="U26" s="156"/>
      <c r="V26" s="156"/>
      <c r="W26" s="156"/>
      <c r="X26" s="156"/>
      <c r="Y26" s="156"/>
      <c r="Z26" s="156"/>
      <c r="AA26" s="156"/>
      <c r="AB26" s="156"/>
      <c r="AC26" s="156"/>
      <c r="AD26" s="156"/>
      <c r="AE26" s="156"/>
      <c r="AF26" s="156"/>
      <c r="AG26" s="156"/>
      <c r="AH26" s="156"/>
      <c r="AI26" s="156"/>
      <c r="AJ26" s="156"/>
      <c r="AK26" s="156"/>
    </row>
    <row r="27" spans="1:37" ht="14.25" customHeight="1">
      <c r="A27" s="289"/>
      <c r="B27" s="252"/>
      <c r="C27" s="252"/>
      <c r="D27" s="252"/>
      <c r="E27" s="252"/>
      <c r="F27" s="252"/>
      <c r="G27" s="252"/>
      <c r="H27" s="252"/>
      <c r="I27" s="252"/>
      <c r="J27" s="252"/>
      <c r="K27" s="252"/>
      <c r="L27" s="252"/>
      <c r="M27" s="252"/>
      <c r="N27" s="290"/>
      <c r="O27" s="290"/>
      <c r="P27" s="290"/>
      <c r="Q27" s="291"/>
      <c r="R27" s="156"/>
      <c r="S27" s="156"/>
      <c r="T27" s="156"/>
      <c r="U27" s="156"/>
      <c r="V27" s="156"/>
      <c r="W27" s="156"/>
      <c r="X27" s="156"/>
      <c r="Y27" s="156"/>
      <c r="Z27" s="156"/>
      <c r="AA27" s="156"/>
      <c r="AB27" s="156"/>
      <c r="AC27" s="156"/>
      <c r="AD27" s="156"/>
      <c r="AE27" s="156"/>
      <c r="AF27" s="156"/>
      <c r="AG27" s="156"/>
      <c r="AH27" s="156"/>
      <c r="AI27" s="156"/>
      <c r="AJ27" s="156"/>
      <c r="AK27" s="156"/>
    </row>
    <row r="28" spans="1:37" ht="14.25" customHeight="1">
      <c r="A28" s="289"/>
      <c r="B28" s="252"/>
      <c r="C28" s="252"/>
      <c r="D28" s="252"/>
      <c r="E28" s="252"/>
      <c r="F28" s="252"/>
      <c r="G28" s="252"/>
      <c r="H28" s="252"/>
      <c r="I28" s="252"/>
      <c r="J28" s="252"/>
      <c r="K28" s="252"/>
      <c r="L28" s="252"/>
      <c r="M28" s="252"/>
      <c r="N28" s="290"/>
      <c r="O28" s="290"/>
      <c r="P28" s="290"/>
      <c r="Q28" s="290"/>
      <c r="R28" s="292" t="s">
        <v>158</v>
      </c>
      <c r="S28" s="292"/>
      <c r="T28" s="292"/>
      <c r="U28" s="292"/>
      <c r="V28" s="293"/>
      <c r="W28" s="293"/>
      <c r="X28" s="293"/>
      <c r="Y28" s="293"/>
      <c r="Z28" s="293"/>
      <c r="AA28" s="293"/>
      <c r="AB28" s="293"/>
      <c r="AC28" s="293"/>
      <c r="AD28" s="293"/>
      <c r="AE28" s="293"/>
      <c r="AF28" s="293"/>
      <c r="AG28" s="293"/>
      <c r="AH28" s="293"/>
      <c r="AI28" s="293"/>
      <c r="AJ28" s="293"/>
      <c r="AK28" s="293"/>
    </row>
    <row r="29" spans="1:37" ht="14.25" customHeight="1">
      <c r="A29" s="289"/>
      <c r="B29" s="126"/>
      <c r="C29" s="126"/>
      <c r="D29" s="126"/>
      <c r="E29" s="126"/>
      <c r="F29" s="126"/>
      <c r="G29" s="126"/>
      <c r="H29" s="126"/>
      <c r="I29" s="126"/>
      <c r="J29" s="126"/>
      <c r="K29" s="126"/>
      <c r="L29" s="126"/>
      <c r="M29" s="126"/>
      <c r="N29" s="126"/>
      <c r="O29" s="126"/>
      <c r="P29" s="126"/>
      <c r="Q29" s="126"/>
      <c r="R29" s="292"/>
      <c r="S29" s="292"/>
      <c r="T29" s="292"/>
      <c r="U29" s="292"/>
      <c r="V29" s="293"/>
      <c r="W29" s="293"/>
      <c r="X29" s="293"/>
      <c r="Y29" s="293"/>
      <c r="Z29" s="293"/>
      <c r="AA29" s="293"/>
      <c r="AB29" s="293"/>
      <c r="AC29" s="293"/>
      <c r="AD29" s="293"/>
      <c r="AE29" s="293"/>
      <c r="AF29" s="293"/>
      <c r="AG29" s="293"/>
      <c r="AH29" s="293"/>
      <c r="AI29" s="293"/>
      <c r="AJ29" s="293"/>
      <c r="AK29" s="293"/>
    </row>
    <row r="30" spans="1:37" ht="14.25" customHeight="1">
      <c r="A30" s="289"/>
      <c r="B30" s="126"/>
      <c r="C30" s="126"/>
      <c r="D30" s="126"/>
      <c r="E30" s="126"/>
      <c r="F30" s="126"/>
      <c r="G30" s="126"/>
      <c r="H30" s="126"/>
      <c r="I30" s="126"/>
      <c r="J30" s="126"/>
      <c r="K30" s="126"/>
      <c r="L30" s="126"/>
      <c r="M30" s="126"/>
      <c r="N30" s="126"/>
      <c r="O30" s="126"/>
      <c r="P30" s="126"/>
      <c r="Q30" s="126"/>
      <c r="R30" s="189" t="s">
        <v>154</v>
      </c>
      <c r="S30" s="190"/>
      <c r="T30" s="190"/>
      <c r="U30" s="191"/>
      <c r="V30" s="205"/>
      <c r="W30" s="206"/>
      <c r="X30" s="206"/>
      <c r="Y30" s="206"/>
      <c r="Z30" s="206"/>
      <c r="AA30" s="206"/>
      <c r="AB30" s="206"/>
      <c r="AC30" s="207"/>
      <c r="AD30" s="101"/>
      <c r="AE30" s="101"/>
      <c r="AF30" s="101"/>
      <c r="AG30" s="101"/>
      <c r="AH30" s="101"/>
      <c r="AI30" s="101"/>
      <c r="AJ30" s="179" t="s">
        <v>147</v>
      </c>
      <c r="AK30" s="180"/>
    </row>
    <row r="31" spans="1:37" ht="14.25" customHeight="1">
      <c r="A31" s="289"/>
      <c r="B31" s="126"/>
      <c r="C31" s="126"/>
      <c r="D31" s="126"/>
      <c r="E31" s="126"/>
      <c r="F31" s="126"/>
      <c r="G31" s="126"/>
      <c r="H31" s="126"/>
      <c r="I31" s="126"/>
      <c r="J31" s="126"/>
      <c r="K31" s="126"/>
      <c r="L31" s="126"/>
      <c r="M31" s="126"/>
      <c r="N31" s="126"/>
      <c r="O31" s="126"/>
      <c r="P31" s="126"/>
      <c r="Q31" s="126"/>
      <c r="R31" s="192"/>
      <c r="S31" s="193"/>
      <c r="T31" s="193"/>
      <c r="U31" s="194"/>
      <c r="V31" s="208"/>
      <c r="W31" s="166"/>
      <c r="X31" s="166"/>
      <c r="Y31" s="166"/>
      <c r="Z31" s="166"/>
      <c r="AA31" s="166"/>
      <c r="AB31" s="166"/>
      <c r="AC31" s="209"/>
      <c r="AD31" s="213"/>
      <c r="AE31" s="213"/>
      <c r="AF31" s="213"/>
      <c r="AG31" s="213"/>
      <c r="AH31" s="213"/>
      <c r="AI31" s="213"/>
      <c r="AJ31" s="181"/>
      <c r="AK31" s="182"/>
    </row>
    <row r="32" spans="1:37" ht="14.25" customHeight="1">
      <c r="A32" s="289"/>
      <c r="B32" s="126"/>
      <c r="C32" s="126"/>
      <c r="D32" s="126"/>
      <c r="E32" s="126"/>
      <c r="F32" s="126"/>
      <c r="G32" s="126"/>
      <c r="H32" s="126"/>
      <c r="I32" s="126"/>
      <c r="J32" s="126"/>
      <c r="K32" s="126"/>
      <c r="L32" s="126"/>
      <c r="M32" s="126"/>
      <c r="N32" s="126"/>
      <c r="O32" s="126"/>
      <c r="P32" s="126"/>
      <c r="Q32" s="126"/>
      <c r="R32" s="89" t="s">
        <v>148</v>
      </c>
      <c r="S32" s="198"/>
      <c r="T32" s="198"/>
      <c r="U32" s="199"/>
      <c r="V32" s="210"/>
      <c r="W32" s="211"/>
      <c r="X32" s="211"/>
      <c r="Y32" s="211"/>
      <c r="Z32" s="211"/>
      <c r="AA32" s="211"/>
      <c r="AB32" s="211"/>
      <c r="AC32" s="212"/>
      <c r="AD32" s="214"/>
      <c r="AE32" s="214"/>
      <c r="AF32" s="214"/>
      <c r="AG32" s="214"/>
      <c r="AH32" s="214"/>
      <c r="AI32" s="214"/>
      <c r="AJ32" s="203" t="s">
        <v>147</v>
      </c>
      <c r="AK32" s="204"/>
    </row>
    <row r="33" spans="1:37" ht="14.25" customHeight="1">
      <c r="A33" s="289"/>
      <c r="B33" s="126"/>
      <c r="C33" s="126"/>
      <c r="D33" s="126"/>
      <c r="E33" s="126"/>
      <c r="F33" s="126"/>
      <c r="G33" s="126"/>
      <c r="H33" s="126"/>
      <c r="I33" s="126"/>
      <c r="J33" s="126"/>
      <c r="K33" s="126"/>
      <c r="L33" s="126"/>
      <c r="M33" s="126"/>
      <c r="N33" s="126"/>
      <c r="O33" s="126"/>
      <c r="P33" s="126"/>
      <c r="Q33" s="126"/>
      <c r="R33" s="165"/>
      <c r="S33" s="129"/>
      <c r="T33" s="129"/>
      <c r="U33" s="130"/>
      <c r="V33" s="208"/>
      <c r="W33" s="166"/>
      <c r="X33" s="166"/>
      <c r="Y33" s="166"/>
      <c r="Z33" s="166"/>
      <c r="AA33" s="166"/>
      <c r="AB33" s="166"/>
      <c r="AC33" s="209"/>
      <c r="AD33" s="213"/>
      <c r="AE33" s="213"/>
      <c r="AF33" s="213"/>
      <c r="AG33" s="213"/>
      <c r="AH33" s="213"/>
      <c r="AI33" s="213"/>
      <c r="AJ33" s="181"/>
      <c r="AK33" s="182"/>
    </row>
    <row r="34" spans="1:37" ht="14.25" customHeight="1">
      <c r="A34" s="289"/>
      <c r="B34" s="126"/>
      <c r="C34" s="126"/>
      <c r="D34" s="126"/>
      <c r="E34" s="126"/>
      <c r="F34" s="126"/>
      <c r="G34" s="126"/>
      <c r="H34" s="126"/>
      <c r="I34" s="126"/>
      <c r="J34" s="126"/>
      <c r="K34" s="126"/>
      <c r="L34" s="126"/>
      <c r="M34" s="126"/>
      <c r="N34" s="126"/>
      <c r="O34" s="126"/>
      <c r="P34" s="126"/>
      <c r="Q34" s="126"/>
      <c r="R34" s="89" t="s">
        <v>149</v>
      </c>
      <c r="S34" s="198"/>
      <c r="T34" s="198"/>
      <c r="U34" s="199"/>
      <c r="V34" s="195"/>
      <c r="W34" s="201"/>
      <c r="X34" s="201"/>
      <c r="Y34" s="201"/>
      <c r="Z34" s="201"/>
      <c r="AA34" s="201"/>
      <c r="AB34" s="201"/>
      <c r="AC34" s="202"/>
      <c r="AD34" s="200"/>
      <c r="AE34" s="201"/>
      <c r="AF34" s="201"/>
      <c r="AG34" s="201"/>
      <c r="AH34" s="201"/>
      <c r="AI34" s="201"/>
      <c r="AJ34" s="201"/>
      <c r="AK34" s="202"/>
    </row>
    <row r="35" spans="1:37" ht="14.25" customHeight="1">
      <c r="A35" s="289"/>
      <c r="B35" s="126"/>
      <c r="C35" s="126"/>
      <c r="D35" s="126"/>
      <c r="E35" s="126"/>
      <c r="F35" s="126"/>
      <c r="G35" s="126"/>
      <c r="H35" s="126"/>
      <c r="I35" s="126"/>
      <c r="J35" s="126"/>
      <c r="K35" s="126"/>
      <c r="L35" s="126"/>
      <c r="M35" s="126"/>
      <c r="N35" s="126"/>
      <c r="O35" s="126"/>
      <c r="P35" s="126"/>
      <c r="Q35" s="126"/>
      <c r="R35" s="165"/>
      <c r="S35" s="129"/>
      <c r="T35" s="129"/>
      <c r="U35" s="130"/>
      <c r="V35" s="195"/>
      <c r="W35" s="201"/>
      <c r="X35" s="201"/>
      <c r="Y35" s="201"/>
      <c r="Z35" s="201"/>
      <c r="AA35" s="201"/>
      <c r="AB35" s="201"/>
      <c r="AC35" s="202"/>
      <c r="AD35" s="200"/>
      <c r="AE35" s="201"/>
      <c r="AF35" s="201"/>
      <c r="AG35" s="201"/>
      <c r="AH35" s="201"/>
      <c r="AI35" s="201"/>
      <c r="AJ35" s="201"/>
      <c r="AK35" s="202"/>
    </row>
    <row r="36" spans="1:37" ht="14.25" customHeight="1">
      <c r="A36" s="289"/>
      <c r="B36" s="126"/>
      <c r="C36" s="126"/>
      <c r="D36" s="126"/>
      <c r="E36" s="126"/>
      <c r="F36" s="126"/>
      <c r="G36" s="126"/>
      <c r="H36" s="126"/>
      <c r="I36" s="126"/>
      <c r="J36" s="126"/>
      <c r="K36" s="126"/>
      <c r="L36" s="126"/>
      <c r="M36" s="126"/>
      <c r="N36" s="126"/>
      <c r="O36" s="126"/>
      <c r="P36" s="126"/>
      <c r="Q36" s="126"/>
      <c r="R36" s="88" t="s">
        <v>150</v>
      </c>
      <c r="S36" s="89"/>
      <c r="T36" s="89"/>
      <c r="U36" s="90"/>
      <c r="V36" s="94"/>
      <c r="W36" s="95"/>
      <c r="X36" s="95"/>
      <c r="Y36" s="95"/>
      <c r="Z36" s="95"/>
      <c r="AA36" s="95"/>
      <c r="AB36" s="95"/>
      <c r="AC36" s="95"/>
      <c r="AD36" s="95"/>
      <c r="AE36" s="95"/>
      <c r="AF36" s="95"/>
      <c r="AG36" s="95"/>
      <c r="AH36" s="95"/>
      <c r="AI36" s="95"/>
      <c r="AJ36" s="95"/>
      <c r="AK36" s="96"/>
    </row>
    <row r="37" spans="1:37" ht="14.25" customHeight="1">
      <c r="A37" s="289"/>
      <c r="B37" s="100" t="s">
        <v>151</v>
      </c>
      <c r="C37" s="100"/>
      <c r="D37" s="100"/>
      <c r="E37" s="100"/>
      <c r="F37" s="101"/>
      <c r="G37" s="101"/>
      <c r="H37" s="101"/>
      <c r="I37" s="104"/>
      <c r="J37" s="105"/>
      <c r="K37" s="105"/>
      <c r="L37" s="105"/>
      <c r="M37" s="105"/>
      <c r="N37" s="105"/>
      <c r="O37" s="105"/>
      <c r="P37" s="105"/>
      <c r="Q37" s="106"/>
      <c r="R37" s="91"/>
      <c r="S37" s="92"/>
      <c r="T37" s="92"/>
      <c r="U37" s="93"/>
      <c r="V37" s="97"/>
      <c r="W37" s="98"/>
      <c r="X37" s="98"/>
      <c r="Y37" s="98"/>
      <c r="Z37" s="98"/>
      <c r="AA37" s="98"/>
      <c r="AB37" s="98"/>
      <c r="AC37" s="98"/>
      <c r="AD37" s="98"/>
      <c r="AE37" s="98"/>
      <c r="AF37" s="98"/>
      <c r="AG37" s="98"/>
      <c r="AH37" s="98"/>
      <c r="AI37" s="98"/>
      <c r="AJ37" s="98"/>
      <c r="AK37" s="99"/>
    </row>
    <row r="38" spans="1:37" ht="14.25" customHeight="1">
      <c r="A38" s="289"/>
      <c r="B38" s="100"/>
      <c r="C38" s="100"/>
      <c r="D38" s="100"/>
      <c r="E38" s="100"/>
      <c r="F38" s="102"/>
      <c r="G38" s="102"/>
      <c r="H38" s="102"/>
      <c r="I38" s="107"/>
      <c r="J38" s="108"/>
      <c r="K38" s="108"/>
      <c r="L38" s="108"/>
      <c r="M38" s="108"/>
      <c r="N38" s="108"/>
      <c r="O38" s="108"/>
      <c r="P38" s="108"/>
      <c r="Q38" s="109"/>
      <c r="R38" s="100" t="s">
        <v>152</v>
      </c>
      <c r="S38" s="155"/>
      <c r="T38" s="155"/>
      <c r="U38" s="155"/>
      <c r="V38" s="156"/>
      <c r="W38" s="157"/>
      <c r="X38" s="157"/>
      <c r="Y38" s="157"/>
      <c r="Z38" s="157"/>
      <c r="AA38" s="157"/>
      <c r="AB38" s="157"/>
      <c r="AC38" s="157"/>
      <c r="AD38" s="157"/>
      <c r="AE38" s="157"/>
      <c r="AF38" s="157"/>
      <c r="AG38" s="157"/>
      <c r="AH38" s="157"/>
      <c r="AI38" s="157"/>
      <c r="AJ38" s="157"/>
      <c r="AK38" s="158"/>
    </row>
    <row r="39" spans="1:37" ht="14.25" customHeight="1">
      <c r="A39" s="289"/>
      <c r="B39" s="100"/>
      <c r="C39" s="100"/>
      <c r="D39" s="100"/>
      <c r="E39" s="100"/>
      <c r="F39" s="103"/>
      <c r="G39" s="103"/>
      <c r="H39" s="103"/>
      <c r="I39" s="110"/>
      <c r="J39" s="111"/>
      <c r="K39" s="111"/>
      <c r="L39" s="111"/>
      <c r="M39" s="111"/>
      <c r="N39" s="111"/>
      <c r="O39" s="111"/>
      <c r="P39" s="111"/>
      <c r="Q39" s="112"/>
      <c r="R39" s="155"/>
      <c r="S39" s="155"/>
      <c r="T39" s="155"/>
      <c r="U39" s="155"/>
      <c r="V39" s="158"/>
      <c r="W39" s="158"/>
      <c r="X39" s="158"/>
      <c r="Y39" s="158"/>
      <c r="Z39" s="158"/>
      <c r="AA39" s="158"/>
      <c r="AB39" s="158"/>
      <c r="AC39" s="158"/>
      <c r="AD39" s="158"/>
      <c r="AE39" s="158"/>
      <c r="AF39" s="158"/>
      <c r="AG39" s="158"/>
      <c r="AH39" s="158"/>
      <c r="AI39" s="158"/>
      <c r="AJ39" s="158"/>
      <c r="AK39" s="158"/>
    </row>
    <row r="40" spans="1:37" ht="14.25" customHeight="1">
      <c r="A40" s="137" t="s">
        <v>155</v>
      </c>
      <c r="B40" s="262" t="s">
        <v>153</v>
      </c>
      <c r="C40" s="263"/>
      <c r="D40" s="263"/>
      <c r="E40" s="264"/>
      <c r="F40" s="113"/>
      <c r="G40" s="140"/>
      <c r="H40" s="140"/>
      <c r="I40" s="301"/>
      <c r="J40" s="301"/>
      <c r="K40" s="301"/>
      <c r="L40" s="301"/>
      <c r="M40" s="301"/>
      <c r="N40" s="301"/>
      <c r="O40" s="301"/>
      <c r="P40" s="301"/>
      <c r="Q40" s="301"/>
      <c r="R40" s="295" t="s">
        <v>61</v>
      </c>
      <c r="S40" s="178"/>
      <c r="T40" s="178"/>
      <c r="U40" s="133"/>
      <c r="V40" s="159"/>
      <c r="W40" s="160"/>
      <c r="X40" s="160"/>
      <c r="Y40" s="160"/>
      <c r="Z40" s="160"/>
      <c r="AA40" s="160"/>
      <c r="AB40" s="160"/>
      <c r="AC40" s="160"/>
      <c r="AD40" s="160"/>
      <c r="AE40" s="160"/>
      <c r="AF40" s="160"/>
      <c r="AG40" s="160"/>
      <c r="AH40" s="160"/>
      <c r="AI40" s="160"/>
      <c r="AJ40" s="160"/>
      <c r="AK40" s="161"/>
    </row>
    <row r="41" spans="1:37" ht="14.25" customHeight="1">
      <c r="A41" s="135"/>
      <c r="B41" s="263"/>
      <c r="C41" s="263"/>
      <c r="D41" s="263"/>
      <c r="E41" s="264"/>
      <c r="F41" s="140"/>
      <c r="G41" s="140"/>
      <c r="H41" s="140"/>
      <c r="I41" s="140"/>
      <c r="J41" s="140"/>
      <c r="K41" s="140"/>
      <c r="L41" s="140"/>
      <c r="M41" s="140"/>
      <c r="N41" s="140"/>
      <c r="O41" s="140"/>
      <c r="P41" s="140"/>
      <c r="Q41" s="140"/>
      <c r="R41" s="296"/>
      <c r="S41" s="129"/>
      <c r="T41" s="129"/>
      <c r="U41" s="130"/>
      <c r="V41" s="162"/>
      <c r="W41" s="162"/>
      <c r="X41" s="162"/>
      <c r="Y41" s="162"/>
      <c r="Z41" s="162"/>
      <c r="AA41" s="162"/>
      <c r="AB41" s="162"/>
      <c r="AC41" s="162"/>
      <c r="AD41" s="162"/>
      <c r="AE41" s="162"/>
      <c r="AF41" s="162"/>
      <c r="AG41" s="162"/>
      <c r="AH41" s="162"/>
      <c r="AI41" s="162"/>
      <c r="AJ41" s="162"/>
      <c r="AK41" s="163"/>
    </row>
    <row r="42" spans="1:37" ht="14.25" customHeight="1">
      <c r="A42" s="135"/>
      <c r="B42" s="265"/>
      <c r="C42" s="265"/>
      <c r="D42" s="265"/>
      <c r="E42" s="266"/>
      <c r="F42" s="142"/>
      <c r="G42" s="142"/>
      <c r="H42" s="142"/>
      <c r="I42" s="142"/>
      <c r="J42" s="142"/>
      <c r="K42" s="142"/>
      <c r="L42" s="142"/>
      <c r="M42" s="142"/>
      <c r="N42" s="142"/>
      <c r="O42" s="142"/>
      <c r="P42" s="142"/>
      <c r="Q42" s="142"/>
      <c r="R42" s="219" t="s">
        <v>62</v>
      </c>
      <c r="S42" s="184"/>
      <c r="T42" s="184"/>
      <c r="U42" s="185"/>
      <c r="V42" s="284"/>
      <c r="W42" s="285"/>
      <c r="X42" s="285"/>
      <c r="Y42" s="285"/>
      <c r="Z42" s="285"/>
      <c r="AA42" s="285"/>
      <c r="AB42" s="285"/>
      <c r="AC42" s="285"/>
      <c r="AD42" s="285"/>
      <c r="AE42" s="285"/>
      <c r="AF42" s="285"/>
      <c r="AG42" s="285"/>
      <c r="AH42" s="285"/>
      <c r="AI42" s="285"/>
      <c r="AJ42" s="285"/>
      <c r="AK42" s="286"/>
    </row>
    <row r="43" spans="1:37" ht="14.25" customHeight="1">
      <c r="A43" s="135"/>
      <c r="B43" s="267" t="s">
        <v>156</v>
      </c>
      <c r="C43" s="263"/>
      <c r="D43" s="263"/>
      <c r="E43" s="264"/>
      <c r="F43" s="113"/>
      <c r="G43" s="140"/>
      <c r="H43" s="140"/>
      <c r="I43" s="140"/>
      <c r="J43" s="140"/>
      <c r="K43" s="140"/>
      <c r="L43" s="140"/>
      <c r="M43" s="140"/>
      <c r="N43" s="140"/>
      <c r="O43" s="140"/>
      <c r="P43" s="140"/>
      <c r="Q43" s="140"/>
      <c r="R43" s="297" t="s">
        <v>64</v>
      </c>
      <c r="S43" s="298"/>
      <c r="T43" s="298"/>
      <c r="U43" s="299"/>
      <c r="V43" s="113"/>
      <c r="W43" s="287"/>
      <c r="X43" s="287"/>
      <c r="Y43" s="287"/>
      <c r="Z43" s="287"/>
      <c r="AA43" s="287"/>
      <c r="AB43" s="287"/>
      <c r="AC43" s="287"/>
      <c r="AD43" s="287"/>
      <c r="AE43" s="287"/>
      <c r="AF43" s="287"/>
      <c r="AG43" s="287"/>
      <c r="AH43" s="287"/>
      <c r="AI43" s="287"/>
      <c r="AJ43" s="287"/>
      <c r="AK43" s="161"/>
    </row>
    <row r="44" spans="1:37" ht="14.25" customHeight="1">
      <c r="A44" s="136"/>
      <c r="B44" s="265"/>
      <c r="C44" s="265"/>
      <c r="D44" s="265"/>
      <c r="E44" s="266"/>
      <c r="F44" s="142"/>
      <c r="G44" s="142"/>
      <c r="H44" s="142"/>
      <c r="I44" s="142"/>
      <c r="J44" s="142"/>
      <c r="K44" s="142"/>
      <c r="L44" s="142"/>
      <c r="M44" s="142"/>
      <c r="N44" s="142"/>
      <c r="O44" s="142"/>
      <c r="P44" s="142"/>
      <c r="Q44" s="142"/>
      <c r="R44" s="300"/>
      <c r="S44" s="265"/>
      <c r="T44" s="265"/>
      <c r="U44" s="266"/>
      <c r="V44" s="162"/>
      <c r="W44" s="162"/>
      <c r="X44" s="162"/>
      <c r="Y44" s="162"/>
      <c r="Z44" s="162"/>
      <c r="AA44" s="162"/>
      <c r="AB44" s="162"/>
      <c r="AC44" s="162"/>
      <c r="AD44" s="162"/>
      <c r="AE44" s="162"/>
      <c r="AF44" s="162"/>
      <c r="AG44" s="162"/>
      <c r="AH44" s="162"/>
      <c r="AI44" s="162"/>
      <c r="AJ44" s="162"/>
      <c r="AK44" s="163"/>
    </row>
    <row r="45" spans="1:37" ht="14.25" customHeight="1">
      <c r="A45" s="288" t="s">
        <v>65</v>
      </c>
      <c r="B45" s="129"/>
      <c r="C45" s="129"/>
      <c r="D45" s="129"/>
      <c r="E45" s="129"/>
      <c r="F45" s="129"/>
      <c r="G45" s="129"/>
      <c r="H45" s="129"/>
      <c r="I45" s="129"/>
      <c r="J45" s="129"/>
      <c r="K45" s="129"/>
      <c r="L45" s="129"/>
      <c r="M45" s="129"/>
      <c r="N45" s="129"/>
      <c r="O45" s="129"/>
      <c r="P45" s="129"/>
      <c r="Q45" s="129"/>
      <c r="R45" s="130"/>
      <c r="S45" s="294" t="s">
        <v>66</v>
      </c>
      <c r="T45" s="129"/>
      <c r="U45" s="129"/>
      <c r="V45" s="129"/>
      <c r="W45" s="129"/>
      <c r="X45" s="129"/>
      <c r="Y45" s="129"/>
      <c r="Z45" s="129"/>
      <c r="AA45" s="129"/>
      <c r="AB45" s="129"/>
      <c r="AC45" s="129"/>
      <c r="AD45" s="129"/>
      <c r="AE45" s="129"/>
      <c r="AF45" s="129"/>
      <c r="AG45" s="129"/>
      <c r="AH45" s="129"/>
      <c r="AI45" s="129"/>
      <c r="AJ45" s="129"/>
      <c r="AK45" s="130"/>
    </row>
    <row r="46" spans="1:37" ht="17.25" customHeight="1">
      <c r="A46" s="278"/>
      <c r="B46" s="140"/>
      <c r="C46" s="140"/>
      <c r="D46" s="140"/>
      <c r="E46" s="140"/>
      <c r="F46" s="140"/>
      <c r="G46" s="140"/>
      <c r="H46" s="140"/>
      <c r="I46" s="140"/>
      <c r="J46" s="140"/>
      <c r="K46" s="140"/>
      <c r="L46" s="140"/>
      <c r="M46" s="140"/>
      <c r="N46" s="140"/>
      <c r="O46" s="140"/>
      <c r="P46" s="140"/>
      <c r="Q46" s="140"/>
      <c r="R46" s="141"/>
      <c r="S46" s="113"/>
      <c r="T46" s="140"/>
      <c r="U46" s="140"/>
      <c r="V46" s="140"/>
      <c r="W46" s="140"/>
      <c r="X46" s="140"/>
      <c r="Y46" s="140"/>
      <c r="Z46" s="140"/>
      <c r="AA46" s="140"/>
      <c r="AB46" s="140"/>
      <c r="AC46" s="140"/>
      <c r="AD46" s="140"/>
      <c r="AE46" s="140"/>
      <c r="AF46" s="140"/>
      <c r="AG46" s="140"/>
      <c r="AH46" s="140"/>
      <c r="AI46" s="140"/>
      <c r="AJ46" s="140"/>
      <c r="AK46" s="141"/>
    </row>
    <row r="47" spans="1:37" ht="17.25" customHeight="1">
      <c r="A47" s="279"/>
      <c r="B47" s="142"/>
      <c r="C47" s="142"/>
      <c r="D47" s="142"/>
      <c r="E47" s="142"/>
      <c r="F47" s="142"/>
      <c r="G47" s="142"/>
      <c r="H47" s="142"/>
      <c r="I47" s="142"/>
      <c r="J47" s="142"/>
      <c r="K47" s="142"/>
      <c r="L47" s="142"/>
      <c r="M47" s="142"/>
      <c r="N47" s="142"/>
      <c r="O47" s="142"/>
      <c r="P47" s="142"/>
      <c r="Q47" s="142"/>
      <c r="R47" s="143"/>
      <c r="S47" s="142"/>
      <c r="T47" s="142"/>
      <c r="U47" s="142"/>
      <c r="V47" s="142"/>
      <c r="W47" s="142"/>
      <c r="X47" s="142"/>
      <c r="Y47" s="142"/>
      <c r="Z47" s="142"/>
      <c r="AA47" s="142"/>
      <c r="AB47" s="142"/>
      <c r="AC47" s="142"/>
      <c r="AD47" s="142"/>
      <c r="AE47" s="142"/>
      <c r="AF47" s="142"/>
      <c r="AG47" s="142"/>
      <c r="AH47" s="142"/>
      <c r="AI47" s="142"/>
      <c r="AJ47" s="142"/>
      <c r="AK47" s="143"/>
    </row>
    <row r="48" spans="1:37" ht="15.75" customHeight="1">
      <c r="A48" s="288" t="s">
        <v>67</v>
      </c>
      <c r="B48" s="129"/>
      <c r="C48" s="129"/>
      <c r="D48" s="129"/>
      <c r="E48" s="129"/>
      <c r="F48" s="129"/>
      <c r="G48" s="129"/>
      <c r="H48" s="129"/>
      <c r="I48" s="129"/>
      <c r="J48" s="129"/>
      <c r="K48" s="129"/>
      <c r="L48" s="129"/>
      <c r="M48" s="129"/>
      <c r="N48" s="129"/>
      <c r="O48" s="129"/>
      <c r="P48" s="129"/>
      <c r="Q48" s="129"/>
      <c r="R48" s="129"/>
      <c r="S48" s="129"/>
      <c r="T48" s="129"/>
      <c r="U48" s="129"/>
      <c r="V48" s="129"/>
      <c r="W48" s="129"/>
      <c r="X48" s="129"/>
      <c r="Y48" s="129"/>
      <c r="Z48" s="129"/>
      <c r="AA48" s="129"/>
      <c r="AB48" s="129"/>
      <c r="AC48" s="129"/>
      <c r="AD48" s="129"/>
      <c r="AE48" s="129"/>
      <c r="AF48" s="129"/>
      <c r="AG48" s="129"/>
      <c r="AH48" s="129"/>
      <c r="AI48" s="129"/>
      <c r="AJ48" s="129"/>
      <c r="AK48" s="130"/>
    </row>
    <row r="49" spans="1:37" ht="15.75" customHeight="1">
      <c r="A49" s="302"/>
      <c r="B49" s="303"/>
      <c r="C49" s="303"/>
      <c r="D49" s="303"/>
      <c r="E49" s="303"/>
      <c r="F49" s="303"/>
      <c r="G49" s="303"/>
      <c r="H49" s="303"/>
      <c r="I49" s="303"/>
      <c r="J49" s="303"/>
      <c r="K49" s="303"/>
      <c r="L49" s="303"/>
      <c r="M49" s="303"/>
      <c r="N49" s="303"/>
      <c r="O49" s="303"/>
      <c r="P49" s="303"/>
      <c r="Q49" s="303"/>
      <c r="R49" s="303"/>
      <c r="S49" s="303"/>
      <c r="T49" s="303"/>
      <c r="U49" s="303"/>
      <c r="V49" s="303"/>
      <c r="W49" s="303"/>
      <c r="X49" s="303"/>
      <c r="Y49" s="303"/>
      <c r="Z49" s="303"/>
      <c r="AA49" s="303"/>
      <c r="AB49" s="303"/>
      <c r="AC49" s="303"/>
      <c r="AD49" s="303"/>
      <c r="AE49" s="303"/>
      <c r="AF49" s="303"/>
      <c r="AG49" s="303"/>
      <c r="AH49" s="303"/>
      <c r="AI49" s="303"/>
      <c r="AJ49" s="303"/>
      <c r="AK49" s="304"/>
    </row>
    <row r="50" spans="1:37" ht="15.75" customHeight="1">
      <c r="A50" s="302"/>
      <c r="B50" s="303"/>
      <c r="C50" s="303"/>
      <c r="D50" s="303"/>
      <c r="E50" s="303"/>
      <c r="F50" s="303"/>
      <c r="G50" s="303"/>
      <c r="H50" s="303"/>
      <c r="I50" s="303"/>
      <c r="J50" s="303"/>
      <c r="K50" s="303"/>
      <c r="L50" s="303"/>
      <c r="M50" s="303"/>
      <c r="N50" s="303"/>
      <c r="O50" s="303"/>
      <c r="P50" s="303"/>
      <c r="Q50" s="303"/>
      <c r="R50" s="303"/>
      <c r="S50" s="303"/>
      <c r="T50" s="303"/>
      <c r="U50" s="303"/>
      <c r="V50" s="303"/>
      <c r="W50" s="303"/>
      <c r="X50" s="303"/>
      <c r="Y50" s="303"/>
      <c r="Z50" s="303"/>
      <c r="AA50" s="303"/>
      <c r="AB50" s="303"/>
      <c r="AC50" s="303"/>
      <c r="AD50" s="303"/>
      <c r="AE50" s="303"/>
      <c r="AF50" s="303"/>
      <c r="AG50" s="303"/>
      <c r="AH50" s="303"/>
      <c r="AI50" s="303"/>
      <c r="AJ50" s="303"/>
      <c r="AK50" s="304"/>
    </row>
    <row r="51" spans="1:37" ht="15.75" customHeight="1">
      <c r="A51" s="302"/>
      <c r="B51" s="303"/>
      <c r="C51" s="303"/>
      <c r="D51" s="303"/>
      <c r="E51" s="303"/>
      <c r="F51" s="303"/>
      <c r="G51" s="303"/>
      <c r="H51" s="303"/>
      <c r="I51" s="303"/>
      <c r="J51" s="303"/>
      <c r="K51" s="303"/>
      <c r="L51" s="303"/>
      <c r="M51" s="303"/>
      <c r="N51" s="303"/>
      <c r="O51" s="303"/>
      <c r="P51" s="303"/>
      <c r="Q51" s="303"/>
      <c r="R51" s="303"/>
      <c r="S51" s="303"/>
      <c r="T51" s="303"/>
      <c r="U51" s="303"/>
      <c r="V51" s="303"/>
      <c r="W51" s="303"/>
      <c r="X51" s="303"/>
      <c r="Y51" s="303"/>
      <c r="Z51" s="303"/>
      <c r="AA51" s="303"/>
      <c r="AB51" s="303"/>
      <c r="AC51" s="303"/>
      <c r="AD51" s="303"/>
      <c r="AE51" s="303"/>
      <c r="AF51" s="303"/>
      <c r="AG51" s="303"/>
      <c r="AH51" s="303"/>
      <c r="AI51" s="303"/>
      <c r="AJ51" s="303"/>
      <c r="AK51" s="304"/>
    </row>
    <row r="52" spans="1:37" ht="15.75" customHeight="1">
      <c r="A52" s="305"/>
      <c r="B52" s="306"/>
      <c r="C52" s="306"/>
      <c r="D52" s="306"/>
      <c r="E52" s="306"/>
      <c r="F52" s="306"/>
      <c r="G52" s="306"/>
      <c r="H52" s="306"/>
      <c r="I52" s="306"/>
      <c r="J52" s="306"/>
      <c r="K52" s="306"/>
      <c r="L52" s="306"/>
      <c r="M52" s="306"/>
      <c r="N52" s="306"/>
      <c r="O52" s="306"/>
      <c r="P52" s="306"/>
      <c r="Q52" s="306"/>
      <c r="R52" s="306"/>
      <c r="S52" s="306"/>
      <c r="T52" s="306"/>
      <c r="U52" s="306"/>
      <c r="V52" s="306"/>
      <c r="W52" s="306"/>
      <c r="X52" s="306"/>
      <c r="Y52" s="306"/>
      <c r="Z52" s="306"/>
      <c r="AA52" s="306"/>
      <c r="AB52" s="306"/>
      <c r="AC52" s="306"/>
      <c r="AD52" s="306"/>
      <c r="AE52" s="306"/>
      <c r="AF52" s="306"/>
      <c r="AG52" s="306"/>
      <c r="AH52" s="306"/>
      <c r="AI52" s="306"/>
      <c r="AJ52" s="306"/>
      <c r="AK52" s="307"/>
    </row>
    <row r="53" spans="1:37" ht="18" customHeight="1">
      <c r="A53" s="280" t="s">
        <v>68</v>
      </c>
      <c r="B53" s="178"/>
      <c r="C53" s="178"/>
      <c r="D53" s="178"/>
      <c r="E53" s="178"/>
      <c r="F53" s="178"/>
      <c r="G53" s="178"/>
      <c r="H53" s="178"/>
      <c r="I53" s="178"/>
      <c r="J53" s="178"/>
      <c r="K53" s="178"/>
      <c r="L53" s="178"/>
      <c r="M53" s="178"/>
      <c r="N53" s="178"/>
      <c r="O53" s="178"/>
      <c r="P53" s="178"/>
      <c r="Q53" s="178"/>
      <c r="R53" s="178"/>
      <c r="S53" s="178"/>
      <c r="T53" s="178"/>
      <c r="U53" s="178"/>
      <c r="V53" s="178"/>
      <c r="W53" s="178"/>
      <c r="X53" s="178"/>
      <c r="Y53" s="178"/>
      <c r="Z53" s="178"/>
      <c r="AA53" s="178"/>
      <c r="AB53" s="178"/>
      <c r="AC53" s="178"/>
      <c r="AD53" s="178"/>
      <c r="AE53" s="178"/>
      <c r="AF53" s="178"/>
      <c r="AG53" s="178"/>
      <c r="AH53" s="178"/>
      <c r="AI53" s="178"/>
      <c r="AJ53" s="178"/>
      <c r="AK53" s="133"/>
    </row>
    <row r="54" spans="1:37" ht="12" customHeight="1">
      <c r="A54" s="156"/>
      <c r="B54" s="171"/>
      <c r="C54" s="171"/>
      <c r="D54" s="171"/>
      <c r="E54" s="171"/>
      <c r="F54" s="171"/>
      <c r="G54" s="171"/>
      <c r="H54" s="171"/>
      <c r="I54" s="171"/>
      <c r="J54" s="171"/>
      <c r="K54" s="171"/>
      <c r="L54" s="171"/>
      <c r="M54" s="171"/>
      <c r="N54" s="171"/>
      <c r="O54" s="171"/>
      <c r="P54" s="171"/>
      <c r="Q54" s="171"/>
      <c r="R54" s="171"/>
      <c r="S54" s="171"/>
      <c r="T54" s="171"/>
      <c r="U54" s="171"/>
      <c r="V54" s="171"/>
      <c r="W54" s="171"/>
      <c r="X54" s="171"/>
      <c r="Y54" s="171"/>
      <c r="Z54" s="171"/>
      <c r="AA54" s="171"/>
      <c r="AB54" s="171"/>
      <c r="AC54" s="171"/>
      <c r="AD54" s="171"/>
      <c r="AE54" s="171"/>
      <c r="AF54" s="171"/>
      <c r="AG54" s="171"/>
      <c r="AH54" s="171"/>
      <c r="AI54" s="171"/>
      <c r="AJ54" s="171"/>
      <c r="AK54" s="171"/>
    </row>
    <row r="55" spans="1:37" ht="14.25" customHeight="1">
      <c r="A55" s="171"/>
      <c r="B55" s="172"/>
      <c r="C55" s="172"/>
      <c r="D55" s="172"/>
      <c r="E55" s="172"/>
      <c r="F55" s="172"/>
      <c r="G55" s="172"/>
      <c r="H55" s="172"/>
      <c r="I55" s="172"/>
      <c r="J55" s="172"/>
      <c r="K55" s="172"/>
      <c r="L55" s="172"/>
      <c r="M55" s="172"/>
      <c r="N55" s="172"/>
      <c r="O55" s="172"/>
      <c r="P55" s="172"/>
      <c r="Q55" s="172"/>
      <c r="R55" s="172"/>
      <c r="S55" s="172"/>
      <c r="T55" s="172"/>
      <c r="U55" s="172"/>
      <c r="V55" s="172"/>
      <c r="W55" s="172"/>
      <c r="X55" s="172"/>
      <c r="Y55" s="172"/>
      <c r="Z55" s="172"/>
      <c r="AA55" s="172"/>
      <c r="AB55" s="172"/>
      <c r="AC55" s="172"/>
      <c r="AD55" s="172"/>
      <c r="AE55" s="172"/>
      <c r="AF55" s="172"/>
      <c r="AG55" s="172"/>
      <c r="AH55" s="172"/>
      <c r="AI55" s="172"/>
      <c r="AJ55" s="172"/>
      <c r="AK55" s="171"/>
    </row>
    <row r="56" spans="1:37" ht="25.5" customHeight="1">
      <c r="A56" s="171"/>
      <c r="B56" s="171"/>
      <c r="C56" s="171"/>
      <c r="D56" s="171"/>
      <c r="E56" s="171"/>
      <c r="F56" s="171"/>
      <c r="G56" s="171"/>
      <c r="H56" s="171"/>
      <c r="I56" s="171"/>
      <c r="J56" s="171"/>
      <c r="K56" s="171"/>
      <c r="L56" s="171"/>
      <c r="M56" s="171"/>
      <c r="N56" s="171"/>
      <c r="O56" s="171"/>
      <c r="P56" s="171"/>
      <c r="Q56" s="171"/>
      <c r="R56" s="171"/>
      <c r="S56" s="171"/>
      <c r="T56" s="171"/>
      <c r="U56" s="171"/>
      <c r="V56" s="171"/>
      <c r="W56" s="171"/>
      <c r="X56" s="171"/>
      <c r="Y56" s="171"/>
      <c r="Z56" s="171"/>
      <c r="AA56" s="171"/>
      <c r="AB56" s="171"/>
      <c r="AC56" s="171"/>
      <c r="AD56" s="171"/>
      <c r="AE56" s="171"/>
      <c r="AF56" s="171"/>
      <c r="AG56" s="171"/>
      <c r="AH56" s="171"/>
      <c r="AI56" s="171"/>
      <c r="AJ56" s="171"/>
      <c r="AK56" s="171"/>
    </row>
    <row r="57" spans="1:37" ht="18" customHeight="1">
      <c r="A57" s="118" t="s">
        <v>69</v>
      </c>
      <c r="B57" s="118"/>
      <c r="C57" s="118"/>
      <c r="D57" s="118"/>
      <c r="E57" s="118"/>
      <c r="F57" s="118"/>
      <c r="G57" s="118"/>
      <c r="H57" s="118"/>
      <c r="I57" s="118"/>
      <c r="J57" s="118"/>
      <c r="K57" s="118"/>
      <c r="L57" s="118"/>
      <c r="M57" s="118"/>
      <c r="N57" s="118"/>
      <c r="O57" s="118"/>
      <c r="P57" s="118"/>
      <c r="Q57" s="118"/>
      <c r="R57" s="118"/>
      <c r="S57" s="118"/>
      <c r="T57" s="118"/>
      <c r="U57" s="118"/>
      <c r="V57" s="118"/>
      <c r="W57" s="118"/>
      <c r="X57" s="118"/>
      <c r="Y57" s="118"/>
      <c r="Z57" s="118"/>
      <c r="AA57" s="118"/>
      <c r="AB57" s="118" t="s">
        <v>70</v>
      </c>
      <c r="AC57" s="118"/>
      <c r="AD57" s="118"/>
      <c r="AE57" s="118"/>
      <c r="AF57" s="118"/>
      <c r="AG57" s="118"/>
      <c r="AH57" s="118"/>
      <c r="AI57" s="118"/>
      <c r="AJ57" s="118"/>
      <c r="AK57" s="118"/>
    </row>
    <row r="58" spans="1:37" ht="15" customHeight="1">
      <c r="A58" s="138" t="s">
        <v>71</v>
      </c>
      <c r="B58" s="281" t="s">
        <v>72</v>
      </c>
      <c r="C58" s="282"/>
      <c r="D58" s="282"/>
      <c r="E58" s="282"/>
      <c r="F58" s="282"/>
      <c r="G58" s="282"/>
      <c r="H58" s="283"/>
      <c r="I58" s="274"/>
      <c r="J58" s="275"/>
      <c r="K58" s="275"/>
      <c r="L58" s="275"/>
      <c r="M58" s="275"/>
      <c r="N58" s="275"/>
      <c r="O58" s="276"/>
      <c r="P58" s="268"/>
      <c r="Q58" s="269"/>
      <c r="R58" s="269"/>
      <c r="S58" s="269"/>
      <c r="T58" s="269"/>
      <c r="U58" s="269"/>
      <c r="V58" s="269"/>
      <c r="W58" s="269"/>
      <c r="X58" s="269"/>
      <c r="Y58" s="269"/>
      <c r="Z58" s="269"/>
      <c r="AA58" s="270"/>
      <c r="AB58" s="268"/>
      <c r="AC58" s="269"/>
      <c r="AD58" s="269"/>
      <c r="AE58" s="269"/>
      <c r="AF58" s="269"/>
      <c r="AG58" s="269"/>
      <c r="AH58" s="269"/>
      <c r="AI58" s="269"/>
      <c r="AJ58" s="269"/>
      <c r="AK58" s="270"/>
    </row>
    <row r="59" spans="1:37" ht="15" customHeight="1">
      <c r="A59" s="135"/>
      <c r="B59" s="277" t="s">
        <v>73</v>
      </c>
      <c r="C59" s="165"/>
      <c r="D59" s="165"/>
      <c r="E59" s="165"/>
      <c r="F59" s="165"/>
      <c r="G59" s="165"/>
      <c r="H59" s="130"/>
      <c r="I59" s="166"/>
      <c r="J59" s="167"/>
      <c r="K59" s="167"/>
      <c r="L59" s="167"/>
      <c r="M59" s="167"/>
      <c r="N59" s="167"/>
      <c r="O59" s="146"/>
      <c r="P59" s="271"/>
      <c r="Q59" s="271"/>
      <c r="R59" s="271"/>
      <c r="S59" s="271"/>
      <c r="T59" s="271"/>
      <c r="U59" s="271"/>
      <c r="V59" s="271"/>
      <c r="W59" s="271"/>
      <c r="X59" s="271"/>
      <c r="Y59" s="271"/>
      <c r="Z59" s="271"/>
      <c r="AA59" s="115"/>
      <c r="AB59" s="271"/>
      <c r="AC59" s="271"/>
      <c r="AD59" s="271"/>
      <c r="AE59" s="271"/>
      <c r="AF59" s="271"/>
      <c r="AG59" s="271"/>
      <c r="AH59" s="271"/>
      <c r="AI59" s="271"/>
      <c r="AJ59" s="271"/>
      <c r="AK59" s="115"/>
    </row>
    <row r="60" spans="1:37" ht="15" customHeight="1">
      <c r="A60" s="135"/>
      <c r="B60" s="277" t="s">
        <v>74</v>
      </c>
      <c r="C60" s="165"/>
      <c r="D60" s="165"/>
      <c r="E60" s="165"/>
      <c r="F60" s="165"/>
      <c r="G60" s="165"/>
      <c r="H60" s="130"/>
      <c r="I60" s="166"/>
      <c r="J60" s="167"/>
      <c r="K60" s="167"/>
      <c r="L60" s="167"/>
      <c r="M60" s="167"/>
      <c r="N60" s="167"/>
      <c r="O60" s="146"/>
      <c r="P60" s="271"/>
      <c r="Q60" s="271"/>
      <c r="R60" s="271"/>
      <c r="S60" s="271"/>
      <c r="T60" s="271"/>
      <c r="U60" s="271"/>
      <c r="V60" s="271"/>
      <c r="W60" s="271"/>
      <c r="X60" s="271"/>
      <c r="Y60" s="271"/>
      <c r="Z60" s="271"/>
      <c r="AA60" s="115"/>
      <c r="AB60" s="271"/>
      <c r="AC60" s="271"/>
      <c r="AD60" s="271"/>
      <c r="AE60" s="271"/>
      <c r="AF60" s="271"/>
      <c r="AG60" s="271"/>
      <c r="AH60" s="271"/>
      <c r="AI60" s="271"/>
      <c r="AJ60" s="271"/>
      <c r="AK60" s="115"/>
    </row>
    <row r="61" spans="1:37" ht="15" customHeight="1">
      <c r="A61" s="135"/>
      <c r="B61" s="277" t="s">
        <v>75</v>
      </c>
      <c r="C61" s="165"/>
      <c r="D61" s="165"/>
      <c r="E61" s="165"/>
      <c r="F61" s="165"/>
      <c r="G61" s="165"/>
      <c r="H61" s="130"/>
      <c r="I61" s="166"/>
      <c r="J61" s="167"/>
      <c r="K61" s="167"/>
      <c r="L61" s="167"/>
      <c r="M61" s="167"/>
      <c r="N61" s="167"/>
      <c r="O61" s="146"/>
      <c r="P61" s="271"/>
      <c r="Q61" s="271"/>
      <c r="R61" s="271"/>
      <c r="S61" s="271"/>
      <c r="T61" s="271"/>
      <c r="U61" s="271"/>
      <c r="V61" s="271"/>
      <c r="W61" s="271"/>
      <c r="X61" s="271"/>
      <c r="Y61" s="271"/>
      <c r="Z61" s="271"/>
      <c r="AA61" s="115"/>
      <c r="AB61" s="271"/>
      <c r="AC61" s="271"/>
      <c r="AD61" s="271"/>
      <c r="AE61" s="271"/>
      <c r="AF61" s="271"/>
      <c r="AG61" s="271"/>
      <c r="AH61" s="271"/>
      <c r="AI61" s="271"/>
      <c r="AJ61" s="271"/>
      <c r="AK61" s="115"/>
    </row>
    <row r="62" spans="1:37" ht="15" customHeight="1">
      <c r="A62" s="135"/>
      <c r="B62" s="277" t="s">
        <v>76</v>
      </c>
      <c r="C62" s="165"/>
      <c r="D62" s="165"/>
      <c r="E62" s="165"/>
      <c r="F62" s="165"/>
      <c r="G62" s="165"/>
      <c r="H62" s="130"/>
      <c r="I62" s="166"/>
      <c r="J62" s="167"/>
      <c r="K62" s="167"/>
      <c r="L62" s="167"/>
      <c r="M62" s="167"/>
      <c r="N62" s="167"/>
      <c r="O62" s="146"/>
      <c r="P62" s="271"/>
      <c r="Q62" s="271"/>
      <c r="R62" s="271"/>
      <c r="S62" s="271"/>
      <c r="T62" s="271"/>
      <c r="U62" s="271"/>
      <c r="V62" s="271"/>
      <c r="W62" s="271"/>
      <c r="X62" s="271"/>
      <c r="Y62" s="271"/>
      <c r="Z62" s="271"/>
      <c r="AA62" s="115"/>
      <c r="AB62" s="271"/>
      <c r="AC62" s="271"/>
      <c r="AD62" s="271"/>
      <c r="AE62" s="271"/>
      <c r="AF62" s="271"/>
      <c r="AG62" s="271"/>
      <c r="AH62" s="271"/>
      <c r="AI62" s="271"/>
      <c r="AJ62" s="271"/>
      <c r="AK62" s="115"/>
    </row>
    <row r="63" spans="1:37" ht="15" customHeight="1">
      <c r="A63" s="135"/>
      <c r="B63" s="277" t="s">
        <v>77</v>
      </c>
      <c r="C63" s="165"/>
      <c r="D63" s="165"/>
      <c r="E63" s="165"/>
      <c r="F63" s="165"/>
      <c r="G63" s="165"/>
      <c r="H63" s="130"/>
      <c r="I63" s="166"/>
      <c r="J63" s="167"/>
      <c r="K63" s="167"/>
      <c r="L63" s="167"/>
      <c r="M63" s="167"/>
      <c r="N63" s="166" t="s">
        <v>78</v>
      </c>
      <c r="O63" s="146"/>
      <c r="P63" s="271"/>
      <c r="Q63" s="271"/>
      <c r="R63" s="271"/>
      <c r="S63" s="271"/>
      <c r="T63" s="271"/>
      <c r="U63" s="271"/>
      <c r="V63" s="271"/>
      <c r="W63" s="271"/>
      <c r="X63" s="271"/>
      <c r="Y63" s="271"/>
      <c r="Z63" s="271"/>
      <c r="AA63" s="115"/>
      <c r="AB63" s="271"/>
      <c r="AC63" s="271"/>
      <c r="AD63" s="271"/>
      <c r="AE63" s="271"/>
      <c r="AF63" s="271"/>
      <c r="AG63" s="271"/>
      <c r="AH63" s="271"/>
      <c r="AI63" s="271"/>
      <c r="AJ63" s="271"/>
      <c r="AK63" s="115"/>
    </row>
    <row r="64" spans="1:37" ht="15" customHeight="1">
      <c r="A64" s="135"/>
      <c r="B64" s="277" t="s">
        <v>79</v>
      </c>
      <c r="C64" s="165"/>
      <c r="D64" s="165"/>
      <c r="E64" s="165"/>
      <c r="F64" s="165"/>
      <c r="G64" s="165"/>
      <c r="H64" s="130"/>
      <c r="I64" s="166"/>
      <c r="J64" s="167"/>
      <c r="K64" s="167"/>
      <c r="L64" s="167"/>
      <c r="M64" s="167"/>
      <c r="N64" s="166" t="s">
        <v>80</v>
      </c>
      <c r="O64" s="146"/>
      <c r="P64" s="271"/>
      <c r="Q64" s="271"/>
      <c r="R64" s="271"/>
      <c r="S64" s="271"/>
      <c r="T64" s="271"/>
      <c r="U64" s="271"/>
      <c r="V64" s="271"/>
      <c r="W64" s="271"/>
      <c r="X64" s="271"/>
      <c r="Y64" s="271"/>
      <c r="Z64" s="271"/>
      <c r="AA64" s="115"/>
      <c r="AB64" s="271"/>
      <c r="AC64" s="271"/>
      <c r="AD64" s="271"/>
      <c r="AE64" s="271"/>
      <c r="AF64" s="271"/>
      <c r="AG64" s="271"/>
      <c r="AH64" s="271"/>
      <c r="AI64" s="271"/>
      <c r="AJ64" s="271"/>
      <c r="AK64" s="115"/>
    </row>
    <row r="65" spans="1:37" ht="15" customHeight="1">
      <c r="A65" s="135"/>
      <c r="B65" s="131" t="s">
        <v>81</v>
      </c>
      <c r="C65" s="164" t="s">
        <v>81</v>
      </c>
      <c r="D65" s="165"/>
      <c r="E65" s="165"/>
      <c r="F65" s="165"/>
      <c r="G65" s="165"/>
      <c r="H65" s="130"/>
      <c r="I65" s="166"/>
      <c r="J65" s="167"/>
      <c r="K65" s="167"/>
      <c r="L65" s="167"/>
      <c r="M65" s="167"/>
      <c r="N65" s="167"/>
      <c r="O65" s="146"/>
      <c r="P65" s="271"/>
      <c r="Q65" s="271"/>
      <c r="R65" s="271"/>
      <c r="S65" s="271"/>
      <c r="T65" s="271"/>
      <c r="U65" s="271"/>
      <c r="V65" s="271"/>
      <c r="W65" s="271"/>
      <c r="X65" s="271"/>
      <c r="Y65" s="271"/>
      <c r="Z65" s="271"/>
      <c r="AA65" s="115"/>
      <c r="AB65" s="271"/>
      <c r="AC65" s="271"/>
      <c r="AD65" s="271"/>
      <c r="AE65" s="271"/>
      <c r="AF65" s="271"/>
      <c r="AG65" s="271"/>
      <c r="AH65" s="271"/>
      <c r="AI65" s="271"/>
      <c r="AJ65" s="271"/>
      <c r="AK65" s="115"/>
    </row>
    <row r="66" spans="1:37" ht="15" customHeight="1">
      <c r="A66" s="135"/>
      <c r="B66" s="130"/>
      <c r="C66" s="164" t="s">
        <v>82</v>
      </c>
      <c r="D66" s="165"/>
      <c r="E66" s="165"/>
      <c r="F66" s="165"/>
      <c r="G66" s="165"/>
      <c r="H66" s="130"/>
      <c r="I66" s="166"/>
      <c r="J66" s="167"/>
      <c r="K66" s="167"/>
      <c r="L66" s="167"/>
      <c r="M66" s="167"/>
      <c r="N66" s="167"/>
      <c r="O66" s="146"/>
      <c r="P66" s="271"/>
      <c r="Q66" s="271"/>
      <c r="R66" s="271"/>
      <c r="S66" s="271"/>
      <c r="T66" s="271"/>
      <c r="U66" s="271"/>
      <c r="V66" s="271"/>
      <c r="W66" s="271"/>
      <c r="X66" s="271"/>
      <c r="Y66" s="271"/>
      <c r="Z66" s="271"/>
      <c r="AA66" s="115"/>
      <c r="AB66" s="271"/>
      <c r="AC66" s="271"/>
      <c r="AD66" s="271"/>
      <c r="AE66" s="271"/>
      <c r="AF66" s="271"/>
      <c r="AG66" s="271"/>
      <c r="AH66" s="271"/>
      <c r="AI66" s="271"/>
      <c r="AJ66" s="271"/>
      <c r="AK66" s="115"/>
    </row>
    <row r="67" spans="1:37" ht="15" customHeight="1">
      <c r="A67" s="135"/>
      <c r="B67" s="131" t="s">
        <v>83</v>
      </c>
      <c r="C67" s="164" t="s">
        <v>83</v>
      </c>
      <c r="D67" s="165"/>
      <c r="E67" s="165"/>
      <c r="F67" s="165"/>
      <c r="G67" s="165"/>
      <c r="H67" s="130"/>
      <c r="I67" s="166"/>
      <c r="J67" s="167"/>
      <c r="K67" s="167"/>
      <c r="L67" s="167"/>
      <c r="M67" s="167"/>
      <c r="N67" s="167"/>
      <c r="O67" s="146"/>
      <c r="P67" s="271"/>
      <c r="Q67" s="271"/>
      <c r="R67" s="271"/>
      <c r="S67" s="271"/>
      <c r="T67" s="271"/>
      <c r="U67" s="271"/>
      <c r="V67" s="271"/>
      <c r="W67" s="271"/>
      <c r="X67" s="271"/>
      <c r="Y67" s="271"/>
      <c r="Z67" s="271"/>
      <c r="AA67" s="115"/>
      <c r="AB67" s="271"/>
      <c r="AC67" s="271"/>
      <c r="AD67" s="271"/>
      <c r="AE67" s="271"/>
      <c r="AF67" s="271"/>
      <c r="AG67" s="271"/>
      <c r="AH67" s="271"/>
      <c r="AI67" s="271"/>
      <c r="AJ67" s="271"/>
      <c r="AK67" s="115"/>
    </row>
    <row r="68" spans="1:37" ht="15" customHeight="1">
      <c r="A68" s="136"/>
      <c r="B68" s="130"/>
      <c r="C68" s="164" t="s">
        <v>84</v>
      </c>
      <c r="D68" s="165"/>
      <c r="E68" s="165"/>
      <c r="F68" s="165"/>
      <c r="G68" s="165"/>
      <c r="H68" s="130"/>
      <c r="I68" s="166"/>
      <c r="J68" s="167"/>
      <c r="K68" s="167"/>
      <c r="L68" s="167"/>
      <c r="M68" s="167"/>
      <c r="N68" s="167"/>
      <c r="O68" s="146"/>
      <c r="P68" s="272"/>
      <c r="Q68" s="272"/>
      <c r="R68" s="272"/>
      <c r="S68" s="272"/>
      <c r="T68" s="272"/>
      <c r="U68" s="272"/>
      <c r="V68" s="272"/>
      <c r="W68" s="272"/>
      <c r="X68" s="272"/>
      <c r="Y68" s="272"/>
      <c r="Z68" s="272"/>
      <c r="AA68" s="117"/>
      <c r="AB68" s="272"/>
      <c r="AC68" s="272"/>
      <c r="AD68" s="272"/>
      <c r="AE68" s="272"/>
      <c r="AF68" s="272"/>
      <c r="AG68" s="272"/>
      <c r="AH68" s="272"/>
      <c r="AI68" s="272"/>
      <c r="AJ68" s="272"/>
      <c r="AK68" s="117"/>
    </row>
    <row r="69" spans="1:37" ht="15" customHeight="1">
      <c r="A69" s="134" t="s">
        <v>85</v>
      </c>
      <c r="B69" s="128" t="s">
        <v>86</v>
      </c>
      <c r="C69" s="129"/>
      <c r="D69" s="129"/>
      <c r="E69" s="129"/>
      <c r="F69" s="129"/>
      <c r="G69" s="129"/>
      <c r="H69" s="130"/>
      <c r="I69" s="168"/>
      <c r="J69" s="145"/>
      <c r="K69" s="145"/>
      <c r="L69" s="145"/>
      <c r="M69" s="145"/>
      <c r="N69" s="145"/>
      <c r="O69" s="146"/>
      <c r="P69" s="113"/>
      <c r="Q69" s="114"/>
      <c r="R69" s="114"/>
      <c r="S69" s="114"/>
      <c r="T69" s="114"/>
      <c r="U69" s="114"/>
      <c r="V69" s="114"/>
      <c r="W69" s="114"/>
      <c r="X69" s="114"/>
      <c r="Y69" s="114"/>
      <c r="Z69" s="114"/>
      <c r="AA69" s="115"/>
      <c r="AB69" s="113"/>
      <c r="AC69" s="114"/>
      <c r="AD69" s="114"/>
      <c r="AE69" s="114"/>
      <c r="AF69" s="114"/>
      <c r="AG69" s="114"/>
      <c r="AH69" s="114"/>
      <c r="AI69" s="114"/>
      <c r="AJ69" s="114"/>
      <c r="AK69" s="115"/>
    </row>
    <row r="70" spans="1:37" ht="15" customHeight="1">
      <c r="A70" s="135"/>
      <c r="B70" s="128" t="s">
        <v>87</v>
      </c>
      <c r="C70" s="129"/>
      <c r="D70" s="129"/>
      <c r="E70" s="129"/>
      <c r="F70" s="129"/>
      <c r="G70" s="129"/>
      <c r="H70" s="130"/>
      <c r="I70" s="168"/>
      <c r="J70" s="145"/>
      <c r="K70" s="145"/>
      <c r="L70" s="145"/>
      <c r="M70" s="145"/>
      <c r="N70" s="145"/>
      <c r="O70" s="146"/>
      <c r="P70" s="114"/>
      <c r="Q70" s="114"/>
      <c r="R70" s="114"/>
      <c r="S70" s="114"/>
      <c r="T70" s="114"/>
      <c r="U70" s="114"/>
      <c r="V70" s="114"/>
      <c r="W70" s="114"/>
      <c r="X70" s="114"/>
      <c r="Y70" s="114"/>
      <c r="Z70" s="114"/>
      <c r="AA70" s="115"/>
      <c r="AB70" s="114"/>
      <c r="AC70" s="114"/>
      <c r="AD70" s="114"/>
      <c r="AE70" s="114"/>
      <c r="AF70" s="114"/>
      <c r="AG70" s="114"/>
      <c r="AH70" s="114"/>
      <c r="AI70" s="114"/>
      <c r="AJ70" s="114"/>
      <c r="AK70" s="115"/>
    </row>
    <row r="71" spans="1:37" ht="15" customHeight="1">
      <c r="A71" s="135"/>
      <c r="B71" s="128" t="s">
        <v>88</v>
      </c>
      <c r="C71" s="129"/>
      <c r="D71" s="129"/>
      <c r="E71" s="129"/>
      <c r="F71" s="129"/>
      <c r="G71" s="129"/>
      <c r="H71" s="130"/>
      <c r="I71" s="168"/>
      <c r="J71" s="145"/>
      <c r="K71" s="145"/>
      <c r="L71" s="145"/>
      <c r="M71" s="145"/>
      <c r="N71" s="145"/>
      <c r="O71" s="146"/>
      <c r="P71" s="114"/>
      <c r="Q71" s="114"/>
      <c r="R71" s="114"/>
      <c r="S71" s="114"/>
      <c r="T71" s="114"/>
      <c r="U71" s="114"/>
      <c r="V71" s="114"/>
      <c r="W71" s="114"/>
      <c r="X71" s="114"/>
      <c r="Y71" s="114"/>
      <c r="Z71" s="114"/>
      <c r="AA71" s="115"/>
      <c r="AB71" s="114"/>
      <c r="AC71" s="114"/>
      <c r="AD71" s="114"/>
      <c r="AE71" s="114"/>
      <c r="AF71" s="114"/>
      <c r="AG71" s="114"/>
      <c r="AH71" s="114"/>
      <c r="AI71" s="114"/>
      <c r="AJ71" s="114"/>
      <c r="AK71" s="115"/>
    </row>
    <row r="72" spans="1:37" ht="15" customHeight="1">
      <c r="A72" s="135"/>
      <c r="B72" s="128" t="s">
        <v>89</v>
      </c>
      <c r="C72" s="129"/>
      <c r="D72" s="129"/>
      <c r="E72" s="129"/>
      <c r="F72" s="129"/>
      <c r="G72" s="129"/>
      <c r="H72" s="130"/>
      <c r="I72" s="168"/>
      <c r="J72" s="145"/>
      <c r="K72" s="145"/>
      <c r="L72" s="145"/>
      <c r="M72" s="145"/>
      <c r="N72" s="145"/>
      <c r="O72" s="146"/>
      <c r="P72" s="114"/>
      <c r="Q72" s="114"/>
      <c r="R72" s="114"/>
      <c r="S72" s="114"/>
      <c r="T72" s="114"/>
      <c r="U72" s="114"/>
      <c r="V72" s="114"/>
      <c r="W72" s="114"/>
      <c r="X72" s="114"/>
      <c r="Y72" s="114"/>
      <c r="Z72" s="114"/>
      <c r="AA72" s="115"/>
      <c r="AB72" s="114"/>
      <c r="AC72" s="114"/>
      <c r="AD72" s="114"/>
      <c r="AE72" s="114"/>
      <c r="AF72" s="114"/>
      <c r="AG72" s="114"/>
      <c r="AH72" s="114"/>
      <c r="AI72" s="114"/>
      <c r="AJ72" s="114"/>
      <c r="AK72" s="115"/>
    </row>
    <row r="73" spans="1:37" ht="15" customHeight="1">
      <c r="A73" s="135"/>
      <c r="B73" s="128" t="s">
        <v>90</v>
      </c>
      <c r="C73" s="129"/>
      <c r="D73" s="129"/>
      <c r="E73" s="129"/>
      <c r="F73" s="129"/>
      <c r="G73" s="129"/>
      <c r="H73" s="130"/>
      <c r="I73" s="168"/>
      <c r="J73" s="145"/>
      <c r="K73" s="145"/>
      <c r="L73" s="145"/>
      <c r="M73" s="145"/>
      <c r="N73" s="145"/>
      <c r="O73" s="146"/>
      <c r="P73" s="114"/>
      <c r="Q73" s="114"/>
      <c r="R73" s="114"/>
      <c r="S73" s="114"/>
      <c r="T73" s="114"/>
      <c r="U73" s="114"/>
      <c r="V73" s="114"/>
      <c r="W73" s="114"/>
      <c r="X73" s="114"/>
      <c r="Y73" s="114"/>
      <c r="Z73" s="114"/>
      <c r="AA73" s="115"/>
      <c r="AB73" s="114"/>
      <c r="AC73" s="114"/>
      <c r="AD73" s="114"/>
      <c r="AE73" s="114"/>
      <c r="AF73" s="114"/>
      <c r="AG73" s="114"/>
      <c r="AH73" s="114"/>
      <c r="AI73" s="114"/>
      <c r="AJ73" s="114"/>
      <c r="AK73" s="115"/>
    </row>
    <row r="74" spans="1:37" ht="15" customHeight="1">
      <c r="A74" s="135"/>
      <c r="B74" s="128" t="s">
        <v>91</v>
      </c>
      <c r="C74" s="129"/>
      <c r="D74" s="129"/>
      <c r="E74" s="129"/>
      <c r="F74" s="129"/>
      <c r="G74" s="129"/>
      <c r="H74" s="130"/>
      <c r="I74" s="168"/>
      <c r="J74" s="145"/>
      <c r="K74" s="145"/>
      <c r="L74" s="145"/>
      <c r="M74" s="145"/>
      <c r="N74" s="145"/>
      <c r="O74" s="146"/>
      <c r="P74" s="114"/>
      <c r="Q74" s="114"/>
      <c r="R74" s="114"/>
      <c r="S74" s="114"/>
      <c r="T74" s="114"/>
      <c r="U74" s="114"/>
      <c r="V74" s="114"/>
      <c r="W74" s="114"/>
      <c r="X74" s="114"/>
      <c r="Y74" s="114"/>
      <c r="Z74" s="114"/>
      <c r="AA74" s="115"/>
      <c r="AB74" s="114"/>
      <c r="AC74" s="114"/>
      <c r="AD74" s="114"/>
      <c r="AE74" s="114"/>
      <c r="AF74" s="114"/>
      <c r="AG74" s="114"/>
      <c r="AH74" s="114"/>
      <c r="AI74" s="114"/>
      <c r="AJ74" s="114"/>
      <c r="AK74" s="115"/>
    </row>
    <row r="75" spans="1:37" ht="15" customHeight="1">
      <c r="A75" s="135"/>
      <c r="B75" s="128" t="s">
        <v>92</v>
      </c>
      <c r="C75" s="129"/>
      <c r="D75" s="129"/>
      <c r="E75" s="129"/>
      <c r="F75" s="129"/>
      <c r="G75" s="129"/>
      <c r="H75" s="130"/>
      <c r="I75" s="168"/>
      <c r="J75" s="145"/>
      <c r="K75" s="145"/>
      <c r="L75" s="145"/>
      <c r="M75" s="145"/>
      <c r="N75" s="145"/>
      <c r="O75" s="146"/>
      <c r="P75" s="114"/>
      <c r="Q75" s="114"/>
      <c r="R75" s="114"/>
      <c r="S75" s="114"/>
      <c r="T75" s="114"/>
      <c r="U75" s="114"/>
      <c r="V75" s="114"/>
      <c r="W75" s="114"/>
      <c r="X75" s="114"/>
      <c r="Y75" s="114"/>
      <c r="Z75" s="114"/>
      <c r="AA75" s="115"/>
      <c r="AB75" s="114"/>
      <c r="AC75" s="114"/>
      <c r="AD75" s="114"/>
      <c r="AE75" s="114"/>
      <c r="AF75" s="114"/>
      <c r="AG75" s="114"/>
      <c r="AH75" s="114"/>
      <c r="AI75" s="114"/>
      <c r="AJ75" s="114"/>
      <c r="AK75" s="115"/>
    </row>
    <row r="76" spans="1:37" ht="15" customHeight="1">
      <c r="A76" s="135"/>
      <c r="B76" s="128" t="s">
        <v>93</v>
      </c>
      <c r="C76" s="129"/>
      <c r="D76" s="129"/>
      <c r="E76" s="129"/>
      <c r="F76" s="129"/>
      <c r="G76" s="129"/>
      <c r="H76" s="130"/>
      <c r="I76" s="168"/>
      <c r="J76" s="145"/>
      <c r="K76" s="145"/>
      <c r="L76" s="145"/>
      <c r="M76" s="145"/>
      <c r="N76" s="145"/>
      <c r="O76" s="146"/>
      <c r="P76" s="114"/>
      <c r="Q76" s="114"/>
      <c r="R76" s="114"/>
      <c r="S76" s="114"/>
      <c r="T76" s="114"/>
      <c r="U76" s="114"/>
      <c r="V76" s="114"/>
      <c r="W76" s="114"/>
      <c r="X76" s="114"/>
      <c r="Y76" s="114"/>
      <c r="Z76" s="114"/>
      <c r="AA76" s="115"/>
      <c r="AB76" s="114"/>
      <c r="AC76" s="114"/>
      <c r="AD76" s="114"/>
      <c r="AE76" s="114"/>
      <c r="AF76" s="114"/>
      <c r="AG76" s="114"/>
      <c r="AH76" s="114"/>
      <c r="AI76" s="114"/>
      <c r="AJ76" s="114"/>
      <c r="AK76" s="115"/>
    </row>
    <row r="77" spans="1:37" ht="15" customHeight="1">
      <c r="A77" s="135"/>
      <c r="B77" s="128" t="s">
        <v>94</v>
      </c>
      <c r="C77" s="129"/>
      <c r="D77" s="129"/>
      <c r="E77" s="129"/>
      <c r="F77" s="129"/>
      <c r="G77" s="129"/>
      <c r="H77" s="130"/>
      <c r="I77" s="144"/>
      <c r="J77" s="145"/>
      <c r="K77" s="145"/>
      <c r="L77" s="145"/>
      <c r="M77" s="145"/>
      <c r="N77" s="145"/>
      <c r="O77" s="146"/>
      <c r="P77" s="114"/>
      <c r="Q77" s="114"/>
      <c r="R77" s="114"/>
      <c r="S77" s="114"/>
      <c r="T77" s="114"/>
      <c r="U77" s="114"/>
      <c r="V77" s="114"/>
      <c r="W77" s="114"/>
      <c r="X77" s="114"/>
      <c r="Y77" s="114"/>
      <c r="Z77" s="114"/>
      <c r="AA77" s="115"/>
      <c r="AB77" s="114"/>
      <c r="AC77" s="114"/>
      <c r="AD77" s="114"/>
      <c r="AE77" s="114"/>
      <c r="AF77" s="114"/>
      <c r="AG77" s="114"/>
      <c r="AH77" s="114"/>
      <c r="AI77" s="114"/>
      <c r="AJ77" s="114"/>
      <c r="AK77" s="115"/>
    </row>
    <row r="78" spans="1:37" ht="15" customHeight="1">
      <c r="A78" s="136"/>
      <c r="B78" s="128" t="s">
        <v>95</v>
      </c>
      <c r="C78" s="129"/>
      <c r="D78" s="129"/>
      <c r="E78" s="129"/>
      <c r="F78" s="129"/>
      <c r="G78" s="129"/>
      <c r="H78" s="130"/>
      <c r="I78" s="144"/>
      <c r="J78" s="145"/>
      <c r="K78" s="145"/>
      <c r="L78" s="145"/>
      <c r="M78" s="145"/>
      <c r="N78" s="145"/>
      <c r="O78" s="146"/>
      <c r="P78" s="116"/>
      <c r="Q78" s="116"/>
      <c r="R78" s="116"/>
      <c r="S78" s="116"/>
      <c r="T78" s="116"/>
      <c r="U78" s="116"/>
      <c r="V78" s="116"/>
      <c r="W78" s="116"/>
      <c r="X78" s="116"/>
      <c r="Y78" s="116"/>
      <c r="Z78" s="116"/>
      <c r="AA78" s="117"/>
      <c r="AB78" s="116"/>
      <c r="AC78" s="116"/>
      <c r="AD78" s="116"/>
      <c r="AE78" s="116"/>
      <c r="AF78" s="116"/>
      <c r="AG78" s="116"/>
      <c r="AH78" s="116"/>
      <c r="AI78" s="116"/>
      <c r="AJ78" s="116"/>
      <c r="AK78" s="117"/>
    </row>
    <row r="79" spans="1:37" ht="15" customHeight="1">
      <c r="A79" s="134" t="s">
        <v>96</v>
      </c>
      <c r="B79" s="132" t="s">
        <v>97</v>
      </c>
      <c r="C79" s="147" t="s">
        <v>98</v>
      </c>
      <c r="D79" s="129"/>
      <c r="E79" s="129"/>
      <c r="F79" s="129"/>
      <c r="G79" s="129"/>
      <c r="H79" s="130"/>
      <c r="I79" s="144"/>
      <c r="J79" s="145"/>
      <c r="K79" s="145"/>
      <c r="L79" s="145"/>
      <c r="M79" s="145"/>
      <c r="N79" s="145"/>
      <c r="O79" s="146"/>
      <c r="P79" s="113"/>
      <c r="Q79" s="114"/>
      <c r="R79" s="114"/>
      <c r="S79" s="114"/>
      <c r="T79" s="114"/>
      <c r="U79" s="114"/>
      <c r="V79" s="114"/>
      <c r="W79" s="114"/>
      <c r="X79" s="114"/>
      <c r="Y79" s="114"/>
      <c r="Z79" s="114"/>
      <c r="AA79" s="115"/>
      <c r="AB79" s="113"/>
      <c r="AC79" s="114"/>
      <c r="AD79" s="114"/>
      <c r="AE79" s="114"/>
      <c r="AF79" s="114"/>
      <c r="AG79" s="114"/>
      <c r="AH79" s="114"/>
      <c r="AI79" s="114"/>
      <c r="AJ79" s="114"/>
      <c r="AK79" s="115"/>
    </row>
    <row r="80" spans="1:37" ht="15" customHeight="1">
      <c r="A80" s="135"/>
      <c r="B80" s="133"/>
      <c r="C80" s="147" t="s">
        <v>99</v>
      </c>
      <c r="D80" s="129"/>
      <c r="E80" s="129"/>
      <c r="F80" s="129"/>
      <c r="G80" s="129"/>
      <c r="H80" s="130"/>
      <c r="I80" s="144"/>
      <c r="J80" s="145"/>
      <c r="K80" s="145"/>
      <c r="L80" s="145"/>
      <c r="M80" s="145"/>
      <c r="N80" s="145"/>
      <c r="O80" s="146"/>
      <c r="P80" s="114"/>
      <c r="Q80" s="114"/>
      <c r="R80" s="114"/>
      <c r="S80" s="114"/>
      <c r="T80" s="114"/>
      <c r="U80" s="114"/>
      <c r="V80" s="114"/>
      <c r="W80" s="114"/>
      <c r="X80" s="114"/>
      <c r="Y80" s="114"/>
      <c r="Z80" s="114"/>
      <c r="AA80" s="115"/>
      <c r="AB80" s="114"/>
      <c r="AC80" s="114"/>
      <c r="AD80" s="114"/>
      <c r="AE80" s="114"/>
      <c r="AF80" s="114"/>
      <c r="AG80" s="114"/>
      <c r="AH80" s="114"/>
      <c r="AI80" s="114"/>
      <c r="AJ80" s="114"/>
      <c r="AK80" s="115"/>
    </row>
    <row r="81" spans="1:37" ht="15" customHeight="1">
      <c r="A81" s="135"/>
      <c r="B81" s="133"/>
      <c r="C81" s="147" t="s">
        <v>100</v>
      </c>
      <c r="D81" s="129"/>
      <c r="E81" s="129"/>
      <c r="F81" s="129"/>
      <c r="G81" s="129"/>
      <c r="H81" s="130"/>
      <c r="I81" s="144"/>
      <c r="J81" s="145"/>
      <c r="K81" s="145"/>
      <c r="L81" s="145"/>
      <c r="M81" s="145"/>
      <c r="N81" s="145"/>
      <c r="O81" s="146"/>
      <c r="P81" s="114"/>
      <c r="Q81" s="114"/>
      <c r="R81" s="114"/>
      <c r="S81" s="114"/>
      <c r="T81" s="114"/>
      <c r="U81" s="114"/>
      <c r="V81" s="114"/>
      <c r="W81" s="114"/>
      <c r="X81" s="114"/>
      <c r="Y81" s="114"/>
      <c r="Z81" s="114"/>
      <c r="AA81" s="115"/>
      <c r="AB81" s="114"/>
      <c r="AC81" s="114"/>
      <c r="AD81" s="114"/>
      <c r="AE81" s="114"/>
      <c r="AF81" s="114"/>
      <c r="AG81" s="114"/>
      <c r="AH81" s="114"/>
      <c r="AI81" s="114"/>
      <c r="AJ81" s="114"/>
      <c r="AK81" s="115"/>
    </row>
    <row r="82" spans="1:37" ht="15" customHeight="1">
      <c r="A82" s="135"/>
      <c r="B82" s="133"/>
      <c r="C82" s="154" t="s">
        <v>101</v>
      </c>
      <c r="D82" s="133"/>
      <c r="E82" s="147" t="s">
        <v>102</v>
      </c>
      <c r="F82" s="129"/>
      <c r="G82" s="129"/>
      <c r="H82" s="130"/>
      <c r="I82" s="144"/>
      <c r="J82" s="145"/>
      <c r="K82" s="145"/>
      <c r="L82" s="145"/>
      <c r="M82" s="145"/>
      <c r="N82" s="145"/>
      <c r="O82" s="146"/>
      <c r="P82" s="114"/>
      <c r="Q82" s="114"/>
      <c r="R82" s="114"/>
      <c r="S82" s="114"/>
      <c r="T82" s="114"/>
      <c r="U82" s="114"/>
      <c r="V82" s="114"/>
      <c r="W82" s="114"/>
      <c r="X82" s="114"/>
      <c r="Y82" s="114"/>
      <c r="Z82" s="114"/>
      <c r="AA82" s="115"/>
      <c r="AB82" s="114"/>
      <c r="AC82" s="114"/>
      <c r="AD82" s="114"/>
      <c r="AE82" s="114"/>
      <c r="AF82" s="114"/>
      <c r="AG82" s="114"/>
      <c r="AH82" s="114"/>
      <c r="AI82" s="114"/>
      <c r="AJ82" s="114"/>
      <c r="AK82" s="115"/>
    </row>
    <row r="83" spans="1:37" ht="15" customHeight="1">
      <c r="A83" s="135"/>
      <c r="B83" s="133"/>
      <c r="C83" s="169"/>
      <c r="D83" s="133"/>
      <c r="E83" s="147" t="s">
        <v>103</v>
      </c>
      <c r="F83" s="129"/>
      <c r="G83" s="129"/>
      <c r="H83" s="130"/>
      <c r="I83" s="144"/>
      <c r="J83" s="145"/>
      <c r="K83" s="145"/>
      <c r="L83" s="145"/>
      <c r="M83" s="145"/>
      <c r="N83" s="145"/>
      <c r="O83" s="146"/>
      <c r="P83" s="114"/>
      <c r="Q83" s="114"/>
      <c r="R83" s="114"/>
      <c r="S83" s="114"/>
      <c r="T83" s="114"/>
      <c r="U83" s="114"/>
      <c r="V83" s="114"/>
      <c r="W83" s="114"/>
      <c r="X83" s="114"/>
      <c r="Y83" s="114"/>
      <c r="Z83" s="114"/>
      <c r="AA83" s="115"/>
      <c r="AB83" s="114"/>
      <c r="AC83" s="114"/>
      <c r="AD83" s="114"/>
      <c r="AE83" s="114"/>
      <c r="AF83" s="114"/>
      <c r="AG83" s="114"/>
      <c r="AH83" s="114"/>
      <c r="AI83" s="114"/>
      <c r="AJ83" s="114"/>
      <c r="AK83" s="115"/>
    </row>
    <row r="84" spans="1:37" ht="15" customHeight="1">
      <c r="A84" s="135"/>
      <c r="B84" s="133"/>
      <c r="C84" s="129"/>
      <c r="D84" s="130"/>
      <c r="E84" s="147" t="s">
        <v>104</v>
      </c>
      <c r="F84" s="129"/>
      <c r="G84" s="129"/>
      <c r="H84" s="130"/>
      <c r="I84" s="273"/>
      <c r="J84" s="145"/>
      <c r="K84" s="145"/>
      <c r="L84" s="145"/>
      <c r="M84" s="145"/>
      <c r="N84" s="145"/>
      <c r="O84" s="146"/>
      <c r="P84" s="114"/>
      <c r="Q84" s="114"/>
      <c r="R84" s="114"/>
      <c r="S84" s="114"/>
      <c r="T84" s="114"/>
      <c r="U84" s="114"/>
      <c r="V84" s="114"/>
      <c r="W84" s="114"/>
      <c r="X84" s="114"/>
      <c r="Y84" s="114"/>
      <c r="Z84" s="114"/>
      <c r="AA84" s="115"/>
      <c r="AB84" s="114"/>
      <c r="AC84" s="114"/>
      <c r="AD84" s="114"/>
      <c r="AE84" s="114"/>
      <c r="AF84" s="114"/>
      <c r="AG84" s="114"/>
      <c r="AH84" s="114"/>
      <c r="AI84" s="114"/>
      <c r="AJ84" s="114"/>
      <c r="AK84" s="115"/>
    </row>
    <row r="85" spans="1:37" ht="15" customHeight="1">
      <c r="A85" s="135"/>
      <c r="B85" s="133"/>
      <c r="C85" s="147" t="s">
        <v>105</v>
      </c>
      <c r="D85" s="129"/>
      <c r="E85" s="129"/>
      <c r="F85" s="129"/>
      <c r="G85" s="129"/>
      <c r="H85" s="130"/>
      <c r="I85" s="144"/>
      <c r="J85" s="145"/>
      <c r="K85" s="145"/>
      <c r="L85" s="145"/>
      <c r="M85" s="145"/>
      <c r="N85" s="145"/>
      <c r="O85" s="146"/>
      <c r="P85" s="114"/>
      <c r="Q85" s="114"/>
      <c r="R85" s="114"/>
      <c r="S85" s="114"/>
      <c r="T85" s="114"/>
      <c r="U85" s="114"/>
      <c r="V85" s="114"/>
      <c r="W85" s="114"/>
      <c r="X85" s="114"/>
      <c r="Y85" s="114"/>
      <c r="Z85" s="114"/>
      <c r="AA85" s="115"/>
      <c r="AB85" s="114"/>
      <c r="AC85" s="114"/>
      <c r="AD85" s="114"/>
      <c r="AE85" s="114"/>
      <c r="AF85" s="114"/>
      <c r="AG85" s="114"/>
      <c r="AH85" s="114"/>
      <c r="AI85" s="114"/>
      <c r="AJ85" s="114"/>
      <c r="AK85" s="115"/>
    </row>
    <row r="86" spans="1:37" ht="15" customHeight="1">
      <c r="A86" s="135"/>
      <c r="B86" s="130"/>
      <c r="C86" s="147" t="s">
        <v>106</v>
      </c>
      <c r="D86" s="129"/>
      <c r="E86" s="129"/>
      <c r="F86" s="129"/>
      <c r="G86" s="129"/>
      <c r="H86" s="130"/>
      <c r="I86" s="144"/>
      <c r="J86" s="145"/>
      <c r="K86" s="145"/>
      <c r="L86" s="145"/>
      <c r="M86" s="145"/>
      <c r="N86" s="145"/>
      <c r="O86" s="146"/>
      <c r="P86" s="116"/>
      <c r="Q86" s="116"/>
      <c r="R86" s="116"/>
      <c r="S86" s="116"/>
      <c r="T86" s="116"/>
      <c r="U86" s="116"/>
      <c r="V86" s="116"/>
      <c r="W86" s="116"/>
      <c r="X86" s="116"/>
      <c r="Y86" s="116"/>
      <c r="Z86" s="116"/>
      <c r="AA86" s="117"/>
      <c r="AB86" s="116"/>
      <c r="AC86" s="116"/>
      <c r="AD86" s="116"/>
      <c r="AE86" s="116"/>
      <c r="AF86" s="116"/>
      <c r="AG86" s="116"/>
      <c r="AH86" s="116"/>
      <c r="AI86" s="116"/>
      <c r="AJ86" s="116"/>
      <c r="AK86" s="117"/>
    </row>
    <row r="87" spans="1:37" ht="15" customHeight="1">
      <c r="A87" s="135"/>
      <c r="B87" s="132" t="s">
        <v>107</v>
      </c>
      <c r="C87" s="147" t="s">
        <v>108</v>
      </c>
      <c r="D87" s="129"/>
      <c r="E87" s="129"/>
      <c r="F87" s="129"/>
      <c r="G87" s="129"/>
      <c r="H87" s="130"/>
      <c r="I87" s="144"/>
      <c r="J87" s="145"/>
      <c r="K87" s="145"/>
      <c r="L87" s="145"/>
      <c r="M87" s="145"/>
      <c r="N87" s="145"/>
      <c r="O87" s="146"/>
      <c r="P87" s="113"/>
      <c r="Q87" s="114"/>
      <c r="R87" s="114"/>
      <c r="S87" s="114"/>
      <c r="T87" s="114"/>
      <c r="U87" s="114"/>
      <c r="V87" s="114"/>
      <c r="W87" s="114"/>
      <c r="X87" s="114"/>
      <c r="Y87" s="114"/>
      <c r="Z87" s="114"/>
      <c r="AA87" s="115"/>
      <c r="AB87" s="113"/>
      <c r="AC87" s="114"/>
      <c r="AD87" s="114"/>
      <c r="AE87" s="114"/>
      <c r="AF87" s="114"/>
      <c r="AG87" s="114"/>
      <c r="AH87" s="114"/>
      <c r="AI87" s="114"/>
      <c r="AJ87" s="114"/>
      <c r="AK87" s="115"/>
    </row>
    <row r="88" spans="1:37" ht="15" customHeight="1">
      <c r="A88" s="135"/>
      <c r="B88" s="133"/>
      <c r="C88" s="147" t="s">
        <v>109</v>
      </c>
      <c r="D88" s="129"/>
      <c r="E88" s="129"/>
      <c r="F88" s="129"/>
      <c r="G88" s="129"/>
      <c r="H88" s="130"/>
      <c r="I88" s="144"/>
      <c r="J88" s="145"/>
      <c r="K88" s="145"/>
      <c r="L88" s="145"/>
      <c r="M88" s="145"/>
      <c r="N88" s="145"/>
      <c r="O88" s="146"/>
      <c r="P88" s="114"/>
      <c r="Q88" s="114"/>
      <c r="R88" s="114"/>
      <c r="S88" s="114"/>
      <c r="T88" s="114"/>
      <c r="U88" s="114"/>
      <c r="V88" s="114"/>
      <c r="W88" s="114"/>
      <c r="X88" s="114"/>
      <c r="Y88" s="114"/>
      <c r="Z88" s="114"/>
      <c r="AA88" s="115"/>
      <c r="AB88" s="114"/>
      <c r="AC88" s="114"/>
      <c r="AD88" s="114"/>
      <c r="AE88" s="114"/>
      <c r="AF88" s="114"/>
      <c r="AG88" s="114"/>
      <c r="AH88" s="114"/>
      <c r="AI88" s="114"/>
      <c r="AJ88" s="114"/>
      <c r="AK88" s="115"/>
    </row>
    <row r="89" spans="1:37" ht="15" customHeight="1">
      <c r="A89" s="135"/>
      <c r="B89" s="133"/>
      <c r="C89" s="154" t="s">
        <v>110</v>
      </c>
      <c r="D89" s="133"/>
      <c r="E89" s="147" t="s">
        <v>111</v>
      </c>
      <c r="F89" s="129"/>
      <c r="G89" s="129"/>
      <c r="H89" s="130"/>
      <c r="I89" s="195"/>
      <c r="J89" s="196"/>
      <c r="K89" s="196"/>
      <c r="L89" s="196"/>
      <c r="M89" s="196"/>
      <c r="N89" s="196"/>
      <c r="O89" s="228"/>
      <c r="P89" s="114"/>
      <c r="Q89" s="114"/>
      <c r="R89" s="114"/>
      <c r="S89" s="114"/>
      <c r="T89" s="114"/>
      <c r="U89" s="114"/>
      <c r="V89" s="114"/>
      <c r="W89" s="114"/>
      <c r="X89" s="114"/>
      <c r="Y89" s="114"/>
      <c r="Z89" s="114"/>
      <c r="AA89" s="115"/>
      <c r="AB89" s="114"/>
      <c r="AC89" s="114"/>
      <c r="AD89" s="114"/>
      <c r="AE89" s="114"/>
      <c r="AF89" s="114"/>
      <c r="AG89" s="114"/>
      <c r="AH89" s="114"/>
      <c r="AI89" s="114"/>
      <c r="AJ89" s="114"/>
      <c r="AK89" s="115"/>
    </row>
    <row r="90" spans="1:37" ht="15" customHeight="1">
      <c r="A90" s="135"/>
      <c r="B90" s="130"/>
      <c r="C90" s="129"/>
      <c r="D90" s="130"/>
      <c r="E90" s="147" t="s">
        <v>112</v>
      </c>
      <c r="F90" s="129"/>
      <c r="G90" s="129"/>
      <c r="H90" s="130"/>
      <c r="I90" s="144"/>
      <c r="J90" s="145"/>
      <c r="K90" s="145"/>
      <c r="L90" s="145"/>
      <c r="M90" s="145"/>
      <c r="N90" s="145"/>
      <c r="O90" s="146"/>
      <c r="P90" s="116"/>
      <c r="Q90" s="116"/>
      <c r="R90" s="116"/>
      <c r="S90" s="116"/>
      <c r="T90" s="116"/>
      <c r="U90" s="116"/>
      <c r="V90" s="116"/>
      <c r="W90" s="116"/>
      <c r="X90" s="116"/>
      <c r="Y90" s="116"/>
      <c r="Z90" s="116"/>
      <c r="AA90" s="117"/>
      <c r="AB90" s="116"/>
      <c r="AC90" s="116"/>
      <c r="AD90" s="116"/>
      <c r="AE90" s="116"/>
      <c r="AF90" s="116"/>
      <c r="AG90" s="116"/>
      <c r="AH90" s="116"/>
      <c r="AI90" s="116"/>
      <c r="AJ90" s="116"/>
      <c r="AK90" s="117"/>
    </row>
    <row r="91" spans="1:37" ht="15" customHeight="1">
      <c r="A91" s="135"/>
      <c r="B91" s="131" t="s">
        <v>113</v>
      </c>
      <c r="C91" s="147" t="s">
        <v>114</v>
      </c>
      <c r="D91" s="129"/>
      <c r="E91" s="129"/>
      <c r="F91" s="129"/>
      <c r="G91" s="129"/>
      <c r="H91" s="130"/>
      <c r="I91" s="144"/>
      <c r="J91" s="145"/>
      <c r="K91" s="145"/>
      <c r="L91" s="145"/>
      <c r="M91" s="145"/>
      <c r="N91" s="145"/>
      <c r="O91" s="146"/>
      <c r="P91" s="113"/>
      <c r="Q91" s="114"/>
      <c r="R91" s="114"/>
      <c r="S91" s="114"/>
      <c r="T91" s="114"/>
      <c r="U91" s="114"/>
      <c r="V91" s="114"/>
      <c r="W91" s="114"/>
      <c r="X91" s="114"/>
      <c r="Y91" s="114"/>
      <c r="Z91" s="114"/>
      <c r="AA91" s="115"/>
      <c r="AB91" s="113"/>
      <c r="AC91" s="114"/>
      <c r="AD91" s="114"/>
      <c r="AE91" s="114"/>
      <c r="AF91" s="114"/>
      <c r="AG91" s="114"/>
      <c r="AH91" s="114"/>
      <c r="AI91" s="114"/>
      <c r="AJ91" s="114"/>
      <c r="AK91" s="115"/>
    </row>
    <row r="92" spans="1:37" ht="15" customHeight="1">
      <c r="A92" s="135"/>
      <c r="B92" s="133"/>
      <c r="C92" s="147" t="s">
        <v>101</v>
      </c>
      <c r="D92" s="129"/>
      <c r="E92" s="129"/>
      <c r="F92" s="129"/>
      <c r="G92" s="129"/>
      <c r="H92" s="130"/>
      <c r="I92" s="144"/>
      <c r="J92" s="145"/>
      <c r="K92" s="145"/>
      <c r="L92" s="145"/>
      <c r="M92" s="145"/>
      <c r="N92" s="145"/>
      <c r="O92" s="146"/>
      <c r="P92" s="114"/>
      <c r="Q92" s="114"/>
      <c r="R92" s="114"/>
      <c r="S92" s="114"/>
      <c r="T92" s="114"/>
      <c r="U92" s="114"/>
      <c r="V92" s="114"/>
      <c r="W92" s="114"/>
      <c r="X92" s="114"/>
      <c r="Y92" s="114"/>
      <c r="Z92" s="114"/>
      <c r="AA92" s="115"/>
      <c r="AB92" s="114"/>
      <c r="AC92" s="114"/>
      <c r="AD92" s="114"/>
      <c r="AE92" s="114"/>
      <c r="AF92" s="114"/>
      <c r="AG92" s="114"/>
      <c r="AH92" s="114"/>
      <c r="AI92" s="114"/>
      <c r="AJ92" s="114"/>
      <c r="AK92" s="115"/>
    </row>
    <row r="93" spans="1:37" ht="15" customHeight="1">
      <c r="A93" s="135"/>
      <c r="B93" s="130"/>
      <c r="C93" s="147" t="s">
        <v>115</v>
      </c>
      <c r="D93" s="129"/>
      <c r="E93" s="129"/>
      <c r="F93" s="129"/>
      <c r="G93" s="129"/>
      <c r="H93" s="130"/>
      <c r="I93" s="144"/>
      <c r="J93" s="145"/>
      <c r="K93" s="145"/>
      <c r="L93" s="145"/>
      <c r="M93" s="145"/>
      <c r="N93" s="145"/>
      <c r="O93" s="146"/>
      <c r="P93" s="114"/>
      <c r="Q93" s="114"/>
      <c r="R93" s="114"/>
      <c r="S93" s="114"/>
      <c r="T93" s="114"/>
      <c r="U93" s="114"/>
      <c r="V93" s="114"/>
      <c r="W93" s="114"/>
      <c r="X93" s="114"/>
      <c r="Y93" s="114"/>
      <c r="Z93" s="114"/>
      <c r="AA93" s="115"/>
      <c r="AB93" s="114"/>
      <c r="AC93" s="114"/>
      <c r="AD93" s="114"/>
      <c r="AE93" s="114"/>
      <c r="AF93" s="114"/>
      <c r="AG93" s="114"/>
      <c r="AH93" s="114"/>
      <c r="AI93" s="114"/>
      <c r="AJ93" s="114"/>
      <c r="AK93" s="115"/>
    </row>
    <row r="94" spans="1:37" ht="15" customHeight="1">
      <c r="A94" s="135"/>
      <c r="B94" s="132" t="s">
        <v>116</v>
      </c>
      <c r="C94" s="147" t="s">
        <v>117</v>
      </c>
      <c r="D94" s="129"/>
      <c r="E94" s="129"/>
      <c r="F94" s="129"/>
      <c r="G94" s="129"/>
      <c r="H94" s="130"/>
      <c r="I94" s="144"/>
      <c r="J94" s="145"/>
      <c r="K94" s="145"/>
      <c r="L94" s="145"/>
      <c r="M94" s="145"/>
      <c r="N94" s="145"/>
      <c r="O94" s="146"/>
      <c r="P94" s="114"/>
      <c r="Q94" s="114"/>
      <c r="R94" s="114"/>
      <c r="S94" s="114"/>
      <c r="T94" s="114"/>
      <c r="U94" s="114"/>
      <c r="V94" s="114"/>
      <c r="W94" s="114"/>
      <c r="X94" s="114"/>
      <c r="Y94" s="114"/>
      <c r="Z94" s="114"/>
      <c r="AA94" s="115"/>
      <c r="AB94" s="114"/>
      <c r="AC94" s="114"/>
      <c r="AD94" s="114"/>
      <c r="AE94" s="114"/>
      <c r="AF94" s="114"/>
      <c r="AG94" s="114"/>
      <c r="AH94" s="114"/>
      <c r="AI94" s="114"/>
      <c r="AJ94" s="114"/>
      <c r="AK94" s="115"/>
    </row>
    <row r="95" spans="1:37" ht="15" customHeight="1">
      <c r="A95" s="135"/>
      <c r="B95" s="130"/>
      <c r="C95" s="147" t="s">
        <v>118</v>
      </c>
      <c r="D95" s="129"/>
      <c r="E95" s="129"/>
      <c r="F95" s="129"/>
      <c r="G95" s="129"/>
      <c r="H95" s="130"/>
      <c r="I95" s="144"/>
      <c r="J95" s="145"/>
      <c r="K95" s="145"/>
      <c r="L95" s="145"/>
      <c r="M95" s="145"/>
      <c r="N95" s="145"/>
      <c r="O95" s="146"/>
      <c r="P95" s="116"/>
      <c r="Q95" s="116"/>
      <c r="R95" s="116"/>
      <c r="S95" s="116"/>
      <c r="T95" s="116"/>
      <c r="U95" s="116"/>
      <c r="V95" s="116"/>
      <c r="W95" s="116"/>
      <c r="X95" s="116"/>
      <c r="Y95" s="116"/>
      <c r="Z95" s="116"/>
      <c r="AA95" s="117"/>
      <c r="AB95" s="116"/>
      <c r="AC95" s="116"/>
      <c r="AD95" s="116"/>
      <c r="AE95" s="116"/>
      <c r="AF95" s="116"/>
      <c r="AG95" s="116"/>
      <c r="AH95" s="116"/>
      <c r="AI95" s="116"/>
      <c r="AJ95" s="116"/>
      <c r="AK95" s="117"/>
    </row>
    <row r="96" spans="1:37" ht="15" customHeight="1">
      <c r="A96" s="135"/>
      <c r="B96" s="131" t="s">
        <v>119</v>
      </c>
      <c r="C96" s="147" t="s">
        <v>120</v>
      </c>
      <c r="D96" s="129"/>
      <c r="E96" s="129"/>
      <c r="F96" s="129"/>
      <c r="G96" s="129"/>
      <c r="H96" s="130"/>
      <c r="I96" s="144"/>
      <c r="J96" s="145"/>
      <c r="K96" s="145"/>
      <c r="L96" s="145"/>
      <c r="M96" s="145"/>
      <c r="N96" s="145"/>
      <c r="O96" s="146"/>
      <c r="P96" s="113"/>
      <c r="Q96" s="114"/>
      <c r="R96" s="114"/>
      <c r="S96" s="114"/>
      <c r="T96" s="114"/>
      <c r="U96" s="114"/>
      <c r="V96" s="114"/>
      <c r="W96" s="114"/>
      <c r="X96" s="114"/>
      <c r="Y96" s="114"/>
      <c r="Z96" s="114"/>
      <c r="AA96" s="115"/>
      <c r="AB96" s="113"/>
      <c r="AC96" s="114"/>
      <c r="AD96" s="114"/>
      <c r="AE96" s="114"/>
      <c r="AF96" s="114"/>
      <c r="AG96" s="114"/>
      <c r="AH96" s="114"/>
      <c r="AI96" s="114"/>
      <c r="AJ96" s="114"/>
      <c r="AK96" s="115"/>
    </row>
    <row r="97" spans="1:37" ht="15" customHeight="1">
      <c r="A97" s="135"/>
      <c r="B97" s="133"/>
      <c r="C97" s="154" t="s">
        <v>121</v>
      </c>
      <c r="D97" s="133"/>
      <c r="E97" s="128" t="s">
        <v>122</v>
      </c>
      <c r="F97" s="129"/>
      <c r="G97" s="129"/>
      <c r="H97" s="130"/>
      <c r="I97" s="144"/>
      <c r="J97" s="145"/>
      <c r="K97" s="145"/>
      <c r="L97" s="145"/>
      <c r="M97" s="145"/>
      <c r="N97" s="145"/>
      <c r="O97" s="146"/>
      <c r="P97" s="114"/>
      <c r="Q97" s="114"/>
      <c r="R97" s="114"/>
      <c r="S97" s="114"/>
      <c r="T97" s="114"/>
      <c r="U97" s="114"/>
      <c r="V97" s="114"/>
      <c r="W97" s="114"/>
      <c r="X97" s="114"/>
      <c r="Y97" s="114"/>
      <c r="Z97" s="114"/>
      <c r="AA97" s="115"/>
      <c r="AB97" s="114"/>
      <c r="AC97" s="114"/>
      <c r="AD97" s="114"/>
      <c r="AE97" s="114"/>
      <c r="AF97" s="114"/>
      <c r="AG97" s="114"/>
      <c r="AH97" s="114"/>
      <c r="AI97" s="114"/>
      <c r="AJ97" s="114"/>
      <c r="AK97" s="115"/>
    </row>
    <row r="98" spans="1:37" ht="15" customHeight="1">
      <c r="A98" s="135"/>
      <c r="B98" s="133"/>
      <c r="C98" s="129"/>
      <c r="D98" s="130"/>
      <c r="E98" s="128" t="s">
        <v>123</v>
      </c>
      <c r="F98" s="129"/>
      <c r="G98" s="129"/>
      <c r="H98" s="130"/>
      <c r="I98" s="144"/>
      <c r="J98" s="145"/>
      <c r="K98" s="145"/>
      <c r="L98" s="145"/>
      <c r="M98" s="145"/>
      <c r="N98" s="145"/>
      <c r="O98" s="146"/>
      <c r="P98" s="114"/>
      <c r="Q98" s="114"/>
      <c r="R98" s="114"/>
      <c r="S98" s="114"/>
      <c r="T98" s="114"/>
      <c r="U98" s="114"/>
      <c r="V98" s="114"/>
      <c r="W98" s="114"/>
      <c r="X98" s="114"/>
      <c r="Y98" s="114"/>
      <c r="Z98" s="114"/>
      <c r="AA98" s="115"/>
      <c r="AB98" s="114"/>
      <c r="AC98" s="114"/>
      <c r="AD98" s="114"/>
      <c r="AE98" s="114"/>
      <c r="AF98" s="114"/>
      <c r="AG98" s="114"/>
      <c r="AH98" s="114"/>
      <c r="AI98" s="114"/>
      <c r="AJ98" s="114"/>
      <c r="AK98" s="115"/>
    </row>
    <row r="99" spans="1:37" ht="15" customHeight="1">
      <c r="A99" s="135"/>
      <c r="B99" s="133"/>
      <c r="C99" s="154" t="s">
        <v>124</v>
      </c>
      <c r="D99" s="133"/>
      <c r="E99" s="128" t="s">
        <v>125</v>
      </c>
      <c r="F99" s="129"/>
      <c r="G99" s="129"/>
      <c r="H99" s="130"/>
      <c r="I99" s="144"/>
      <c r="J99" s="145"/>
      <c r="K99" s="145"/>
      <c r="L99" s="145"/>
      <c r="M99" s="145"/>
      <c r="N99" s="145"/>
      <c r="O99" s="146"/>
      <c r="P99" s="114"/>
      <c r="Q99" s="114"/>
      <c r="R99" s="114"/>
      <c r="S99" s="114"/>
      <c r="T99" s="114"/>
      <c r="U99" s="114"/>
      <c r="V99" s="114"/>
      <c r="W99" s="114"/>
      <c r="X99" s="114"/>
      <c r="Y99" s="114"/>
      <c r="Z99" s="114"/>
      <c r="AA99" s="115"/>
      <c r="AB99" s="114"/>
      <c r="AC99" s="114"/>
      <c r="AD99" s="114"/>
      <c r="AE99" s="114"/>
      <c r="AF99" s="114"/>
      <c r="AG99" s="114"/>
      <c r="AH99" s="114"/>
      <c r="AI99" s="114"/>
      <c r="AJ99" s="114"/>
      <c r="AK99" s="115"/>
    </row>
    <row r="100" spans="1:37" ht="15" customHeight="1">
      <c r="A100" s="135"/>
      <c r="B100" s="133"/>
      <c r="C100" s="129"/>
      <c r="D100" s="130"/>
      <c r="E100" s="128" t="s">
        <v>123</v>
      </c>
      <c r="F100" s="129"/>
      <c r="G100" s="129"/>
      <c r="H100" s="130"/>
      <c r="I100" s="144"/>
      <c r="J100" s="145"/>
      <c r="K100" s="145"/>
      <c r="L100" s="145"/>
      <c r="M100" s="145"/>
      <c r="N100" s="145"/>
      <c r="O100" s="146"/>
      <c r="P100" s="114"/>
      <c r="Q100" s="114"/>
      <c r="R100" s="114"/>
      <c r="S100" s="114"/>
      <c r="T100" s="114"/>
      <c r="U100" s="114"/>
      <c r="V100" s="114"/>
      <c r="W100" s="114"/>
      <c r="X100" s="114"/>
      <c r="Y100" s="114"/>
      <c r="Z100" s="114"/>
      <c r="AA100" s="115"/>
      <c r="AB100" s="114"/>
      <c r="AC100" s="114"/>
      <c r="AD100" s="114"/>
      <c r="AE100" s="114"/>
      <c r="AF100" s="114"/>
      <c r="AG100" s="114"/>
      <c r="AH100" s="114"/>
      <c r="AI100" s="114"/>
      <c r="AJ100" s="114"/>
      <c r="AK100" s="115"/>
    </row>
    <row r="101" spans="1:37" ht="15" customHeight="1">
      <c r="A101" s="135"/>
      <c r="B101" s="133"/>
      <c r="C101" s="154" t="s">
        <v>112</v>
      </c>
      <c r="D101" s="133"/>
      <c r="E101" s="128" t="s">
        <v>126</v>
      </c>
      <c r="F101" s="129"/>
      <c r="G101" s="129"/>
      <c r="H101" s="130"/>
      <c r="I101" s="144"/>
      <c r="J101" s="145"/>
      <c r="K101" s="145"/>
      <c r="L101" s="145"/>
      <c r="M101" s="145"/>
      <c r="N101" s="145"/>
      <c r="O101" s="146"/>
      <c r="P101" s="114"/>
      <c r="Q101" s="114"/>
      <c r="R101" s="114"/>
      <c r="S101" s="114"/>
      <c r="T101" s="114"/>
      <c r="U101" s="114"/>
      <c r="V101" s="114"/>
      <c r="W101" s="114"/>
      <c r="X101" s="114"/>
      <c r="Y101" s="114"/>
      <c r="Z101" s="114"/>
      <c r="AA101" s="115"/>
      <c r="AB101" s="114"/>
      <c r="AC101" s="114"/>
      <c r="AD101" s="114"/>
      <c r="AE101" s="114"/>
      <c r="AF101" s="114"/>
      <c r="AG101" s="114"/>
      <c r="AH101" s="114"/>
      <c r="AI101" s="114"/>
      <c r="AJ101" s="114"/>
      <c r="AK101" s="115"/>
    </row>
    <row r="102" spans="1:37" ht="15" customHeight="1">
      <c r="A102" s="135"/>
      <c r="B102" s="133"/>
      <c r="C102" s="129"/>
      <c r="D102" s="130"/>
      <c r="E102" s="128" t="s">
        <v>127</v>
      </c>
      <c r="F102" s="129"/>
      <c r="G102" s="129"/>
      <c r="H102" s="130"/>
      <c r="I102" s="144"/>
      <c r="J102" s="145"/>
      <c r="K102" s="145"/>
      <c r="L102" s="145"/>
      <c r="M102" s="145"/>
      <c r="N102" s="145"/>
      <c r="O102" s="146"/>
      <c r="P102" s="114"/>
      <c r="Q102" s="114"/>
      <c r="R102" s="114"/>
      <c r="S102" s="114"/>
      <c r="T102" s="114"/>
      <c r="U102" s="114"/>
      <c r="V102" s="114"/>
      <c r="W102" s="114"/>
      <c r="X102" s="114"/>
      <c r="Y102" s="114"/>
      <c r="Z102" s="114"/>
      <c r="AA102" s="115"/>
      <c r="AB102" s="114"/>
      <c r="AC102" s="114"/>
      <c r="AD102" s="114"/>
      <c r="AE102" s="114"/>
      <c r="AF102" s="114"/>
      <c r="AG102" s="114"/>
      <c r="AH102" s="114"/>
      <c r="AI102" s="114"/>
      <c r="AJ102" s="114"/>
      <c r="AK102" s="115"/>
    </row>
    <row r="103" spans="1:37" ht="15" customHeight="1">
      <c r="A103" s="136"/>
      <c r="B103" s="130"/>
      <c r="C103" s="128" t="s">
        <v>128</v>
      </c>
      <c r="D103" s="129"/>
      <c r="E103" s="129"/>
      <c r="F103" s="129"/>
      <c r="G103" s="129"/>
      <c r="H103" s="130"/>
      <c r="I103" s="168"/>
      <c r="J103" s="145"/>
      <c r="K103" s="145"/>
      <c r="L103" s="145"/>
      <c r="M103" s="145"/>
      <c r="N103" s="145"/>
      <c r="O103" s="146"/>
      <c r="P103" s="116"/>
      <c r="Q103" s="116"/>
      <c r="R103" s="116"/>
      <c r="S103" s="116"/>
      <c r="T103" s="116"/>
      <c r="U103" s="116"/>
      <c r="V103" s="116"/>
      <c r="W103" s="116"/>
      <c r="X103" s="116"/>
      <c r="Y103" s="116"/>
      <c r="Z103" s="116"/>
      <c r="AA103" s="117"/>
      <c r="AB103" s="116"/>
      <c r="AC103" s="116"/>
      <c r="AD103" s="116"/>
      <c r="AE103" s="116"/>
      <c r="AF103" s="116"/>
      <c r="AG103" s="116"/>
      <c r="AH103" s="116"/>
      <c r="AI103" s="116"/>
      <c r="AJ103" s="116"/>
      <c r="AK103" s="117"/>
    </row>
    <row r="104" spans="1:37" ht="15" customHeight="1">
      <c r="A104" s="137" t="s">
        <v>129</v>
      </c>
      <c r="B104" s="128" t="s">
        <v>130</v>
      </c>
      <c r="C104" s="129"/>
      <c r="D104" s="129"/>
      <c r="E104" s="130"/>
      <c r="F104" s="144"/>
      <c r="G104" s="145"/>
      <c r="H104" s="146"/>
      <c r="I104" s="148" t="s">
        <v>131</v>
      </c>
      <c r="J104" s="149"/>
      <c r="K104" s="149"/>
      <c r="L104" s="150"/>
      <c r="M104" s="144"/>
      <c r="N104" s="145"/>
      <c r="O104" s="146"/>
      <c r="P104" s="113"/>
      <c r="Q104" s="114"/>
      <c r="R104" s="114"/>
      <c r="S104" s="114"/>
      <c r="T104" s="114"/>
      <c r="U104" s="114"/>
      <c r="V104" s="114"/>
      <c r="W104" s="114"/>
      <c r="X104" s="114"/>
      <c r="Y104" s="114"/>
      <c r="Z104" s="114"/>
      <c r="AA104" s="115"/>
      <c r="AB104" s="113"/>
      <c r="AC104" s="114"/>
      <c r="AD104" s="114"/>
      <c r="AE104" s="114"/>
      <c r="AF104" s="114"/>
      <c r="AG104" s="114"/>
      <c r="AH104" s="114"/>
      <c r="AI104" s="114"/>
      <c r="AJ104" s="114"/>
      <c r="AK104" s="115"/>
    </row>
    <row r="105" spans="1:37" ht="15" customHeight="1">
      <c r="A105" s="135"/>
      <c r="B105" s="128" t="s">
        <v>132</v>
      </c>
      <c r="C105" s="129"/>
      <c r="D105" s="129"/>
      <c r="E105" s="130"/>
      <c r="F105" s="144"/>
      <c r="G105" s="145"/>
      <c r="H105" s="146"/>
      <c r="I105" s="128" t="s">
        <v>133</v>
      </c>
      <c r="J105" s="129"/>
      <c r="K105" s="129"/>
      <c r="L105" s="130"/>
      <c r="M105" s="144"/>
      <c r="N105" s="145"/>
      <c r="O105" s="146"/>
      <c r="P105" s="114"/>
      <c r="Q105" s="114"/>
      <c r="R105" s="114"/>
      <c r="S105" s="114"/>
      <c r="T105" s="114"/>
      <c r="U105" s="114"/>
      <c r="V105" s="114"/>
      <c r="W105" s="114"/>
      <c r="X105" s="114"/>
      <c r="Y105" s="114"/>
      <c r="Z105" s="114"/>
      <c r="AA105" s="115"/>
      <c r="AB105" s="114"/>
      <c r="AC105" s="114"/>
      <c r="AD105" s="114"/>
      <c r="AE105" s="114"/>
      <c r="AF105" s="114"/>
      <c r="AG105" s="114"/>
      <c r="AH105" s="114"/>
      <c r="AI105" s="114"/>
      <c r="AJ105" s="114"/>
      <c r="AK105" s="115"/>
    </row>
    <row r="106" spans="1:37" ht="15" customHeight="1">
      <c r="A106" s="136"/>
      <c r="B106" s="128" t="s">
        <v>134</v>
      </c>
      <c r="C106" s="129"/>
      <c r="D106" s="129"/>
      <c r="E106" s="130"/>
      <c r="F106" s="144"/>
      <c r="G106" s="145"/>
      <c r="H106" s="146"/>
      <c r="I106" s="255"/>
      <c r="J106" s="181"/>
      <c r="K106" s="181"/>
      <c r="L106" s="181"/>
      <c r="M106" s="181"/>
      <c r="N106" s="181"/>
      <c r="O106" s="182"/>
      <c r="P106" s="116"/>
      <c r="Q106" s="116"/>
      <c r="R106" s="116"/>
      <c r="S106" s="116"/>
      <c r="T106" s="116"/>
      <c r="U106" s="116"/>
      <c r="V106" s="116"/>
      <c r="W106" s="116"/>
      <c r="X106" s="116"/>
      <c r="Y106" s="116"/>
      <c r="Z106" s="116"/>
      <c r="AA106" s="117"/>
      <c r="AB106" s="116"/>
      <c r="AC106" s="116"/>
      <c r="AD106" s="116"/>
      <c r="AE106" s="116"/>
      <c r="AF106" s="116"/>
      <c r="AG106" s="116"/>
      <c r="AH106" s="116"/>
      <c r="AI106" s="116"/>
      <c r="AJ106" s="116"/>
      <c r="AK106" s="117"/>
    </row>
    <row r="107" spans="1:37" ht="15" customHeight="1">
      <c r="A107" s="134" t="s">
        <v>135</v>
      </c>
      <c r="B107" s="128" t="s">
        <v>136</v>
      </c>
      <c r="C107" s="129"/>
      <c r="D107" s="129"/>
      <c r="E107" s="129"/>
      <c r="F107" s="129"/>
      <c r="G107" s="129"/>
      <c r="H107" s="130"/>
      <c r="I107" s="144"/>
      <c r="J107" s="145"/>
      <c r="K107" s="145"/>
      <c r="L107" s="151"/>
      <c r="M107" s="152"/>
      <c r="N107" s="152"/>
      <c r="O107" s="153"/>
      <c r="P107" s="113"/>
      <c r="Q107" s="114"/>
      <c r="R107" s="114"/>
      <c r="S107" s="114"/>
      <c r="T107" s="114"/>
      <c r="U107" s="114"/>
      <c r="V107" s="114"/>
      <c r="W107" s="114"/>
      <c r="X107" s="114"/>
      <c r="Y107" s="114"/>
      <c r="Z107" s="114"/>
      <c r="AA107" s="115"/>
      <c r="AB107" s="113"/>
      <c r="AC107" s="114"/>
      <c r="AD107" s="114"/>
      <c r="AE107" s="114"/>
      <c r="AF107" s="114"/>
      <c r="AG107" s="114"/>
      <c r="AH107" s="114"/>
      <c r="AI107" s="114"/>
      <c r="AJ107" s="114"/>
      <c r="AK107" s="115"/>
    </row>
    <row r="108" spans="1:37" ht="15" customHeight="1">
      <c r="A108" s="135"/>
      <c r="B108" s="139" t="s">
        <v>137</v>
      </c>
      <c r="C108" s="133"/>
      <c r="D108" s="113"/>
      <c r="E108" s="140"/>
      <c r="F108" s="140"/>
      <c r="G108" s="140"/>
      <c r="H108" s="140"/>
      <c r="I108" s="140"/>
      <c r="J108" s="140"/>
      <c r="K108" s="140"/>
      <c r="L108" s="140"/>
      <c r="M108" s="140"/>
      <c r="N108" s="140"/>
      <c r="O108" s="141"/>
      <c r="P108" s="114"/>
      <c r="Q108" s="114"/>
      <c r="R108" s="114"/>
      <c r="S108" s="114"/>
      <c r="T108" s="114"/>
      <c r="U108" s="114"/>
      <c r="V108" s="114"/>
      <c r="W108" s="114"/>
      <c r="X108" s="114"/>
      <c r="Y108" s="114"/>
      <c r="Z108" s="114"/>
      <c r="AA108" s="115"/>
      <c r="AB108" s="114"/>
      <c r="AC108" s="114"/>
      <c r="AD108" s="114"/>
      <c r="AE108" s="114"/>
      <c r="AF108" s="114"/>
      <c r="AG108" s="114"/>
      <c r="AH108" s="114"/>
      <c r="AI108" s="114"/>
      <c r="AJ108" s="114"/>
      <c r="AK108" s="115"/>
    </row>
    <row r="109" spans="1:37" ht="15" customHeight="1">
      <c r="A109" s="135"/>
      <c r="B109" s="129"/>
      <c r="C109" s="130"/>
      <c r="D109" s="142"/>
      <c r="E109" s="142"/>
      <c r="F109" s="142"/>
      <c r="G109" s="142"/>
      <c r="H109" s="142"/>
      <c r="I109" s="142"/>
      <c r="J109" s="142"/>
      <c r="K109" s="142"/>
      <c r="L109" s="142"/>
      <c r="M109" s="142"/>
      <c r="N109" s="142"/>
      <c r="O109" s="143"/>
      <c r="P109" s="114"/>
      <c r="Q109" s="114"/>
      <c r="R109" s="114"/>
      <c r="S109" s="114"/>
      <c r="T109" s="114"/>
      <c r="U109" s="114"/>
      <c r="V109" s="114"/>
      <c r="W109" s="114"/>
      <c r="X109" s="114"/>
      <c r="Y109" s="114"/>
      <c r="Z109" s="114"/>
      <c r="AA109" s="115"/>
      <c r="AB109" s="114"/>
      <c r="AC109" s="114"/>
      <c r="AD109" s="114"/>
      <c r="AE109" s="114"/>
      <c r="AF109" s="114"/>
      <c r="AG109" s="114"/>
      <c r="AH109" s="114"/>
      <c r="AI109" s="114"/>
      <c r="AJ109" s="114"/>
      <c r="AK109" s="115"/>
    </row>
    <row r="110" spans="1:37" ht="15" customHeight="1">
      <c r="A110" s="135"/>
      <c r="B110" s="128" t="s">
        <v>138</v>
      </c>
      <c r="C110" s="129"/>
      <c r="D110" s="129"/>
      <c r="E110" s="129"/>
      <c r="F110" s="129"/>
      <c r="G110" s="129"/>
      <c r="H110" s="130"/>
      <c r="I110" s="144"/>
      <c r="J110" s="145"/>
      <c r="K110" s="145"/>
      <c r="L110" s="145"/>
      <c r="M110" s="145"/>
      <c r="N110" s="145"/>
      <c r="O110" s="146"/>
      <c r="P110" s="114"/>
      <c r="Q110" s="114"/>
      <c r="R110" s="114"/>
      <c r="S110" s="114"/>
      <c r="T110" s="114"/>
      <c r="U110" s="114"/>
      <c r="V110" s="114"/>
      <c r="W110" s="114"/>
      <c r="X110" s="114"/>
      <c r="Y110" s="114"/>
      <c r="Z110" s="114"/>
      <c r="AA110" s="115"/>
      <c r="AB110" s="114"/>
      <c r="AC110" s="114"/>
      <c r="AD110" s="114"/>
      <c r="AE110" s="114"/>
      <c r="AF110" s="114"/>
      <c r="AG110" s="114"/>
      <c r="AH110" s="114"/>
      <c r="AI110" s="114"/>
      <c r="AJ110" s="114"/>
      <c r="AK110" s="115"/>
    </row>
    <row r="111" spans="1:37" ht="15" customHeight="1">
      <c r="A111" s="136"/>
      <c r="B111" s="128" t="s">
        <v>139</v>
      </c>
      <c r="C111" s="129"/>
      <c r="D111" s="129"/>
      <c r="E111" s="129"/>
      <c r="F111" s="129"/>
      <c r="G111" s="129"/>
      <c r="H111" s="130"/>
      <c r="I111" s="144" t="str">
        <f t="array" aca="1" ref="I111" ca="1">IFERROR(
    INDEX(データ集約!A:ZZ, MATCH(D5, データ集約!C:C, 0), MATCH("意思疎通", データ集約!1:1, 0)),
    ""
)</f>
        <v/>
      </c>
      <c r="J111" s="145"/>
      <c r="K111" s="145"/>
      <c r="L111" s="145"/>
      <c r="M111" s="145"/>
      <c r="N111" s="145"/>
      <c r="O111" s="146"/>
      <c r="P111" s="116"/>
      <c r="Q111" s="116"/>
      <c r="R111" s="116"/>
      <c r="S111" s="116"/>
      <c r="T111" s="116"/>
      <c r="U111" s="116"/>
      <c r="V111" s="116"/>
      <c r="W111" s="116"/>
      <c r="X111" s="116"/>
      <c r="Y111" s="116"/>
      <c r="Z111" s="116"/>
      <c r="AA111" s="117"/>
      <c r="AB111" s="116"/>
      <c r="AC111" s="116"/>
      <c r="AD111" s="116"/>
      <c r="AE111" s="116"/>
      <c r="AF111" s="116"/>
      <c r="AG111" s="116"/>
      <c r="AH111" s="116"/>
      <c r="AI111" s="116"/>
      <c r="AJ111" s="116"/>
      <c r="AK111" s="117"/>
    </row>
  </sheetData>
  <mergeCells count="314">
    <mergeCell ref="V42:AK42"/>
    <mergeCell ref="V43:AK44"/>
    <mergeCell ref="A48:AK48"/>
    <mergeCell ref="A24:A39"/>
    <mergeCell ref="B27:M28"/>
    <mergeCell ref="N27:Q28"/>
    <mergeCell ref="B29:M30"/>
    <mergeCell ref="B31:M32"/>
    <mergeCell ref="B33:M34"/>
    <mergeCell ref="B35:M36"/>
    <mergeCell ref="N29:Q30"/>
    <mergeCell ref="N31:Q32"/>
    <mergeCell ref="N33:Q34"/>
    <mergeCell ref="N35:Q36"/>
    <mergeCell ref="R28:U29"/>
    <mergeCell ref="V28:AK29"/>
    <mergeCell ref="S45:AK45"/>
    <mergeCell ref="R40:U41"/>
    <mergeCell ref="R42:U42"/>
    <mergeCell ref="R43:U44"/>
    <mergeCell ref="F40:Q42"/>
    <mergeCell ref="F43:Q44"/>
    <mergeCell ref="A45:R45"/>
    <mergeCell ref="A40:A44"/>
    <mergeCell ref="B62:H62"/>
    <mergeCell ref="I63:M63"/>
    <mergeCell ref="I64:M64"/>
    <mergeCell ref="I62:O62"/>
    <mergeCell ref="N63:O63"/>
    <mergeCell ref="N64:O64"/>
    <mergeCell ref="A46:R47"/>
    <mergeCell ref="S46:AK47"/>
    <mergeCell ref="A53:AK53"/>
    <mergeCell ref="A49:AK52"/>
    <mergeCell ref="B64:H64"/>
    <mergeCell ref="B58:H58"/>
    <mergeCell ref="B59:H59"/>
    <mergeCell ref="B60:H60"/>
    <mergeCell ref="B61:H61"/>
    <mergeCell ref="B40:E42"/>
    <mergeCell ref="B43:E44"/>
    <mergeCell ref="P69:AA78"/>
    <mergeCell ref="AB69:AK78"/>
    <mergeCell ref="I70:O70"/>
    <mergeCell ref="I71:O71"/>
    <mergeCell ref="I72:O72"/>
    <mergeCell ref="I85:O85"/>
    <mergeCell ref="P58:AA68"/>
    <mergeCell ref="AB58:AK68"/>
    <mergeCell ref="I61:O61"/>
    <mergeCell ref="P79:AA86"/>
    <mergeCell ref="AB79:AK86"/>
    <mergeCell ref="I80:O80"/>
    <mergeCell ref="I82:O82"/>
    <mergeCell ref="I83:O83"/>
    <mergeCell ref="I84:O84"/>
    <mergeCell ref="I58:O58"/>
    <mergeCell ref="I59:O59"/>
    <mergeCell ref="I60:O60"/>
    <mergeCell ref="C86:H86"/>
    <mergeCell ref="I86:O86"/>
    <mergeCell ref="I69:O69"/>
    <mergeCell ref="B63:H63"/>
    <mergeCell ref="E101:H101"/>
    <mergeCell ref="I101:O101"/>
    <mergeCell ref="P96:AA103"/>
    <mergeCell ref="AB96:AK103"/>
    <mergeCell ref="E97:H97"/>
    <mergeCell ref="I97:O97"/>
    <mergeCell ref="I98:O98"/>
    <mergeCell ref="I99:O99"/>
    <mergeCell ref="I100:O100"/>
    <mergeCell ref="E98:H98"/>
    <mergeCell ref="E99:H99"/>
    <mergeCell ref="I102:O102"/>
    <mergeCell ref="I103:O103"/>
    <mergeCell ref="P87:AA90"/>
    <mergeCell ref="AB87:AK90"/>
    <mergeCell ref="I88:O88"/>
    <mergeCell ref="C89:D90"/>
    <mergeCell ref="E90:H90"/>
    <mergeCell ref="I90:O90"/>
    <mergeCell ref="I91:O91"/>
    <mergeCell ref="P91:AA95"/>
    <mergeCell ref="AB91:AK95"/>
    <mergeCell ref="I92:O92"/>
    <mergeCell ref="I93:O93"/>
    <mergeCell ref="I89:O89"/>
    <mergeCell ref="AF16:AK17"/>
    <mergeCell ref="P104:AA106"/>
    <mergeCell ref="AB104:AK106"/>
    <mergeCell ref="I105:L105"/>
    <mergeCell ref="M105:O105"/>
    <mergeCell ref="I106:O106"/>
    <mergeCell ref="AD3:AF3"/>
    <mergeCell ref="A4:A8"/>
    <mergeCell ref="D4:Q4"/>
    <mergeCell ref="R4:W4"/>
    <mergeCell ref="X4:AC4"/>
    <mergeCell ref="AD4:AK4"/>
    <mergeCell ref="Z12:AE12"/>
    <mergeCell ref="AF12:AK12"/>
    <mergeCell ref="D5:O6"/>
    <mergeCell ref="P5:Q6"/>
    <mergeCell ref="J10:P11"/>
    <mergeCell ref="Q10:U11"/>
    <mergeCell ref="V10:AA11"/>
    <mergeCell ref="AB10:AB11"/>
    <mergeCell ref="M12:Q12"/>
    <mergeCell ref="S16:W17"/>
    <mergeCell ref="X16:Z17"/>
    <mergeCell ref="AA16:AC17"/>
    <mergeCell ref="A1:Y2"/>
    <mergeCell ref="AA1:AE1"/>
    <mergeCell ref="AF1:AK1"/>
    <mergeCell ref="Z2:AK2"/>
    <mergeCell ref="A3:F3"/>
    <mergeCell ref="G3:Q3"/>
    <mergeCell ref="AG3:AK3"/>
    <mergeCell ref="R5:W6"/>
    <mergeCell ref="X5:AC6"/>
    <mergeCell ref="AD5:AI6"/>
    <mergeCell ref="AJ5:AK6"/>
    <mergeCell ref="B4:C4"/>
    <mergeCell ref="B5:C6"/>
    <mergeCell ref="AI10:AK11"/>
    <mergeCell ref="R12:U12"/>
    <mergeCell ref="V12:Y12"/>
    <mergeCell ref="R13:U14"/>
    <mergeCell ref="V13:Y14"/>
    <mergeCell ref="Z13:AE14"/>
    <mergeCell ref="AF13:AK14"/>
    <mergeCell ref="B7:C8"/>
    <mergeCell ref="D7:Z8"/>
    <mergeCell ref="E9:I9"/>
    <mergeCell ref="J9:P9"/>
    <mergeCell ref="Q9:U9"/>
    <mergeCell ref="V9:AH9"/>
    <mergeCell ref="AI9:AK9"/>
    <mergeCell ref="AA7:AC8"/>
    <mergeCell ref="AD7:AK8"/>
    <mergeCell ref="B9:D11"/>
    <mergeCell ref="E10:I11"/>
    <mergeCell ref="M13:Q14"/>
    <mergeCell ref="A9:A14"/>
    <mergeCell ref="A15:A19"/>
    <mergeCell ref="B16:B17"/>
    <mergeCell ref="C16:G17"/>
    <mergeCell ref="H16:H17"/>
    <mergeCell ref="I16:K17"/>
    <mergeCell ref="B18:B19"/>
    <mergeCell ref="I18:K19"/>
    <mergeCell ref="C18:G19"/>
    <mergeCell ref="H18:H19"/>
    <mergeCell ref="B12:L12"/>
    <mergeCell ref="B13:L14"/>
    <mergeCell ref="B15:H15"/>
    <mergeCell ref="I15:K15"/>
    <mergeCell ref="S18:W19"/>
    <mergeCell ref="X18:Z19"/>
    <mergeCell ref="Z21:AC21"/>
    <mergeCell ref="AC10:AH11"/>
    <mergeCell ref="AD16:AE17"/>
    <mergeCell ref="L15:R15"/>
    <mergeCell ref="S15:W15"/>
    <mergeCell ref="X15:Z15"/>
    <mergeCell ref="AA15:AC15"/>
    <mergeCell ref="AD15:AE15"/>
    <mergeCell ref="AF15:AK15"/>
    <mergeCell ref="L16:R17"/>
    <mergeCell ref="AD21:AK21"/>
    <mergeCell ref="L18:R19"/>
    <mergeCell ref="N20:Q20"/>
    <mergeCell ref="R20:Y20"/>
    <mergeCell ref="Z20:AC20"/>
    <mergeCell ref="AD20:AK20"/>
    <mergeCell ref="N21:Q21"/>
    <mergeCell ref="AA18:AC19"/>
    <mergeCell ref="AD18:AE19"/>
    <mergeCell ref="AF18:AK19"/>
    <mergeCell ref="F21:M21"/>
    <mergeCell ref="R21:Y21"/>
    <mergeCell ref="R32:U33"/>
    <mergeCell ref="R34:U35"/>
    <mergeCell ref="AD35:AK35"/>
    <mergeCell ref="AJ32:AK33"/>
    <mergeCell ref="V34:AC34"/>
    <mergeCell ref="AD34:AK34"/>
    <mergeCell ref="V35:AC35"/>
    <mergeCell ref="V30:AC31"/>
    <mergeCell ref="V32:AC33"/>
    <mergeCell ref="AD30:AI31"/>
    <mergeCell ref="AD32:AI33"/>
    <mergeCell ref="B24:M24"/>
    <mergeCell ref="B25:M26"/>
    <mergeCell ref="B20:E20"/>
    <mergeCell ref="B23:E23"/>
    <mergeCell ref="R23:Y23"/>
    <mergeCell ref="R24:AK24"/>
    <mergeCell ref="R25:AK27"/>
    <mergeCell ref="AJ30:AK31"/>
    <mergeCell ref="N24:Q24"/>
    <mergeCell ref="N25:Q26"/>
    <mergeCell ref="R30:U31"/>
    <mergeCell ref="R22:Y22"/>
    <mergeCell ref="B21:E21"/>
    <mergeCell ref="B22:E22"/>
    <mergeCell ref="A20:A23"/>
    <mergeCell ref="F20:M20"/>
    <mergeCell ref="F22:M22"/>
    <mergeCell ref="F23:M23"/>
    <mergeCell ref="N23:Q23"/>
    <mergeCell ref="N22:Q22"/>
    <mergeCell ref="C85:H85"/>
    <mergeCell ref="A54:AK56"/>
    <mergeCell ref="C81:H81"/>
    <mergeCell ref="I81:O81"/>
    <mergeCell ref="B70:H70"/>
    <mergeCell ref="B71:H71"/>
    <mergeCell ref="B72:H72"/>
    <mergeCell ref="C79:H79"/>
    <mergeCell ref="B77:H77"/>
    <mergeCell ref="B78:H78"/>
    <mergeCell ref="I77:O77"/>
    <mergeCell ref="I78:O78"/>
    <mergeCell ref="I79:O79"/>
    <mergeCell ref="B73:H73"/>
    <mergeCell ref="B74:H74"/>
    <mergeCell ref="B67:B68"/>
    <mergeCell ref="C68:H68"/>
    <mergeCell ref="I68:O68"/>
    <mergeCell ref="I73:O73"/>
    <mergeCell ref="I74:O74"/>
    <mergeCell ref="I75:O75"/>
    <mergeCell ref="I76:O76"/>
    <mergeCell ref="C66:H66"/>
    <mergeCell ref="C67:H67"/>
    <mergeCell ref="C80:H80"/>
    <mergeCell ref="C82:D84"/>
    <mergeCell ref="E82:H82"/>
    <mergeCell ref="E83:H83"/>
    <mergeCell ref="E84:H84"/>
    <mergeCell ref="C101:D102"/>
    <mergeCell ref="B105:E105"/>
    <mergeCell ref="B106:E106"/>
    <mergeCell ref="E102:H102"/>
    <mergeCell ref="C103:H103"/>
    <mergeCell ref="R38:U39"/>
    <mergeCell ref="V38:AK39"/>
    <mergeCell ref="V40:AK41"/>
    <mergeCell ref="I87:O87"/>
    <mergeCell ref="I94:O94"/>
    <mergeCell ref="I95:O95"/>
    <mergeCell ref="I96:O96"/>
    <mergeCell ref="C92:H92"/>
    <mergeCell ref="C93:H93"/>
    <mergeCell ref="C94:H94"/>
    <mergeCell ref="C95:H95"/>
    <mergeCell ref="C87:H87"/>
    <mergeCell ref="C88:H88"/>
    <mergeCell ref="E89:H89"/>
    <mergeCell ref="C91:H91"/>
    <mergeCell ref="C65:H65"/>
    <mergeCell ref="I65:O65"/>
    <mergeCell ref="I66:O66"/>
    <mergeCell ref="I67:O67"/>
    <mergeCell ref="A104:A106"/>
    <mergeCell ref="A107:A111"/>
    <mergeCell ref="A58:A68"/>
    <mergeCell ref="A69:A78"/>
    <mergeCell ref="B69:H69"/>
    <mergeCell ref="B107:H107"/>
    <mergeCell ref="B108:C109"/>
    <mergeCell ref="D108:O109"/>
    <mergeCell ref="B110:H110"/>
    <mergeCell ref="I110:O110"/>
    <mergeCell ref="B111:H111"/>
    <mergeCell ref="I111:O111"/>
    <mergeCell ref="C96:H96"/>
    <mergeCell ref="B104:E104"/>
    <mergeCell ref="F104:H104"/>
    <mergeCell ref="I104:L104"/>
    <mergeCell ref="M104:O104"/>
    <mergeCell ref="I107:K107"/>
    <mergeCell ref="L107:O107"/>
    <mergeCell ref="F105:H105"/>
    <mergeCell ref="F106:H106"/>
    <mergeCell ref="C99:D100"/>
    <mergeCell ref="E100:H100"/>
    <mergeCell ref="C97:D98"/>
    <mergeCell ref="R36:U37"/>
    <mergeCell ref="V36:AK37"/>
    <mergeCell ref="B37:E39"/>
    <mergeCell ref="F37:H39"/>
    <mergeCell ref="I37:Q39"/>
    <mergeCell ref="P107:AA111"/>
    <mergeCell ref="A57:AA57"/>
    <mergeCell ref="AB57:AK57"/>
    <mergeCell ref="R3:U3"/>
    <mergeCell ref="V3:AC3"/>
    <mergeCell ref="Z22:AE22"/>
    <mergeCell ref="AF22:AK22"/>
    <mergeCell ref="Z23:AD23"/>
    <mergeCell ref="AE23:AK23"/>
    <mergeCell ref="AB107:AK111"/>
    <mergeCell ref="B75:H75"/>
    <mergeCell ref="B76:H76"/>
    <mergeCell ref="B65:B66"/>
    <mergeCell ref="B79:B86"/>
    <mergeCell ref="A79:A103"/>
    <mergeCell ref="B87:B90"/>
    <mergeCell ref="B91:B93"/>
    <mergeCell ref="B94:B95"/>
    <mergeCell ref="B96:B103"/>
  </mergeCells>
  <phoneticPr fontId="16"/>
  <dataValidations disablePrompts="1" count="1">
    <dataValidation type="list" allowBlank="1" showDropDown="1" showErrorMessage="1" sqref="D5" xr:uid="{00000000-0002-0000-0500-000000000000}">
      <formula1>#REF!</formula1>
    </dataValidation>
  </dataValidations>
  <pageMargins left="0.59055118110236227" right="0.59055118110236227" top="0.27559055118110237" bottom="0.27559055118110237" header="0" footer="0"/>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5</vt:i4>
      </vt:variant>
    </vt:vector>
  </HeadingPairs>
  <TitlesOfParts>
    <vt:vector size="5" baseType="lpstr">
      <vt:lpstr>編集用｜昭和ろまん</vt:lpstr>
      <vt:lpstr>データ集約</vt:lpstr>
      <vt:lpstr>利用者一覧</vt:lpstr>
      <vt:lpstr>削除禁止</vt:lpstr>
      <vt:lpstr>原本</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usr007</dc:creator>
  <cp:lastModifiedBy>usr007</cp:lastModifiedBy>
  <cp:lastPrinted>2025-10-11T01:23:56Z</cp:lastPrinted>
  <dcterms:created xsi:type="dcterms:W3CDTF">2025-09-17T01:11:46Z</dcterms:created>
  <dcterms:modified xsi:type="dcterms:W3CDTF">2026-02-11T05:34:29Z</dcterms:modified>
</cp:coreProperties>
</file>